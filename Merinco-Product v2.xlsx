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roject\chatbot\"/>
    </mc:Choice>
  </mc:AlternateContent>
  <xr:revisionPtr revIDLastSave="0" documentId="13_ncr:1_{55D2A4E2-F770-4E75-AB4E-B816FD64A8B1}" xr6:coauthVersionLast="47" xr6:coauthVersionMax="47" xr10:uidLastSave="{00000000-0000-0000-0000-000000000000}"/>
  <bookViews>
    <workbookView xWindow="-120" yWindow="-120" windowWidth="29040" windowHeight="17520" firstSheet="4" activeTab="7" xr2:uid="{EDA5B7F2-3044-4C4A-B0BB-E758B4938855}"/>
  </bookViews>
  <sheets>
    <sheet name="Brand" sheetId="1" r:id="rId1"/>
    <sheet name="Product Category" sheetId="11" r:id="rId2"/>
    <sheet name="Product" sheetId="7" r:id="rId3"/>
    <sheet name="Product Variant" sheetId="8" r:id="rId4"/>
    <sheet name="Sellable Unit" sheetId="9" r:id="rId5"/>
    <sheet name="Campaign" sheetId="10" r:id="rId6"/>
    <sheet name="Attribute Definition" sheetId="12" r:id="rId7"/>
    <sheet name="Product Attribute" sheetId="13" r:id="rId8"/>
    <sheet name="Product Variant Attribute" sheetId="14" r:id="rId9"/>
  </sheets>
  <definedNames>
    <definedName name="_xlnm._FilterDatabase" localSheetId="0" hidden="1">Brand!$A$1:$D$1</definedName>
    <definedName name="_xlnm._FilterDatabase" localSheetId="2" hidden="1">Product!$A$1:$H$301</definedName>
    <definedName name="_xlnm._FilterDatabase" localSheetId="7" hidden="1">'Product Attribute'!$A$1:$F$815</definedName>
    <definedName name="_xlnm._FilterDatabase" localSheetId="1" hidden="1">'Product Category'!$A$1:$I$301</definedName>
    <definedName name="_xlnm._FilterDatabase" localSheetId="8" hidden="1">'Product Variant Attribute'!$A$1:$F$1225</definedName>
    <definedName name="_xlnm._FilterDatabase" localSheetId="4" hidden="1">'Sellable Unit'!$A$1:$N$439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3" l="1" a="1"/>
  <c r="J4" i="13" a="1"/>
  <c r="J5" i="13" a="1"/>
  <c r="J6" i="13" a="1"/>
  <c r="J7" i="13" a="1"/>
  <c r="J8" i="13" a="1"/>
  <c r="J9" i="13" a="1"/>
  <c r="J10" i="13" a="1"/>
  <c r="J11" i="13" a="1"/>
  <c r="J12" i="13" a="1"/>
  <c r="J13" i="13" a="1"/>
  <c r="J14" i="13" a="1"/>
  <c r="J15" i="13" a="1"/>
  <c r="J16" i="13" a="1"/>
  <c r="J17" i="13" a="1"/>
  <c r="J18" i="13" a="1"/>
  <c r="J19" i="13" a="1"/>
  <c r="J20" i="13" a="1"/>
  <c r="J21" i="13" a="1"/>
  <c r="J22" i="13" a="1"/>
  <c r="J23" i="13" a="1"/>
  <c r="J24" i="13" a="1"/>
  <c r="J25" i="13" a="1"/>
  <c r="J26" i="13" a="1"/>
  <c r="J27" i="13" a="1"/>
  <c r="J28" i="13" a="1"/>
  <c r="J29" i="13" a="1"/>
  <c r="J30" i="13" a="1"/>
  <c r="J31" i="13" a="1"/>
  <c r="J32" i="13" a="1"/>
  <c r="J33" i="13" a="1"/>
  <c r="J34" i="13" a="1"/>
  <c r="J35" i="13" a="1"/>
  <c r="J36" i="13" a="1"/>
  <c r="J37" i="13" a="1"/>
  <c r="J38" i="13" a="1"/>
  <c r="J39" i="13" a="1"/>
  <c r="J40" i="13" a="1"/>
  <c r="J41" i="13" a="1"/>
  <c r="J42" i="13" a="1"/>
  <c r="J43" i="13" a="1"/>
  <c r="J44" i="13" a="1"/>
  <c r="J45" i="13" a="1"/>
  <c r="J46" i="13" a="1"/>
  <c r="J47" i="13" a="1"/>
  <c r="J48" i="13" a="1"/>
  <c r="J49" i="13" a="1"/>
  <c r="J50" i="13" a="1"/>
  <c r="J51" i="13" a="1"/>
  <c r="J52" i="13" a="1"/>
  <c r="J53" i="13" a="1"/>
  <c r="J54" i="13" a="1"/>
  <c r="J55" i="13" a="1"/>
  <c r="J56" i="13" a="1"/>
  <c r="J57" i="13" a="1"/>
  <c r="J58" i="13" a="1"/>
  <c r="J59" i="13" a="1"/>
  <c r="J60" i="13" a="1"/>
  <c r="J61" i="13" a="1"/>
  <c r="J62" i="13" a="1"/>
  <c r="J63" i="13" a="1"/>
  <c r="J64" i="13" a="1"/>
  <c r="J65" i="13" a="1"/>
  <c r="J66" i="13" a="1"/>
  <c r="J67" i="13" a="1"/>
  <c r="J68" i="13" a="1"/>
  <c r="J69" i="13" a="1"/>
  <c r="J70" i="13" a="1"/>
  <c r="J71" i="13" a="1"/>
  <c r="J72" i="13" a="1"/>
  <c r="J73" i="13" a="1"/>
  <c r="J74" i="13" a="1"/>
  <c r="J75" i="13" a="1"/>
  <c r="J76" i="13" a="1"/>
  <c r="J77" i="13" a="1"/>
  <c r="J78" i="13" a="1"/>
  <c r="J79" i="13" a="1"/>
  <c r="J80" i="13" a="1"/>
  <c r="J81" i="13" a="1"/>
  <c r="J82" i="13" a="1"/>
  <c r="J83" i="13" a="1"/>
  <c r="J84" i="13" a="1"/>
  <c r="J85" i="13" a="1"/>
  <c r="J86" i="13" a="1"/>
  <c r="J87" i="13" a="1"/>
  <c r="J88" i="13" a="1"/>
  <c r="J89" i="13" a="1"/>
  <c r="J90" i="13" a="1"/>
  <c r="J91" i="13" a="1"/>
  <c r="J92" i="13" a="1"/>
  <c r="J93" i="13" a="1"/>
  <c r="J94" i="13" a="1"/>
  <c r="J95" i="13" a="1"/>
  <c r="J96" i="13" a="1"/>
  <c r="J97" i="13" a="1"/>
  <c r="J98" i="13" a="1"/>
  <c r="J99" i="13" a="1"/>
  <c r="J100" i="13" a="1"/>
  <c r="J101" i="13" a="1"/>
  <c r="J102" i="13" a="1"/>
  <c r="J103" i="13" a="1"/>
  <c r="J104" i="13" a="1"/>
  <c r="J105" i="13" a="1"/>
  <c r="J106" i="13" a="1"/>
  <c r="J107" i="13" a="1"/>
  <c r="J108" i="13" a="1"/>
  <c r="J109" i="13" a="1"/>
  <c r="J110" i="13" a="1"/>
  <c r="J111" i="13" a="1"/>
  <c r="J112" i="13" a="1"/>
  <c r="J113" i="13" a="1"/>
  <c r="J114" i="13" a="1"/>
  <c r="J115" i="13" a="1"/>
  <c r="J116" i="13" a="1"/>
  <c r="J117" i="13" a="1"/>
  <c r="J118" i="13" a="1"/>
  <c r="J119" i="13" a="1"/>
  <c r="J120" i="13" a="1"/>
  <c r="J121" i="13" a="1"/>
  <c r="J122" i="13" a="1"/>
  <c r="J123" i="13" a="1"/>
  <c r="J124" i="13" a="1"/>
  <c r="J125" i="13" a="1"/>
  <c r="J126" i="13" a="1"/>
  <c r="J127" i="13" a="1"/>
  <c r="J128" i="13" a="1"/>
  <c r="J129" i="13" a="1"/>
  <c r="J130" i="13" a="1"/>
  <c r="J131" i="13" a="1"/>
  <c r="J132" i="13" a="1"/>
  <c r="J133" i="13" a="1"/>
  <c r="J134" i="13" a="1"/>
  <c r="J135" i="13" a="1"/>
  <c r="J136" i="13" a="1"/>
  <c r="J137" i="13" a="1"/>
  <c r="J138" i="13" a="1"/>
  <c r="J139" i="13" a="1"/>
  <c r="J140" i="13" a="1"/>
  <c r="J141" i="13" a="1"/>
  <c r="J142" i="13" a="1"/>
  <c r="J143" i="13" a="1"/>
  <c r="J144" i="13" a="1"/>
  <c r="J145" i="13" a="1"/>
  <c r="J146" i="13" a="1"/>
  <c r="J147" i="13" a="1"/>
  <c r="J148" i="13" a="1"/>
  <c r="J149" i="13" a="1"/>
  <c r="J150" i="13" a="1"/>
  <c r="J151" i="13" a="1"/>
  <c r="J152" i="13" a="1"/>
  <c r="J153" i="13" a="1"/>
  <c r="J154" i="13" a="1"/>
  <c r="J155" i="13" a="1"/>
  <c r="J156" i="13" a="1"/>
  <c r="J157" i="13" a="1"/>
  <c r="J158" i="13" a="1"/>
  <c r="J159" i="13" a="1"/>
  <c r="J160" i="13" a="1"/>
  <c r="J161" i="13" a="1"/>
  <c r="J162" i="13" a="1"/>
  <c r="J163" i="13" a="1"/>
  <c r="J164" i="13" a="1"/>
  <c r="J165" i="13" a="1"/>
  <c r="J166" i="13" a="1"/>
  <c r="J167" i="13" a="1"/>
  <c r="J168" i="13" a="1"/>
  <c r="J169" i="13" a="1"/>
  <c r="J170" i="13" a="1"/>
  <c r="J171" i="13" a="1"/>
  <c r="J172" i="13" a="1"/>
  <c r="J173" i="13" a="1"/>
  <c r="J174" i="13" a="1"/>
  <c r="J175" i="13" a="1"/>
  <c r="J176" i="13" a="1"/>
  <c r="J177" i="13" a="1"/>
  <c r="J178" i="13" a="1"/>
  <c r="J179" i="13" a="1"/>
  <c r="J180" i="13" a="1"/>
  <c r="J181" i="13" a="1"/>
  <c r="J182" i="13" a="1"/>
  <c r="J183" i="13" a="1"/>
  <c r="J184" i="13" a="1"/>
  <c r="J185" i="13" a="1"/>
  <c r="J186" i="13" a="1"/>
  <c r="J187" i="13" a="1"/>
  <c r="J188" i="13" a="1"/>
  <c r="J189" i="13" a="1"/>
  <c r="J190" i="13" a="1"/>
  <c r="J191" i="13" a="1"/>
  <c r="J192" i="13" a="1"/>
  <c r="J193" i="13" a="1"/>
  <c r="J194" i="13" a="1"/>
  <c r="J195" i="13" a="1"/>
  <c r="J196" i="13" a="1"/>
  <c r="J197" i="13" a="1"/>
  <c r="J198" i="13" a="1"/>
  <c r="J199" i="13" a="1"/>
  <c r="J200" i="13" a="1"/>
  <c r="J201" i="13" a="1"/>
  <c r="J202" i="13" a="1"/>
  <c r="J203" i="13" a="1"/>
  <c r="J204" i="13" a="1"/>
  <c r="J205" i="13" a="1"/>
  <c r="J206" i="13" a="1"/>
  <c r="J207" i="13" a="1"/>
  <c r="J208" i="13" a="1"/>
  <c r="J209" i="13" a="1"/>
  <c r="J210" i="13" a="1"/>
  <c r="J211" i="13" a="1"/>
  <c r="J212" i="13" a="1"/>
  <c r="J213" i="13" a="1"/>
  <c r="J214" i="13" a="1"/>
  <c r="J215" i="13" a="1"/>
  <c r="J216" i="13" a="1"/>
  <c r="J217" i="13" a="1"/>
  <c r="J218" i="13" a="1"/>
  <c r="J219" i="13" a="1"/>
  <c r="J220" i="13" a="1"/>
  <c r="J221" i="13" a="1"/>
  <c r="J222" i="13" a="1"/>
  <c r="J223" i="13" a="1"/>
  <c r="J224" i="13" a="1"/>
  <c r="J225" i="13" a="1"/>
  <c r="J226" i="13" a="1"/>
  <c r="J227" i="13" a="1"/>
  <c r="J228" i="13" a="1"/>
  <c r="J229" i="13" a="1"/>
  <c r="J230" i="13" a="1"/>
  <c r="J231" i="13" a="1"/>
  <c r="J232" i="13" a="1"/>
  <c r="J233" i="13" a="1"/>
  <c r="J234" i="13" a="1"/>
  <c r="J235" i="13" a="1"/>
  <c r="J236" i="13" a="1"/>
  <c r="J237" i="13" a="1"/>
  <c r="J238" i="13" a="1"/>
  <c r="J239" i="13" a="1"/>
  <c r="J240" i="13" a="1"/>
  <c r="J241" i="13" a="1"/>
  <c r="J242" i="13" a="1"/>
  <c r="J243" i="13" a="1"/>
  <c r="J244" i="13" a="1"/>
  <c r="J245" i="13" a="1"/>
  <c r="J246" i="13" a="1"/>
  <c r="J247" i="13" a="1"/>
  <c r="J248" i="13" a="1"/>
  <c r="J249" i="13" a="1"/>
  <c r="J250" i="13" a="1"/>
  <c r="J251" i="13" a="1"/>
  <c r="J252" i="13" a="1"/>
  <c r="J253" i="13" a="1"/>
  <c r="J254" i="13" a="1"/>
  <c r="J255" i="13" a="1"/>
  <c r="J256" i="13" a="1"/>
  <c r="J257" i="13" a="1"/>
  <c r="J258" i="13" a="1"/>
  <c r="J259" i="13" a="1"/>
  <c r="J260" i="13" a="1"/>
  <c r="J261" i="13" a="1"/>
  <c r="J262" i="13" a="1"/>
  <c r="J263" i="13" a="1"/>
  <c r="J264" i="13" a="1"/>
  <c r="J265" i="13" a="1"/>
  <c r="J266" i="13" a="1"/>
  <c r="J267" i="13" a="1"/>
  <c r="J268" i="13" a="1"/>
  <c r="J269" i="13" a="1"/>
  <c r="J270" i="13" a="1"/>
  <c r="J271" i="13" a="1"/>
  <c r="J272" i="13" a="1"/>
  <c r="J273" i="13" a="1"/>
  <c r="J274" i="13" a="1"/>
  <c r="J275" i="13" a="1"/>
  <c r="J276" i="13" a="1"/>
  <c r="J277" i="13" a="1"/>
  <c r="J278" i="13" a="1"/>
  <c r="J279" i="13" a="1"/>
  <c r="J280" i="13" a="1"/>
  <c r="J281" i="13" a="1"/>
  <c r="J282" i="13" a="1"/>
  <c r="J283" i="13" a="1"/>
  <c r="J284" i="13" a="1"/>
  <c r="J285" i="13" a="1"/>
  <c r="J286" i="13" a="1"/>
  <c r="J287" i="13" a="1"/>
  <c r="J288" i="13" a="1"/>
  <c r="J289" i="13" a="1"/>
  <c r="J290" i="13" a="1"/>
  <c r="J291" i="13" a="1"/>
  <c r="J292" i="13" a="1"/>
  <c r="J293" i="13" a="1"/>
  <c r="J294" i="13" a="1"/>
  <c r="J295" i="13" a="1"/>
  <c r="J296" i="13" a="1"/>
  <c r="J297" i="13" a="1"/>
  <c r="J298" i="13" a="1"/>
  <c r="J299" i="13" a="1"/>
  <c r="J300" i="13" a="1"/>
  <c r="J301" i="13" a="1"/>
  <c r="J302" i="13" a="1"/>
  <c r="J303" i="13" a="1"/>
  <c r="J304" i="13" a="1"/>
  <c r="J305" i="13" a="1"/>
  <c r="J306" i="13" a="1"/>
  <c r="J307" i="13" a="1"/>
  <c r="J308" i="13" a="1"/>
  <c r="J309" i="13" a="1"/>
  <c r="J310" i="13" a="1"/>
  <c r="J311" i="13" a="1"/>
  <c r="J312" i="13" a="1"/>
  <c r="J313" i="13" a="1"/>
  <c r="J314" i="13" a="1"/>
  <c r="J315" i="13" a="1"/>
  <c r="J316" i="13" a="1"/>
  <c r="J317" i="13" a="1"/>
  <c r="J318" i="13" a="1"/>
  <c r="J319" i="13" a="1"/>
  <c r="J320" i="13" a="1"/>
  <c r="J321" i="13" a="1"/>
  <c r="J322" i="13" a="1"/>
  <c r="J323" i="13" a="1"/>
  <c r="J324" i="13" a="1"/>
  <c r="J325" i="13" a="1"/>
  <c r="J326" i="13" a="1"/>
  <c r="J327" i="13" a="1"/>
  <c r="J328" i="13" a="1"/>
  <c r="J329" i="13" a="1"/>
  <c r="J330" i="13" a="1"/>
  <c r="J331" i="13" a="1"/>
  <c r="J332" i="13" a="1"/>
  <c r="J333" i="13" a="1"/>
  <c r="J334" i="13" a="1"/>
  <c r="J335" i="13" a="1"/>
  <c r="J336" i="13" a="1"/>
  <c r="J337" i="13" a="1"/>
  <c r="J338" i="13" a="1"/>
  <c r="J339" i="13" a="1"/>
  <c r="J340" i="13" a="1"/>
  <c r="J341" i="13" a="1"/>
  <c r="J342" i="13" a="1"/>
  <c r="J343" i="13" a="1"/>
  <c r="J344" i="13" a="1"/>
  <c r="J345" i="13" a="1"/>
  <c r="J346" i="13" a="1"/>
  <c r="J347" i="13" a="1"/>
  <c r="J348" i="13" a="1"/>
  <c r="J349" i="13" a="1"/>
  <c r="J350" i="13" a="1"/>
  <c r="J351" i="13" a="1"/>
  <c r="J352" i="13" a="1"/>
  <c r="J353" i="13" a="1"/>
  <c r="J354" i="13" a="1"/>
  <c r="J355" i="13" a="1"/>
  <c r="J356" i="13" a="1"/>
  <c r="J357" i="13" a="1"/>
  <c r="J358" i="13" a="1"/>
  <c r="J359" i="13" a="1"/>
  <c r="J360" i="13" a="1"/>
  <c r="J361" i="13" a="1"/>
  <c r="J362" i="13" a="1"/>
  <c r="J363" i="13" a="1"/>
  <c r="J364" i="13" a="1"/>
  <c r="J365" i="13" a="1"/>
  <c r="J366" i="13" a="1"/>
  <c r="J367" i="13" a="1"/>
  <c r="J368" i="13" a="1"/>
  <c r="J369" i="13" a="1"/>
  <c r="J370" i="13" a="1"/>
  <c r="J371" i="13" a="1"/>
  <c r="J372" i="13" a="1"/>
  <c r="J373" i="13" a="1"/>
  <c r="J374" i="13" a="1"/>
  <c r="J375" i="13" a="1"/>
  <c r="J376" i="13" a="1"/>
  <c r="J377" i="13" a="1"/>
  <c r="J378" i="13" a="1"/>
  <c r="J379" i="13" a="1"/>
  <c r="J380" i="13" a="1"/>
  <c r="J381" i="13" a="1"/>
  <c r="J382" i="13" a="1"/>
  <c r="J383" i="13" a="1"/>
  <c r="J384" i="13" a="1"/>
  <c r="J385" i="13" a="1"/>
  <c r="J386" i="13" a="1"/>
  <c r="J387" i="13" a="1"/>
  <c r="J388" i="13" a="1"/>
  <c r="J389" i="13" a="1"/>
  <c r="J390" i="13" a="1"/>
  <c r="J391" i="13" a="1"/>
  <c r="J392" i="13" a="1"/>
  <c r="J393" i="13" a="1"/>
  <c r="J394" i="13" a="1"/>
  <c r="J395" i="13" a="1"/>
  <c r="J396" i="13" a="1"/>
  <c r="J397" i="13" a="1"/>
  <c r="J398" i="13" a="1"/>
  <c r="J399" i="13" a="1"/>
  <c r="J400" i="13" a="1"/>
  <c r="J401" i="13" a="1"/>
  <c r="J402" i="13" a="1"/>
  <c r="J403" i="13" a="1"/>
  <c r="J404" i="13" a="1"/>
  <c r="J405" i="13" a="1"/>
  <c r="J406" i="13" a="1"/>
  <c r="J407" i="13" a="1"/>
  <c r="J408" i="13" a="1"/>
  <c r="J409" i="13" a="1"/>
  <c r="J410" i="13" a="1"/>
  <c r="J411" i="13" a="1"/>
  <c r="J412" i="13" a="1"/>
  <c r="J413" i="13" a="1"/>
  <c r="J414" i="13" a="1"/>
  <c r="J415" i="13" a="1"/>
  <c r="J416" i="13" a="1"/>
  <c r="J417" i="13" a="1"/>
  <c r="J418" i="13" a="1"/>
  <c r="J419" i="13" a="1"/>
  <c r="J420" i="13" a="1"/>
  <c r="J421" i="13" a="1"/>
  <c r="J422" i="13" a="1"/>
  <c r="J423" i="13" a="1"/>
  <c r="J424" i="13" a="1"/>
  <c r="J425" i="13" a="1"/>
  <c r="J426" i="13" a="1"/>
  <c r="J427" i="13" a="1"/>
  <c r="J428" i="13" a="1"/>
  <c r="J429" i="13" a="1"/>
  <c r="J430" i="13" a="1"/>
  <c r="J431" i="13" a="1"/>
  <c r="J432" i="13" a="1"/>
  <c r="J433" i="13" a="1"/>
  <c r="J434" i="13" a="1"/>
  <c r="J435" i="13" a="1"/>
  <c r="J436" i="13" a="1"/>
  <c r="J437" i="13" a="1"/>
  <c r="J438" i="13" a="1"/>
  <c r="J439" i="13" a="1"/>
  <c r="J440" i="13" a="1"/>
  <c r="J441" i="13" a="1"/>
  <c r="J442" i="13" a="1"/>
  <c r="J443" i="13" a="1"/>
  <c r="J444" i="13" a="1"/>
  <c r="J445" i="13" a="1"/>
  <c r="J446" i="13" a="1"/>
  <c r="J447" i="13" a="1"/>
  <c r="J448" i="13" a="1"/>
  <c r="J449" i="13" a="1"/>
  <c r="J450" i="13" a="1"/>
  <c r="J451" i="13" a="1"/>
  <c r="J452" i="13" a="1"/>
  <c r="J453" i="13" a="1"/>
  <c r="J454" i="13" a="1"/>
  <c r="J455" i="13" a="1"/>
  <c r="J456" i="13" a="1"/>
  <c r="J457" i="13" a="1"/>
  <c r="J458" i="13" a="1"/>
  <c r="J459" i="13" a="1"/>
  <c r="J460" i="13" a="1"/>
  <c r="J461" i="13" a="1"/>
  <c r="J462" i="13" a="1"/>
  <c r="J463" i="13" a="1"/>
  <c r="J464" i="13" a="1"/>
  <c r="J465" i="13" a="1"/>
  <c r="J466" i="13" a="1"/>
  <c r="J467" i="13" a="1"/>
  <c r="J468" i="13" a="1"/>
  <c r="J469" i="13" a="1"/>
  <c r="J470" i="13" a="1"/>
  <c r="J471" i="13" a="1"/>
  <c r="J472" i="13" a="1"/>
  <c r="J473" i="13" a="1"/>
  <c r="J474" i="13" a="1"/>
  <c r="J475" i="13" a="1"/>
  <c r="J476" i="13" a="1"/>
  <c r="J477" i="13" a="1"/>
  <c r="J478" i="13" a="1"/>
  <c r="J479" i="13" a="1"/>
  <c r="J480" i="13" a="1"/>
  <c r="J481" i="13" a="1"/>
  <c r="J482" i="13" a="1"/>
  <c r="J483" i="13" a="1"/>
  <c r="J484" i="13" a="1"/>
  <c r="J485" i="13" a="1"/>
  <c r="J486" i="13" a="1"/>
  <c r="J487" i="13" a="1"/>
  <c r="J488" i="13" a="1"/>
  <c r="J489" i="13" a="1"/>
  <c r="J490" i="13" a="1"/>
  <c r="J491" i="13" a="1"/>
  <c r="J492" i="13" a="1"/>
  <c r="J493" i="13" a="1"/>
  <c r="J494" i="13" a="1"/>
  <c r="J495" i="13" a="1"/>
  <c r="J496" i="13" a="1"/>
  <c r="J497" i="13" a="1"/>
  <c r="J498" i="13" a="1"/>
  <c r="J499" i="13" a="1"/>
  <c r="J500" i="13" a="1"/>
  <c r="J501" i="13" a="1"/>
  <c r="J502" i="13" a="1"/>
  <c r="J503" i="13" a="1"/>
  <c r="J504" i="13" a="1"/>
  <c r="J505" i="13" a="1"/>
  <c r="J506" i="13" a="1"/>
  <c r="J507" i="13" a="1"/>
  <c r="J508" i="13" a="1"/>
  <c r="J509" i="13" a="1"/>
  <c r="J510" i="13" a="1"/>
  <c r="J511" i="13" a="1"/>
  <c r="J512" i="13" a="1"/>
  <c r="J513" i="13" a="1"/>
  <c r="J514" i="13" a="1"/>
  <c r="J515" i="13" a="1"/>
  <c r="J516" i="13" a="1"/>
  <c r="J517" i="13" a="1"/>
  <c r="J518" i="13" a="1"/>
  <c r="J519" i="13" a="1"/>
  <c r="J520" i="13" a="1"/>
  <c r="J521" i="13" a="1"/>
  <c r="J522" i="13" a="1"/>
  <c r="J523" i="13" a="1"/>
  <c r="J524" i="13" a="1"/>
  <c r="J525" i="13" a="1"/>
  <c r="J526" i="13" a="1"/>
  <c r="J527" i="13" a="1"/>
  <c r="J528" i="13" a="1"/>
  <c r="J529" i="13" a="1"/>
  <c r="J530" i="13" a="1"/>
  <c r="J531" i="13" a="1"/>
  <c r="J532" i="13" a="1"/>
  <c r="J533" i="13" a="1"/>
  <c r="J534" i="13" a="1"/>
  <c r="J535" i="13" a="1"/>
  <c r="J536" i="13" a="1"/>
  <c r="J537" i="13" a="1"/>
  <c r="J538" i="13" a="1"/>
  <c r="J539" i="13" a="1"/>
  <c r="J540" i="13" a="1"/>
  <c r="J541" i="13" a="1"/>
  <c r="J542" i="13" a="1"/>
  <c r="J543" i="13" a="1"/>
  <c r="J544" i="13" a="1"/>
  <c r="J545" i="13" a="1"/>
  <c r="J546" i="13" a="1"/>
  <c r="J547" i="13" a="1"/>
  <c r="J548" i="13" a="1"/>
  <c r="J549" i="13" a="1"/>
  <c r="J550" i="13" a="1"/>
  <c r="J551" i="13" a="1"/>
  <c r="J552" i="13" a="1"/>
  <c r="J553" i="13" a="1"/>
  <c r="J554" i="13" a="1"/>
  <c r="J555" i="13" a="1"/>
  <c r="J556" i="13" a="1"/>
  <c r="J557" i="13" a="1"/>
  <c r="J558" i="13" a="1"/>
  <c r="J559" i="13" a="1"/>
  <c r="J560" i="13" a="1"/>
  <c r="J561" i="13" a="1"/>
  <c r="J562" i="13" a="1"/>
  <c r="J563" i="13" a="1"/>
  <c r="J564" i="13" a="1"/>
  <c r="J565" i="13" a="1"/>
  <c r="J566" i="13" a="1"/>
  <c r="J567" i="13" a="1"/>
  <c r="J568" i="13" a="1"/>
  <c r="J569" i="13" a="1"/>
  <c r="J570" i="13" a="1"/>
  <c r="J571" i="13" a="1"/>
  <c r="J572" i="13" a="1"/>
  <c r="J573" i="13" a="1"/>
  <c r="J574" i="13" a="1"/>
  <c r="J575" i="13" a="1"/>
  <c r="J576" i="13" a="1"/>
  <c r="J577" i="13" a="1"/>
  <c r="J578" i="13" a="1"/>
  <c r="J579" i="13" a="1"/>
  <c r="J580" i="13" a="1"/>
  <c r="J581" i="13" a="1"/>
  <c r="J582" i="13" a="1"/>
  <c r="J583" i="13" a="1"/>
  <c r="J584" i="13" a="1"/>
  <c r="J585" i="13" a="1"/>
  <c r="J586" i="13" a="1"/>
  <c r="J587" i="13" a="1"/>
  <c r="J588" i="13" a="1"/>
  <c r="J589" i="13" a="1"/>
  <c r="J590" i="13" a="1"/>
  <c r="J591" i="13" a="1"/>
  <c r="J592" i="13" a="1"/>
  <c r="J593" i="13" a="1"/>
  <c r="J594" i="13" a="1"/>
  <c r="J595" i="13" a="1"/>
  <c r="J596" i="13" a="1"/>
  <c r="J597" i="13" a="1"/>
  <c r="J598" i="13" a="1"/>
  <c r="J599" i="13" a="1"/>
  <c r="J600" i="13" a="1"/>
  <c r="J601" i="13" a="1"/>
  <c r="J602" i="13" a="1"/>
  <c r="J603" i="13" a="1"/>
  <c r="J604" i="13" a="1"/>
  <c r="J605" i="13" a="1"/>
  <c r="J606" i="13" a="1"/>
  <c r="J607" i="13" a="1"/>
  <c r="J608" i="13" a="1"/>
  <c r="J609" i="13" a="1"/>
  <c r="J610" i="13" a="1"/>
  <c r="J611" i="13" a="1"/>
  <c r="J612" i="13" a="1"/>
  <c r="J613" i="13" a="1"/>
  <c r="J614" i="13" a="1"/>
  <c r="J615" i="13" a="1"/>
  <c r="J616" i="13" a="1"/>
  <c r="J617" i="13" a="1"/>
  <c r="J618" i="13" a="1"/>
  <c r="J619" i="13" a="1"/>
  <c r="J620" i="13" a="1"/>
  <c r="J621" i="13" a="1"/>
  <c r="J622" i="13" a="1"/>
  <c r="J623" i="13" a="1"/>
  <c r="J624" i="13" a="1"/>
  <c r="J625" i="13" a="1"/>
  <c r="J626" i="13" a="1"/>
  <c r="J627" i="13" a="1"/>
  <c r="J628" i="13" a="1"/>
  <c r="J629" i="13" a="1"/>
  <c r="J630" i="13" a="1"/>
  <c r="J631" i="13" a="1"/>
  <c r="J632" i="13" a="1"/>
  <c r="J633" i="13" a="1"/>
  <c r="J634" i="13" a="1"/>
  <c r="J635" i="13" a="1"/>
  <c r="J636" i="13" a="1"/>
  <c r="J637" i="13" a="1"/>
  <c r="J638" i="13" a="1"/>
  <c r="J639" i="13" a="1"/>
  <c r="J640" i="13" a="1"/>
  <c r="J641" i="13" a="1"/>
  <c r="J642" i="13" a="1"/>
  <c r="J643" i="13" a="1"/>
  <c r="J644" i="13" a="1"/>
  <c r="J645" i="13" a="1"/>
  <c r="J646" i="13" a="1"/>
  <c r="J647" i="13" a="1"/>
  <c r="J648" i="13" a="1"/>
  <c r="J649" i="13" a="1"/>
  <c r="J650" i="13" a="1"/>
  <c r="J651" i="13" a="1"/>
  <c r="J652" i="13" a="1"/>
  <c r="J653" i="13" a="1"/>
  <c r="J654" i="13" a="1"/>
  <c r="J655" i="13" a="1"/>
  <c r="J656" i="13" a="1"/>
  <c r="J657" i="13" a="1"/>
  <c r="J658" i="13" a="1"/>
  <c r="J659" i="13" a="1"/>
  <c r="J660" i="13" a="1"/>
  <c r="J661" i="13" a="1"/>
  <c r="J662" i="13" a="1"/>
  <c r="J663" i="13" a="1"/>
  <c r="J664" i="13" a="1"/>
  <c r="J665" i="13" a="1"/>
  <c r="J666" i="13" a="1"/>
  <c r="J667" i="13" a="1"/>
  <c r="J668" i="13" a="1"/>
  <c r="J669" i="13" a="1"/>
  <c r="J670" i="13" a="1"/>
  <c r="J671" i="13" a="1"/>
  <c r="J672" i="13" a="1"/>
  <c r="J673" i="13" a="1"/>
  <c r="J674" i="13" a="1"/>
  <c r="J675" i="13" a="1"/>
  <c r="J676" i="13" a="1"/>
  <c r="J677" i="13" a="1"/>
  <c r="J678" i="13" a="1"/>
  <c r="J679" i="13" a="1"/>
  <c r="J680" i="13" a="1"/>
  <c r="J681" i="13" a="1"/>
  <c r="J682" i="13" a="1"/>
  <c r="J683" i="13" a="1"/>
  <c r="J684" i="13" a="1"/>
  <c r="J685" i="13" a="1"/>
  <c r="J686" i="13" a="1"/>
  <c r="J687" i="13" a="1"/>
  <c r="J688" i="13" a="1"/>
  <c r="J689" i="13" a="1"/>
  <c r="J690" i="13" a="1"/>
  <c r="J691" i="13" a="1"/>
  <c r="J692" i="13" a="1"/>
  <c r="J693" i="13" a="1"/>
  <c r="J694" i="13" a="1"/>
  <c r="J695" i="13" a="1"/>
  <c r="J696" i="13" a="1"/>
  <c r="J697" i="13" a="1"/>
  <c r="J698" i="13" a="1"/>
  <c r="J699" i="13" a="1"/>
  <c r="J700" i="13" a="1"/>
  <c r="J701" i="13" a="1"/>
  <c r="J702" i="13" a="1"/>
  <c r="J703" i="13" a="1"/>
  <c r="J704" i="13" a="1"/>
  <c r="J705" i="13" a="1"/>
  <c r="J706" i="13" a="1"/>
  <c r="J707" i="13" a="1"/>
  <c r="J708" i="13" a="1"/>
  <c r="J709" i="13" a="1"/>
  <c r="J710" i="13" a="1"/>
  <c r="J711" i="13" a="1"/>
  <c r="J712" i="13" a="1"/>
  <c r="J713" i="13" a="1"/>
  <c r="J714" i="13" a="1"/>
  <c r="J715" i="13" a="1"/>
  <c r="J716" i="13" a="1"/>
  <c r="J717" i="13" a="1"/>
  <c r="J718" i="13" a="1"/>
  <c r="J719" i="13" a="1"/>
  <c r="J720" i="13" a="1"/>
  <c r="J721" i="13" a="1"/>
  <c r="J722" i="13" a="1"/>
  <c r="J723" i="13" a="1"/>
  <c r="J724" i="13" a="1"/>
  <c r="J725" i="13" a="1"/>
  <c r="J726" i="13" a="1"/>
  <c r="J727" i="13" a="1"/>
  <c r="J728" i="13" a="1"/>
  <c r="J729" i="13" a="1"/>
  <c r="J730" i="13" a="1"/>
  <c r="J731" i="13" a="1"/>
  <c r="J732" i="13" a="1"/>
  <c r="J733" i="13" a="1"/>
  <c r="J734" i="13" a="1"/>
  <c r="J735" i="13" a="1"/>
  <c r="J736" i="13" a="1"/>
  <c r="J737" i="13" a="1"/>
  <c r="J738" i="13" a="1"/>
  <c r="J739" i="13" a="1"/>
  <c r="J740" i="13" a="1"/>
  <c r="J741" i="13" a="1"/>
  <c r="J742" i="13" a="1"/>
  <c r="J743" i="13" a="1"/>
  <c r="J744" i="13" a="1"/>
  <c r="J745" i="13" a="1"/>
  <c r="J746" i="13" a="1"/>
  <c r="J747" i="13" a="1"/>
  <c r="J748" i="13" a="1"/>
  <c r="J749" i="13" a="1"/>
  <c r="J750" i="13" a="1"/>
  <c r="J751" i="13" a="1"/>
  <c r="J752" i="13" a="1"/>
  <c r="J753" i="13" a="1"/>
  <c r="J754" i="13" a="1"/>
  <c r="J755" i="13" a="1"/>
  <c r="J756" i="13" a="1"/>
  <c r="J757" i="13" a="1"/>
  <c r="J758" i="13" a="1"/>
  <c r="J759" i="13" a="1"/>
  <c r="J760" i="13" a="1"/>
  <c r="J761" i="13" a="1"/>
  <c r="J762" i="13" a="1"/>
  <c r="J763" i="13" a="1"/>
  <c r="J764" i="13" a="1"/>
  <c r="J765" i="13" a="1"/>
  <c r="J766" i="13" a="1"/>
  <c r="J767" i="13" a="1"/>
  <c r="J768" i="13" a="1"/>
  <c r="J769" i="13" a="1"/>
  <c r="J770" i="13" a="1"/>
  <c r="J771" i="13" a="1"/>
  <c r="J772" i="13" a="1"/>
  <c r="J773" i="13" a="1"/>
  <c r="J774" i="13" a="1"/>
  <c r="J775" i="13" a="1"/>
  <c r="J776" i="13" a="1"/>
  <c r="J777" i="13" a="1"/>
  <c r="J778" i="13" a="1"/>
  <c r="J779" i="13" a="1"/>
  <c r="J780" i="13" a="1"/>
  <c r="J781" i="13" a="1"/>
  <c r="J782" i="13" a="1"/>
  <c r="J783" i="13" a="1"/>
  <c r="J784" i="13" a="1"/>
  <c r="J785" i="13" a="1"/>
  <c r="J786" i="13" a="1"/>
  <c r="J787" i="13" a="1"/>
  <c r="J788" i="13" a="1"/>
  <c r="J789" i="13" a="1"/>
  <c r="J790" i="13" a="1"/>
  <c r="J791" i="13" a="1"/>
  <c r="J792" i="13" a="1"/>
  <c r="J793" i="13" a="1"/>
  <c r="J794" i="13" a="1"/>
  <c r="J795" i="13" a="1"/>
  <c r="J796" i="13" a="1"/>
  <c r="J797" i="13" a="1"/>
  <c r="J798" i="13" a="1"/>
  <c r="J799" i="13" a="1"/>
  <c r="J800" i="13" a="1"/>
  <c r="J801" i="13" a="1"/>
  <c r="J802" i="13" a="1"/>
  <c r="J803" i="13" a="1"/>
  <c r="J804" i="13" a="1"/>
  <c r="J805" i="13" a="1"/>
  <c r="J806" i="13" a="1"/>
  <c r="J807" i="13" a="1"/>
  <c r="J808" i="13" a="1"/>
  <c r="J809" i="13" a="1"/>
  <c r="J810" i="13" a="1"/>
  <c r="J811" i="13" a="1"/>
  <c r="J812" i="13" a="1"/>
  <c r="J813" i="13" a="1"/>
  <c r="J814" i="13" a="1"/>
  <c r="J815" i="13" a="1"/>
  <c r="J2" i="13" a="1"/>
  <c r="G3" i="13" a="1"/>
  <c r="G4" i="13" a="1"/>
  <c r="G5" i="13" a="1"/>
  <c r="G6" i="13" a="1"/>
  <c r="G7" i="13" a="1"/>
  <c r="G8" i="13" a="1"/>
  <c r="G9" i="13" a="1"/>
  <c r="G10" i="13" a="1"/>
  <c r="G11" i="13" a="1"/>
  <c r="G12" i="13" a="1"/>
  <c r="G13" i="13" a="1"/>
  <c r="G14" i="13" a="1"/>
  <c r="G15" i="13" a="1"/>
  <c r="G16" i="13" a="1"/>
  <c r="G17" i="13" a="1"/>
  <c r="G18" i="13" a="1"/>
  <c r="G19" i="13" a="1"/>
  <c r="G20" i="13" a="1"/>
  <c r="G21" i="13" a="1"/>
  <c r="G22" i="13" a="1"/>
  <c r="G23" i="13" a="1"/>
  <c r="G24" i="13" a="1"/>
  <c r="G25" i="13" a="1"/>
  <c r="G26" i="13" a="1"/>
  <c r="G27" i="13" a="1"/>
  <c r="G28" i="13" a="1"/>
  <c r="G29" i="13" a="1"/>
  <c r="G30" i="13" a="1"/>
  <c r="G31" i="13" a="1"/>
  <c r="G32" i="13" a="1"/>
  <c r="G33" i="13" a="1"/>
  <c r="G34" i="13" a="1"/>
  <c r="G35" i="13" a="1"/>
  <c r="G36" i="13" a="1"/>
  <c r="G37" i="13" a="1"/>
  <c r="G38" i="13" a="1"/>
  <c r="G39" i="13" a="1"/>
  <c r="G40" i="13" a="1"/>
  <c r="G41" i="13" a="1"/>
  <c r="G42" i="13" a="1"/>
  <c r="G43" i="13" a="1"/>
  <c r="G44" i="13" a="1"/>
  <c r="G45" i="13" a="1"/>
  <c r="G46" i="13" a="1"/>
  <c r="G47" i="13" a="1"/>
  <c r="G48" i="13" a="1"/>
  <c r="G49" i="13" a="1"/>
  <c r="G50" i="13" a="1"/>
  <c r="G51" i="13" a="1"/>
  <c r="G52" i="13" a="1"/>
  <c r="G53" i="13" a="1"/>
  <c r="G54" i="13" a="1"/>
  <c r="G55" i="13" a="1"/>
  <c r="G56" i="13" a="1"/>
  <c r="G57" i="13" a="1"/>
  <c r="G58" i="13" a="1"/>
  <c r="G59" i="13" a="1"/>
  <c r="G60" i="13" a="1"/>
  <c r="G61" i="13" a="1"/>
  <c r="G62" i="13" a="1"/>
  <c r="G63" i="13" a="1"/>
  <c r="G64" i="13" a="1"/>
  <c r="G65" i="13" a="1"/>
  <c r="G66" i="13" a="1"/>
  <c r="G67" i="13" a="1"/>
  <c r="G68" i="13" a="1"/>
  <c r="G69" i="13" a="1"/>
  <c r="G70" i="13" a="1"/>
  <c r="G71" i="13" a="1"/>
  <c r="G72" i="13" a="1"/>
  <c r="G73" i="13" a="1"/>
  <c r="G74" i="13" a="1"/>
  <c r="G75" i="13" a="1"/>
  <c r="G76" i="13" a="1"/>
  <c r="G77" i="13" a="1"/>
  <c r="G78" i="13" a="1"/>
  <c r="G79" i="13" a="1"/>
  <c r="G80" i="13" a="1"/>
  <c r="G81" i="13" a="1"/>
  <c r="G82" i="13" a="1"/>
  <c r="G83" i="13" a="1"/>
  <c r="G84" i="13" a="1"/>
  <c r="G85" i="13" a="1"/>
  <c r="G86" i="13" a="1"/>
  <c r="G87" i="13" a="1"/>
  <c r="G88" i="13" a="1"/>
  <c r="G89" i="13" a="1"/>
  <c r="G90" i="13" a="1"/>
  <c r="G91" i="13" a="1"/>
  <c r="G92" i="13" a="1"/>
  <c r="G93" i="13" a="1"/>
  <c r="G94" i="13" a="1"/>
  <c r="G95" i="13" a="1"/>
  <c r="G96" i="13" a="1"/>
  <c r="G97" i="13" a="1"/>
  <c r="G98" i="13" a="1"/>
  <c r="G99" i="13" a="1"/>
  <c r="G100" i="13" a="1"/>
  <c r="G101" i="13" a="1"/>
  <c r="G102" i="13" a="1"/>
  <c r="G103" i="13" a="1"/>
  <c r="G104" i="13" a="1"/>
  <c r="G105" i="13" a="1"/>
  <c r="G106" i="13" a="1"/>
  <c r="G107" i="13" a="1"/>
  <c r="G108" i="13" a="1"/>
  <c r="G109" i="13" a="1"/>
  <c r="G110" i="13" a="1"/>
  <c r="G111" i="13" a="1"/>
  <c r="G112" i="13" a="1"/>
  <c r="G113" i="13" a="1"/>
  <c r="G114" i="13" a="1"/>
  <c r="G115" i="13" a="1"/>
  <c r="G116" i="13" a="1"/>
  <c r="G117" i="13" a="1"/>
  <c r="G118" i="13" a="1"/>
  <c r="G119" i="13" a="1"/>
  <c r="G120" i="13" a="1"/>
  <c r="G121" i="13" a="1"/>
  <c r="G122" i="13" a="1"/>
  <c r="G123" i="13" a="1"/>
  <c r="G124" i="13" a="1"/>
  <c r="G125" i="13" a="1"/>
  <c r="G126" i="13" a="1"/>
  <c r="G127" i="13" a="1"/>
  <c r="G128" i="13" a="1"/>
  <c r="G129" i="13" a="1"/>
  <c r="G130" i="13" a="1"/>
  <c r="G131" i="13" a="1"/>
  <c r="G132" i="13" a="1"/>
  <c r="G133" i="13" a="1"/>
  <c r="G134" i="13" a="1"/>
  <c r="G135" i="13" a="1"/>
  <c r="G136" i="13" a="1"/>
  <c r="G137" i="13" a="1"/>
  <c r="G138" i="13" a="1"/>
  <c r="G139" i="13" a="1"/>
  <c r="G140" i="13" a="1"/>
  <c r="G141" i="13" a="1"/>
  <c r="G142" i="13" a="1"/>
  <c r="G143" i="13" a="1"/>
  <c r="G144" i="13" a="1"/>
  <c r="G145" i="13" a="1"/>
  <c r="G146" i="13" a="1"/>
  <c r="G147" i="13" a="1"/>
  <c r="G148" i="13" a="1"/>
  <c r="G149" i="13" a="1"/>
  <c r="G150" i="13" a="1"/>
  <c r="G151" i="13" a="1"/>
  <c r="G152" i="13" a="1"/>
  <c r="G153" i="13" a="1"/>
  <c r="G154" i="13" a="1"/>
  <c r="G155" i="13" a="1"/>
  <c r="G156" i="13" a="1"/>
  <c r="G157" i="13" a="1"/>
  <c r="G158" i="13" a="1"/>
  <c r="G159" i="13" a="1"/>
  <c r="G160" i="13" a="1"/>
  <c r="G161" i="13" a="1"/>
  <c r="G162" i="13" a="1"/>
  <c r="G163" i="13" a="1"/>
  <c r="G164" i="13" a="1"/>
  <c r="G165" i="13" a="1"/>
  <c r="G166" i="13" a="1"/>
  <c r="G167" i="13" a="1"/>
  <c r="G168" i="13" a="1"/>
  <c r="G169" i="13" a="1"/>
  <c r="G170" i="13" a="1"/>
  <c r="G171" i="13" a="1"/>
  <c r="G172" i="13" a="1"/>
  <c r="G173" i="13" a="1"/>
  <c r="G174" i="13" a="1"/>
  <c r="G175" i="13" a="1"/>
  <c r="G176" i="13" a="1"/>
  <c r="G177" i="13" a="1"/>
  <c r="G178" i="13" a="1"/>
  <c r="G179" i="13" a="1"/>
  <c r="G180" i="13" a="1"/>
  <c r="G181" i="13" a="1"/>
  <c r="G182" i="13" a="1"/>
  <c r="G183" i="13" a="1"/>
  <c r="G184" i="13" a="1"/>
  <c r="G185" i="13" a="1"/>
  <c r="G186" i="13" a="1"/>
  <c r="G187" i="13" a="1"/>
  <c r="G188" i="13" a="1"/>
  <c r="G189" i="13" a="1"/>
  <c r="G190" i="13" a="1"/>
  <c r="G191" i="13" a="1"/>
  <c r="G192" i="13" a="1"/>
  <c r="G193" i="13" a="1"/>
  <c r="G194" i="13" a="1"/>
  <c r="G195" i="13" a="1"/>
  <c r="G196" i="13" a="1"/>
  <c r="G197" i="13" a="1"/>
  <c r="G198" i="13" a="1"/>
  <c r="G199" i="13" a="1"/>
  <c r="G200" i="13" a="1"/>
  <c r="G201" i="13" a="1"/>
  <c r="G202" i="13" a="1"/>
  <c r="G203" i="13" a="1"/>
  <c r="G204" i="13" a="1"/>
  <c r="G205" i="13" a="1"/>
  <c r="G206" i="13" a="1"/>
  <c r="G207" i="13" a="1"/>
  <c r="G208" i="13" a="1"/>
  <c r="G209" i="13" a="1"/>
  <c r="G210" i="13" a="1"/>
  <c r="G211" i="13" a="1"/>
  <c r="G212" i="13" a="1"/>
  <c r="G213" i="13" a="1"/>
  <c r="G214" i="13" a="1"/>
  <c r="G215" i="13" a="1"/>
  <c r="G216" i="13" a="1"/>
  <c r="G217" i="13" a="1"/>
  <c r="G218" i="13" a="1"/>
  <c r="G219" i="13" a="1"/>
  <c r="G220" i="13" a="1"/>
  <c r="G221" i="13" a="1"/>
  <c r="G222" i="13" a="1"/>
  <c r="G223" i="13" a="1"/>
  <c r="G224" i="13" a="1"/>
  <c r="G225" i="13" a="1"/>
  <c r="G226" i="13" a="1"/>
  <c r="G227" i="13" a="1"/>
  <c r="G228" i="13" a="1"/>
  <c r="G229" i="13" a="1"/>
  <c r="G230" i="13" a="1"/>
  <c r="G231" i="13" a="1"/>
  <c r="G232" i="13" a="1"/>
  <c r="G233" i="13" a="1"/>
  <c r="G234" i="13" a="1"/>
  <c r="G235" i="13" a="1"/>
  <c r="G236" i="13" a="1"/>
  <c r="G237" i="13" a="1"/>
  <c r="G238" i="13" a="1"/>
  <c r="G239" i="13" a="1"/>
  <c r="G240" i="13" a="1"/>
  <c r="G241" i="13" a="1"/>
  <c r="G242" i="13" a="1"/>
  <c r="G243" i="13" a="1"/>
  <c r="G244" i="13" a="1"/>
  <c r="G245" i="13" a="1"/>
  <c r="G246" i="13" a="1"/>
  <c r="G247" i="13" a="1"/>
  <c r="G248" i="13" a="1"/>
  <c r="G249" i="13" a="1"/>
  <c r="G250" i="13" a="1"/>
  <c r="G251" i="13" a="1"/>
  <c r="G252" i="13" a="1"/>
  <c r="G253" i="13" a="1"/>
  <c r="G254" i="13" a="1"/>
  <c r="G255" i="13" a="1"/>
  <c r="G256" i="13" a="1"/>
  <c r="G257" i="13" a="1"/>
  <c r="G258" i="13" a="1"/>
  <c r="G259" i="13" a="1"/>
  <c r="G260" i="13" a="1"/>
  <c r="G261" i="13" a="1"/>
  <c r="G262" i="13" a="1"/>
  <c r="G263" i="13" a="1"/>
  <c r="G264" i="13" a="1"/>
  <c r="G265" i="13" a="1"/>
  <c r="G266" i="13" a="1"/>
  <c r="G267" i="13" a="1"/>
  <c r="G268" i="13" a="1"/>
  <c r="G269" i="13" a="1"/>
  <c r="G270" i="13" a="1"/>
  <c r="G271" i="13" a="1"/>
  <c r="G272" i="13" a="1"/>
  <c r="G273" i="13" a="1"/>
  <c r="G274" i="13" a="1"/>
  <c r="G275" i="13" a="1"/>
  <c r="G276" i="13" a="1"/>
  <c r="G277" i="13" a="1"/>
  <c r="G278" i="13" a="1"/>
  <c r="G279" i="13" a="1"/>
  <c r="G280" i="13" a="1"/>
  <c r="G281" i="13" a="1"/>
  <c r="G282" i="13" a="1"/>
  <c r="G283" i="13" a="1"/>
  <c r="G284" i="13" a="1"/>
  <c r="G285" i="13" a="1"/>
  <c r="G286" i="13" a="1"/>
  <c r="G287" i="13" a="1"/>
  <c r="G288" i="13" a="1"/>
  <c r="G289" i="13" a="1"/>
  <c r="G290" i="13" a="1"/>
  <c r="G291" i="13" a="1"/>
  <c r="G292" i="13" a="1"/>
  <c r="G293" i="13" a="1"/>
  <c r="G294" i="13" a="1"/>
  <c r="G295" i="13" a="1"/>
  <c r="G296" i="13" a="1"/>
  <c r="G297" i="13" a="1"/>
  <c r="G298" i="13" a="1"/>
  <c r="G299" i="13" a="1"/>
  <c r="G300" i="13" a="1"/>
  <c r="G301" i="13" a="1"/>
  <c r="G302" i="13" a="1"/>
  <c r="G303" i="13" a="1"/>
  <c r="G304" i="13" a="1"/>
  <c r="G305" i="13" a="1"/>
  <c r="G306" i="13" a="1"/>
  <c r="G307" i="13" a="1"/>
  <c r="G308" i="13" a="1"/>
  <c r="G309" i="13" a="1"/>
  <c r="G310" i="13" a="1"/>
  <c r="G311" i="13" a="1"/>
  <c r="G312" i="13" a="1"/>
  <c r="G313" i="13" a="1"/>
  <c r="G314" i="13" a="1"/>
  <c r="G315" i="13" a="1"/>
  <c r="G316" i="13" a="1"/>
  <c r="G317" i="13" a="1"/>
  <c r="G318" i="13" a="1"/>
  <c r="G319" i="13" a="1"/>
  <c r="G320" i="13" a="1"/>
  <c r="G321" i="13" a="1"/>
  <c r="G322" i="13" a="1"/>
  <c r="G323" i="13" a="1"/>
  <c r="G324" i="13" a="1"/>
  <c r="G325" i="13" a="1"/>
  <c r="G326" i="13" a="1"/>
  <c r="G327" i="13" a="1"/>
  <c r="G328" i="13" a="1"/>
  <c r="G329" i="13" a="1"/>
  <c r="G330" i="13" a="1"/>
  <c r="G331" i="13" a="1"/>
  <c r="G332" i="13" a="1"/>
  <c r="G333" i="13" a="1"/>
  <c r="G334" i="13" a="1"/>
  <c r="G335" i="13" a="1"/>
  <c r="G336" i="13" a="1"/>
  <c r="G337" i="13" a="1"/>
  <c r="G338" i="13" a="1"/>
  <c r="G339" i="13" a="1"/>
  <c r="G340" i="13" a="1"/>
  <c r="G341" i="13" a="1"/>
  <c r="G342" i="13" a="1"/>
  <c r="G343" i="13" a="1"/>
  <c r="G344" i="13" a="1"/>
  <c r="G345" i="13" a="1"/>
  <c r="G346" i="13" a="1"/>
  <c r="G347" i="13" a="1"/>
  <c r="G348" i="13" a="1"/>
  <c r="G349" i="13" a="1"/>
  <c r="G350" i="13" a="1"/>
  <c r="G351" i="13" a="1"/>
  <c r="G352" i="13" a="1"/>
  <c r="G353" i="13" a="1"/>
  <c r="G354" i="13" a="1"/>
  <c r="G355" i="13" a="1"/>
  <c r="G356" i="13" a="1"/>
  <c r="G357" i="13" a="1"/>
  <c r="G358" i="13" a="1"/>
  <c r="G359" i="13" a="1"/>
  <c r="G360" i="13" a="1"/>
  <c r="G361" i="13" a="1"/>
  <c r="G362" i="13" a="1"/>
  <c r="G363" i="13" a="1"/>
  <c r="G364" i="13" a="1"/>
  <c r="G365" i="13" a="1"/>
  <c r="G366" i="13" a="1"/>
  <c r="G367" i="13" a="1"/>
  <c r="G368" i="13" a="1"/>
  <c r="G369" i="13" a="1"/>
  <c r="G370" i="13" a="1"/>
  <c r="G371" i="13" a="1"/>
  <c r="G372" i="13" a="1"/>
  <c r="G373" i="13" a="1"/>
  <c r="G374" i="13" a="1"/>
  <c r="G375" i="13" a="1"/>
  <c r="G376" i="13" a="1"/>
  <c r="G377" i="13" a="1"/>
  <c r="G378" i="13" a="1"/>
  <c r="G379" i="13" a="1"/>
  <c r="G380" i="13" a="1"/>
  <c r="G381" i="13" a="1"/>
  <c r="G382" i="13" a="1"/>
  <c r="G383" i="13" a="1"/>
  <c r="G384" i="13" a="1"/>
  <c r="G385" i="13" a="1"/>
  <c r="G386" i="13" a="1"/>
  <c r="G387" i="13" a="1"/>
  <c r="G388" i="13" a="1"/>
  <c r="G389" i="13" a="1"/>
  <c r="G390" i="13" a="1"/>
  <c r="G391" i="13" a="1"/>
  <c r="G392" i="13" a="1"/>
  <c r="G393" i="13" a="1"/>
  <c r="G394" i="13" a="1"/>
  <c r="G395" i="13" a="1"/>
  <c r="G396" i="13" a="1"/>
  <c r="G397" i="13" a="1"/>
  <c r="G398" i="13" a="1"/>
  <c r="G399" i="13" a="1"/>
  <c r="G400" i="13" a="1"/>
  <c r="G401" i="13" a="1"/>
  <c r="G402" i="13" a="1"/>
  <c r="G403" i="13" a="1"/>
  <c r="G404" i="13" a="1"/>
  <c r="G405" i="13" a="1"/>
  <c r="G406" i="13" a="1"/>
  <c r="G407" i="13" a="1"/>
  <c r="G408" i="13" a="1"/>
  <c r="G409" i="13" a="1"/>
  <c r="G410" i="13" a="1"/>
  <c r="G411" i="13" a="1"/>
  <c r="G412" i="13" a="1"/>
  <c r="G413" i="13" a="1"/>
  <c r="G414" i="13" a="1"/>
  <c r="G415" i="13" a="1"/>
  <c r="G416" i="13" a="1"/>
  <c r="G417" i="13" a="1"/>
  <c r="G418" i="13" a="1"/>
  <c r="G419" i="13" a="1"/>
  <c r="G420" i="13" a="1"/>
  <c r="G421" i="13" a="1"/>
  <c r="G422" i="13" a="1"/>
  <c r="G423" i="13" a="1"/>
  <c r="G424" i="13" a="1"/>
  <c r="G425" i="13" a="1"/>
  <c r="G426" i="13" a="1"/>
  <c r="G427" i="13" a="1"/>
  <c r="G428" i="13" a="1"/>
  <c r="G429" i="13" a="1"/>
  <c r="G430" i="13" a="1"/>
  <c r="G431" i="13" a="1"/>
  <c r="G432" i="13" a="1"/>
  <c r="G433" i="13" a="1"/>
  <c r="G434" i="13" a="1"/>
  <c r="G435" i="13" a="1"/>
  <c r="G436" i="13" a="1"/>
  <c r="G437" i="13" a="1"/>
  <c r="G438" i="13" a="1"/>
  <c r="G439" i="13" a="1"/>
  <c r="G440" i="13" a="1"/>
  <c r="G441" i="13" a="1"/>
  <c r="G442" i="13" a="1"/>
  <c r="G443" i="13" a="1"/>
  <c r="G444" i="13" a="1"/>
  <c r="G445" i="13" a="1"/>
  <c r="G446" i="13" a="1"/>
  <c r="G447" i="13" a="1"/>
  <c r="G448" i="13" a="1"/>
  <c r="G449" i="13" a="1"/>
  <c r="G450" i="13" a="1"/>
  <c r="G451" i="13" a="1"/>
  <c r="G452" i="13" a="1"/>
  <c r="G453" i="13" a="1"/>
  <c r="G454" i="13" a="1"/>
  <c r="G455" i="13" a="1"/>
  <c r="G456" i="13" a="1"/>
  <c r="G457" i="13" a="1"/>
  <c r="G458" i="13" a="1"/>
  <c r="G459" i="13" a="1"/>
  <c r="G460" i="13" a="1"/>
  <c r="G461" i="13" a="1"/>
  <c r="G462" i="13" a="1"/>
  <c r="G463" i="13" a="1"/>
  <c r="G464" i="13" a="1"/>
  <c r="G465" i="13" a="1"/>
  <c r="G466" i="13" a="1"/>
  <c r="G467" i="13" a="1"/>
  <c r="G468" i="13" a="1"/>
  <c r="G469" i="13" a="1"/>
  <c r="G470" i="13" a="1"/>
  <c r="G471" i="13" a="1"/>
  <c r="G472" i="13" a="1"/>
  <c r="G473" i="13" a="1"/>
  <c r="G474" i="13" a="1"/>
  <c r="G475" i="13" a="1"/>
  <c r="G476" i="13" a="1"/>
  <c r="G477" i="13" a="1"/>
  <c r="G478" i="13" a="1"/>
  <c r="G479" i="13" a="1"/>
  <c r="G480" i="13" a="1"/>
  <c r="G481" i="13" a="1"/>
  <c r="G482" i="13" a="1"/>
  <c r="G483" i="13" a="1"/>
  <c r="G484" i="13" a="1"/>
  <c r="G485" i="13" a="1"/>
  <c r="G486" i="13" a="1"/>
  <c r="G487" i="13" a="1"/>
  <c r="G488" i="13" a="1"/>
  <c r="G489" i="13" a="1"/>
  <c r="G490" i="13" a="1"/>
  <c r="G491" i="13" a="1"/>
  <c r="G492" i="13" a="1"/>
  <c r="G493" i="13" a="1"/>
  <c r="G494" i="13" a="1"/>
  <c r="G495" i="13" a="1"/>
  <c r="G496" i="13" a="1"/>
  <c r="G497" i="13" a="1"/>
  <c r="G498" i="13" a="1"/>
  <c r="G499" i="13" a="1"/>
  <c r="G500" i="13" a="1"/>
  <c r="G501" i="13" a="1"/>
  <c r="G502" i="13" a="1"/>
  <c r="G503" i="13" a="1"/>
  <c r="G504" i="13" a="1"/>
  <c r="G505" i="13" a="1"/>
  <c r="G506" i="13" a="1"/>
  <c r="G507" i="13" a="1"/>
  <c r="G508" i="13" a="1"/>
  <c r="G509" i="13" a="1"/>
  <c r="G510" i="13" a="1"/>
  <c r="G511" i="13" a="1"/>
  <c r="G512" i="13" a="1"/>
  <c r="G513" i="13" a="1"/>
  <c r="G514" i="13" a="1"/>
  <c r="G515" i="13" a="1"/>
  <c r="G516" i="13" a="1"/>
  <c r="G517" i="13" a="1"/>
  <c r="G518" i="13" a="1"/>
  <c r="G519" i="13" a="1"/>
  <c r="G520" i="13" a="1"/>
  <c r="G521" i="13" a="1"/>
  <c r="G522" i="13" a="1"/>
  <c r="G523" i="13" a="1"/>
  <c r="G524" i="13" a="1"/>
  <c r="G525" i="13" a="1"/>
  <c r="G526" i="13" a="1"/>
  <c r="G527" i="13" a="1"/>
  <c r="G528" i="13" a="1"/>
  <c r="G529" i="13" a="1"/>
  <c r="G530" i="13" a="1"/>
  <c r="G531" i="13" a="1"/>
  <c r="G532" i="13" a="1"/>
  <c r="G533" i="13" a="1"/>
  <c r="G534" i="13" a="1"/>
  <c r="G535" i="13" a="1"/>
  <c r="G536" i="13" a="1"/>
  <c r="G537" i="13" a="1"/>
  <c r="G538" i="13" a="1"/>
  <c r="G539" i="13" a="1"/>
  <c r="G540" i="13" a="1"/>
  <c r="G541" i="13" a="1"/>
  <c r="G542" i="13" a="1"/>
  <c r="G543" i="13" a="1"/>
  <c r="G544" i="13" a="1"/>
  <c r="G545" i="13" a="1"/>
  <c r="G546" i="13" a="1"/>
  <c r="G547" i="13" a="1"/>
  <c r="G548" i="13" a="1"/>
  <c r="G549" i="13" a="1"/>
  <c r="G550" i="13" a="1"/>
  <c r="G551" i="13" a="1"/>
  <c r="G552" i="13" a="1"/>
  <c r="G553" i="13" a="1"/>
  <c r="G554" i="13" a="1"/>
  <c r="G555" i="13" a="1"/>
  <c r="G556" i="13" a="1"/>
  <c r="G557" i="13" a="1"/>
  <c r="G558" i="13" a="1"/>
  <c r="G559" i="13" a="1"/>
  <c r="G560" i="13" a="1"/>
  <c r="G561" i="13" a="1"/>
  <c r="G562" i="13" a="1"/>
  <c r="G563" i="13" a="1"/>
  <c r="G564" i="13" a="1"/>
  <c r="G565" i="13" a="1"/>
  <c r="G566" i="13" a="1"/>
  <c r="G567" i="13" a="1"/>
  <c r="G568" i="13" a="1"/>
  <c r="G569" i="13" a="1"/>
  <c r="G570" i="13" a="1"/>
  <c r="G571" i="13" a="1"/>
  <c r="G572" i="13" a="1"/>
  <c r="G573" i="13" a="1"/>
  <c r="G574" i="13" a="1"/>
  <c r="G575" i="13" a="1"/>
  <c r="G576" i="13" a="1"/>
  <c r="G577" i="13" a="1"/>
  <c r="G578" i="13" a="1"/>
  <c r="G579" i="13" a="1"/>
  <c r="G580" i="13" a="1"/>
  <c r="G581" i="13" a="1"/>
  <c r="G582" i="13" a="1"/>
  <c r="G583" i="13" a="1"/>
  <c r="G584" i="13" a="1"/>
  <c r="G585" i="13" a="1"/>
  <c r="G586" i="13" a="1"/>
  <c r="G587" i="13" a="1"/>
  <c r="G588" i="13" a="1"/>
  <c r="G589" i="13" a="1"/>
  <c r="G590" i="13" a="1"/>
  <c r="G591" i="13" a="1"/>
  <c r="G592" i="13" a="1"/>
  <c r="G593" i="13" a="1"/>
  <c r="G594" i="13" a="1"/>
  <c r="G595" i="13" a="1"/>
  <c r="G596" i="13" a="1"/>
  <c r="G597" i="13" a="1"/>
  <c r="G598" i="13" a="1"/>
  <c r="G599" i="13" a="1"/>
  <c r="G600" i="13" a="1"/>
  <c r="G601" i="13" a="1"/>
  <c r="G602" i="13" a="1"/>
  <c r="G603" i="13" a="1"/>
  <c r="G604" i="13" a="1"/>
  <c r="G605" i="13" a="1"/>
  <c r="G606" i="13" a="1"/>
  <c r="G607" i="13" a="1"/>
  <c r="G608" i="13" a="1"/>
  <c r="G609" i="13" a="1"/>
  <c r="G610" i="13" a="1"/>
  <c r="G611" i="13" a="1"/>
  <c r="G612" i="13" a="1"/>
  <c r="G613" i="13" a="1"/>
  <c r="G614" i="13" a="1"/>
  <c r="G615" i="13" a="1"/>
  <c r="G616" i="13" a="1"/>
  <c r="G617" i="13" a="1"/>
  <c r="G618" i="13" a="1"/>
  <c r="G619" i="13" a="1"/>
  <c r="G620" i="13" a="1"/>
  <c r="G621" i="13" a="1"/>
  <c r="G622" i="13" a="1"/>
  <c r="G623" i="13" a="1"/>
  <c r="G624" i="13" a="1"/>
  <c r="G625" i="13" a="1"/>
  <c r="G626" i="13" a="1"/>
  <c r="G627" i="13" a="1"/>
  <c r="G628" i="13" a="1"/>
  <c r="G629" i="13" a="1"/>
  <c r="G630" i="13" a="1"/>
  <c r="G631" i="13" a="1"/>
  <c r="G632" i="13" a="1"/>
  <c r="G633" i="13" a="1"/>
  <c r="G634" i="13" a="1"/>
  <c r="G635" i="13" a="1"/>
  <c r="G636" i="13" a="1"/>
  <c r="G637" i="13" a="1"/>
  <c r="G638" i="13" a="1"/>
  <c r="G639" i="13" a="1"/>
  <c r="G640" i="13" a="1"/>
  <c r="G641" i="13" a="1"/>
  <c r="G642" i="13" a="1"/>
  <c r="G643" i="13" a="1"/>
  <c r="G644" i="13" a="1"/>
  <c r="G645" i="13" a="1"/>
  <c r="G646" i="13" a="1"/>
  <c r="G647" i="13" a="1"/>
  <c r="G648" i="13" a="1"/>
  <c r="G649" i="13" a="1"/>
  <c r="G650" i="13" a="1"/>
  <c r="G651" i="13" a="1"/>
  <c r="G652" i="13" a="1"/>
  <c r="G653" i="13" a="1"/>
  <c r="G654" i="13" a="1"/>
  <c r="G655" i="13" a="1"/>
  <c r="G656" i="13" a="1"/>
  <c r="G657" i="13" a="1"/>
  <c r="G658" i="13" a="1"/>
  <c r="G659" i="13" a="1"/>
  <c r="G660" i="13" a="1"/>
  <c r="G661" i="13" a="1"/>
  <c r="G662" i="13" a="1"/>
  <c r="G663" i="13" a="1"/>
  <c r="G664" i="13" a="1"/>
  <c r="G665" i="13" a="1"/>
  <c r="G666" i="13" a="1"/>
  <c r="G667" i="13" a="1"/>
  <c r="G668" i="13" a="1"/>
  <c r="G669" i="13" a="1"/>
  <c r="G670" i="13" a="1"/>
  <c r="G671" i="13" a="1"/>
  <c r="G672" i="13" a="1"/>
  <c r="G673" i="13" a="1"/>
  <c r="G674" i="13" a="1"/>
  <c r="G675" i="13" a="1"/>
  <c r="G676" i="13" a="1"/>
  <c r="G677" i="13" a="1"/>
  <c r="G678" i="13" a="1"/>
  <c r="G679" i="13" a="1"/>
  <c r="G680" i="13" a="1"/>
  <c r="G681" i="13" a="1"/>
  <c r="G682" i="13" a="1"/>
  <c r="G683" i="13" a="1"/>
  <c r="G684" i="13" a="1"/>
  <c r="G685" i="13" a="1"/>
  <c r="G686" i="13" a="1"/>
  <c r="G687" i="13" a="1"/>
  <c r="G688" i="13" a="1"/>
  <c r="G689" i="13" a="1"/>
  <c r="G690" i="13" a="1"/>
  <c r="G691" i="13" a="1"/>
  <c r="G692" i="13" a="1"/>
  <c r="G693" i="13" a="1"/>
  <c r="G694" i="13" a="1"/>
  <c r="G695" i="13" a="1"/>
  <c r="G696" i="13" a="1"/>
  <c r="G697" i="13" a="1"/>
  <c r="G698" i="13" a="1"/>
  <c r="G699" i="13" a="1"/>
  <c r="G700" i="13" a="1"/>
  <c r="G701" i="13" a="1"/>
  <c r="G702" i="13" a="1"/>
  <c r="G703" i="13" a="1"/>
  <c r="G704" i="13" a="1"/>
  <c r="G705" i="13" a="1"/>
  <c r="G706" i="13" a="1"/>
  <c r="G707" i="13" a="1"/>
  <c r="G708" i="13" a="1"/>
  <c r="G709" i="13" a="1"/>
  <c r="G710" i="13" a="1"/>
  <c r="G711" i="13" a="1"/>
  <c r="G712" i="13" a="1"/>
  <c r="G713" i="13" a="1"/>
  <c r="G714" i="13" a="1"/>
  <c r="G715" i="13" a="1"/>
  <c r="G716" i="13" a="1"/>
  <c r="G717" i="13" a="1"/>
  <c r="G718" i="13" a="1"/>
  <c r="G719" i="13" a="1"/>
  <c r="G720" i="13" a="1"/>
  <c r="G721" i="13" a="1"/>
  <c r="G722" i="13" a="1"/>
  <c r="G723" i="13" a="1"/>
  <c r="G724" i="13" a="1"/>
  <c r="G725" i="13" a="1"/>
  <c r="G726" i="13" a="1"/>
  <c r="G727" i="13" a="1"/>
  <c r="G728" i="13" a="1"/>
  <c r="G729" i="13" a="1"/>
  <c r="G730" i="13" a="1"/>
  <c r="G731" i="13" a="1"/>
  <c r="G732" i="13" a="1"/>
  <c r="G733" i="13" a="1"/>
  <c r="G734" i="13" a="1"/>
  <c r="G735" i="13" a="1"/>
  <c r="G736" i="13" a="1"/>
  <c r="G737" i="13" a="1"/>
  <c r="G738" i="13" a="1"/>
  <c r="G739" i="13" a="1"/>
  <c r="G740" i="13" a="1"/>
  <c r="G741" i="13" a="1"/>
  <c r="G742" i="13" a="1"/>
  <c r="G743" i="13" a="1"/>
  <c r="G744" i="13" a="1"/>
  <c r="G745" i="13" a="1"/>
  <c r="G746" i="13" a="1"/>
  <c r="G747" i="13" a="1"/>
  <c r="G748" i="13" a="1"/>
  <c r="G749" i="13" a="1"/>
  <c r="G750" i="13" a="1"/>
  <c r="G751" i="13" a="1"/>
  <c r="G752" i="13" a="1"/>
  <c r="G753" i="13" a="1"/>
  <c r="G754" i="13" a="1"/>
  <c r="G755" i="13" a="1"/>
  <c r="G756" i="13" a="1"/>
  <c r="G757" i="13" a="1"/>
  <c r="G758" i="13" a="1"/>
  <c r="G759" i="13" a="1"/>
  <c r="G760" i="13" a="1"/>
  <c r="G761" i="13" a="1"/>
  <c r="G762" i="13" a="1"/>
  <c r="G763" i="13" a="1"/>
  <c r="G764" i="13" a="1"/>
  <c r="G765" i="13" a="1"/>
  <c r="G766" i="13" a="1"/>
  <c r="G767" i="13" a="1"/>
  <c r="G768" i="13" a="1"/>
  <c r="G769" i="13" a="1"/>
  <c r="G770" i="13" a="1"/>
  <c r="G771" i="13" a="1"/>
  <c r="G772" i="13" a="1"/>
  <c r="G773" i="13" a="1"/>
  <c r="G774" i="13" a="1"/>
  <c r="G775" i="13" a="1"/>
  <c r="G776" i="13" a="1"/>
  <c r="G777" i="13" a="1"/>
  <c r="G778" i="13" a="1"/>
  <c r="G779" i="13" a="1"/>
  <c r="G780" i="13" a="1"/>
  <c r="G781" i="13" a="1"/>
  <c r="G782" i="13" a="1"/>
  <c r="G783" i="13" a="1"/>
  <c r="G784" i="13" a="1"/>
  <c r="G785" i="13" a="1"/>
  <c r="G786" i="13" a="1"/>
  <c r="G787" i="13" a="1"/>
  <c r="G788" i="13" a="1"/>
  <c r="G789" i="13" a="1"/>
  <c r="G790" i="13" a="1"/>
  <c r="G791" i="13" a="1"/>
  <c r="G792" i="13" a="1"/>
  <c r="G793" i="13" a="1"/>
  <c r="G794" i="13" a="1"/>
  <c r="G795" i="13" a="1"/>
  <c r="G796" i="13" a="1"/>
  <c r="G797" i="13" a="1"/>
  <c r="G798" i="13" a="1"/>
  <c r="G799" i="13" a="1"/>
  <c r="G800" i="13" a="1"/>
  <c r="G801" i="13" a="1"/>
  <c r="G802" i="13" a="1"/>
  <c r="G803" i="13" a="1"/>
  <c r="G804" i="13" a="1"/>
  <c r="G805" i="13" a="1"/>
  <c r="G806" i="13" a="1"/>
  <c r="G807" i="13" a="1"/>
  <c r="G808" i="13" a="1"/>
  <c r="G809" i="13" a="1"/>
  <c r="G810" i="13" a="1"/>
  <c r="G811" i="13" a="1"/>
  <c r="G812" i="13" a="1"/>
  <c r="G813" i="13" a="1"/>
  <c r="G814" i="13" a="1"/>
  <c r="G815" i="13" a="1"/>
  <c r="G2" i="13" a="1"/>
  <c r="B752" i="13"/>
  <c r="C752" i="13"/>
  <c r="E752" i="13"/>
  <c r="B753" i="13"/>
  <c r="C753" i="13"/>
  <c r="E753" i="13"/>
  <c r="B754" i="13"/>
  <c r="C754" i="13"/>
  <c r="E754" i="13"/>
  <c r="B755" i="13"/>
  <c r="C755" i="13"/>
  <c r="E755" i="13"/>
  <c r="B756" i="13"/>
  <c r="C756" i="13"/>
  <c r="E756" i="13"/>
  <c r="B757" i="13"/>
  <c r="C757" i="13"/>
  <c r="E757" i="13"/>
  <c r="B758" i="13"/>
  <c r="C758" i="13"/>
  <c r="E758" i="13"/>
  <c r="B759" i="13"/>
  <c r="C759" i="13"/>
  <c r="E759" i="13"/>
  <c r="B760" i="13"/>
  <c r="C760" i="13"/>
  <c r="E760" i="13"/>
  <c r="B761" i="13"/>
  <c r="C761" i="13"/>
  <c r="E761" i="13"/>
  <c r="B762" i="13"/>
  <c r="C762" i="13"/>
  <c r="E762" i="13"/>
  <c r="B763" i="13"/>
  <c r="C763" i="13"/>
  <c r="E763" i="13"/>
  <c r="B764" i="13"/>
  <c r="C764" i="13"/>
  <c r="E764" i="13"/>
  <c r="B765" i="13"/>
  <c r="C765" i="13"/>
  <c r="E765" i="13"/>
  <c r="B766" i="13"/>
  <c r="C766" i="13"/>
  <c r="E766" i="13"/>
  <c r="B767" i="13"/>
  <c r="C767" i="13"/>
  <c r="E767" i="13"/>
  <c r="B768" i="13"/>
  <c r="C768" i="13"/>
  <c r="E768" i="13"/>
  <c r="B769" i="13"/>
  <c r="C769" i="13"/>
  <c r="E769" i="13"/>
  <c r="B770" i="13"/>
  <c r="C770" i="13"/>
  <c r="E770" i="13"/>
  <c r="B771" i="13"/>
  <c r="C771" i="13"/>
  <c r="E771" i="13"/>
  <c r="B772" i="13"/>
  <c r="C772" i="13"/>
  <c r="E772" i="13"/>
  <c r="B773" i="13"/>
  <c r="C773" i="13"/>
  <c r="E773" i="13"/>
  <c r="B774" i="13"/>
  <c r="C774" i="13"/>
  <c r="E774" i="13"/>
  <c r="B775" i="13"/>
  <c r="C775" i="13"/>
  <c r="E775" i="13"/>
  <c r="B776" i="13"/>
  <c r="C776" i="13"/>
  <c r="E776" i="13"/>
  <c r="B777" i="13"/>
  <c r="C777" i="13"/>
  <c r="E777" i="13"/>
  <c r="B778" i="13"/>
  <c r="C778" i="13"/>
  <c r="E778" i="13"/>
  <c r="B779" i="13"/>
  <c r="C779" i="13"/>
  <c r="E779" i="13"/>
  <c r="B780" i="13"/>
  <c r="C780" i="13"/>
  <c r="E780" i="13"/>
  <c r="B781" i="13"/>
  <c r="C781" i="13"/>
  <c r="E781" i="13"/>
  <c r="B782" i="13"/>
  <c r="C782" i="13"/>
  <c r="E782" i="13"/>
  <c r="B783" i="13"/>
  <c r="C783" i="13"/>
  <c r="E783" i="13"/>
  <c r="B784" i="13"/>
  <c r="C784" i="13"/>
  <c r="E784" i="13"/>
  <c r="B785" i="13"/>
  <c r="C785" i="13"/>
  <c r="E785" i="13"/>
  <c r="B786" i="13"/>
  <c r="C786" i="13"/>
  <c r="E786" i="13"/>
  <c r="B787" i="13"/>
  <c r="C787" i="13"/>
  <c r="E787" i="13"/>
  <c r="B788" i="13"/>
  <c r="C788" i="13"/>
  <c r="E788" i="13"/>
  <c r="B789" i="13"/>
  <c r="C789" i="13"/>
  <c r="E789" i="13"/>
  <c r="B790" i="13"/>
  <c r="C790" i="13"/>
  <c r="E790" i="13"/>
  <c r="B791" i="13"/>
  <c r="C791" i="13"/>
  <c r="E791" i="13"/>
  <c r="B792" i="13"/>
  <c r="C792" i="13"/>
  <c r="E792" i="13"/>
  <c r="B793" i="13"/>
  <c r="C793" i="13"/>
  <c r="E793" i="13"/>
  <c r="B794" i="13"/>
  <c r="C794" i="13"/>
  <c r="E794" i="13"/>
  <c r="B795" i="13"/>
  <c r="C795" i="13"/>
  <c r="E795" i="13"/>
  <c r="B796" i="13"/>
  <c r="C796" i="13"/>
  <c r="E796" i="13"/>
  <c r="B797" i="13"/>
  <c r="C797" i="13"/>
  <c r="E797" i="13"/>
  <c r="B798" i="13"/>
  <c r="C798" i="13"/>
  <c r="E798" i="13"/>
  <c r="B799" i="13"/>
  <c r="C799" i="13"/>
  <c r="E799" i="13"/>
  <c r="B800" i="13"/>
  <c r="C800" i="13"/>
  <c r="E800" i="13"/>
  <c r="B801" i="13"/>
  <c r="C801" i="13"/>
  <c r="E801" i="13"/>
  <c r="B802" i="13"/>
  <c r="C802" i="13"/>
  <c r="E802" i="13"/>
  <c r="B803" i="13"/>
  <c r="C803" i="13"/>
  <c r="E803" i="13"/>
  <c r="B804" i="13"/>
  <c r="C804" i="13"/>
  <c r="E804" i="13"/>
  <c r="B805" i="13"/>
  <c r="C805" i="13"/>
  <c r="E805" i="13"/>
  <c r="B806" i="13"/>
  <c r="C806" i="13"/>
  <c r="E806" i="13"/>
  <c r="B807" i="13"/>
  <c r="C807" i="13"/>
  <c r="E807" i="13"/>
  <c r="B808" i="13"/>
  <c r="C808" i="13"/>
  <c r="E808" i="13"/>
  <c r="B809" i="13"/>
  <c r="C809" i="13"/>
  <c r="E809" i="13"/>
  <c r="B810" i="13"/>
  <c r="C810" i="13"/>
  <c r="E810" i="13"/>
  <c r="B811" i="13"/>
  <c r="C811" i="13"/>
  <c r="E811" i="13"/>
  <c r="B812" i="13"/>
  <c r="C812" i="13"/>
  <c r="E812" i="13"/>
  <c r="B813" i="13"/>
  <c r="C813" i="13"/>
  <c r="E813" i="13"/>
  <c r="B814" i="13"/>
  <c r="C814" i="13"/>
  <c r="E814" i="13"/>
  <c r="B815" i="13"/>
  <c r="C815" i="13"/>
  <c r="E815" i="13"/>
  <c r="B502" i="13"/>
  <c r="C502" i="13"/>
  <c r="E502" i="13"/>
  <c r="B503" i="13"/>
  <c r="C503" i="13"/>
  <c r="E503" i="13"/>
  <c r="B504" i="13"/>
  <c r="C504" i="13"/>
  <c r="E504" i="13"/>
  <c r="B505" i="13"/>
  <c r="C505" i="13"/>
  <c r="E505" i="13"/>
  <c r="B506" i="13"/>
  <c r="C506" i="13"/>
  <c r="E506" i="13"/>
  <c r="B507" i="13"/>
  <c r="C507" i="13"/>
  <c r="E507" i="13"/>
  <c r="B508" i="13"/>
  <c r="C508" i="13"/>
  <c r="E508" i="13"/>
  <c r="B509" i="13"/>
  <c r="C509" i="13"/>
  <c r="E509" i="13"/>
  <c r="B510" i="13"/>
  <c r="C510" i="13"/>
  <c r="E510" i="13"/>
  <c r="B511" i="13"/>
  <c r="C511" i="13"/>
  <c r="E511" i="13"/>
  <c r="B512" i="13"/>
  <c r="C512" i="13"/>
  <c r="E512" i="13"/>
  <c r="B513" i="13"/>
  <c r="C513" i="13"/>
  <c r="E513" i="13"/>
  <c r="B514" i="13"/>
  <c r="C514" i="13"/>
  <c r="E514" i="13"/>
  <c r="B515" i="13"/>
  <c r="C515" i="13"/>
  <c r="E515" i="13"/>
  <c r="B516" i="13"/>
  <c r="C516" i="13"/>
  <c r="E516" i="13"/>
  <c r="B517" i="13"/>
  <c r="C517" i="13"/>
  <c r="E517" i="13"/>
  <c r="B518" i="13"/>
  <c r="C518" i="13"/>
  <c r="E518" i="13"/>
  <c r="B519" i="13"/>
  <c r="C519" i="13"/>
  <c r="E519" i="13"/>
  <c r="B520" i="13"/>
  <c r="C520" i="13"/>
  <c r="E520" i="13"/>
  <c r="B521" i="13"/>
  <c r="C521" i="13"/>
  <c r="E521" i="13"/>
  <c r="B522" i="13"/>
  <c r="C522" i="13"/>
  <c r="E522" i="13"/>
  <c r="B523" i="13"/>
  <c r="C523" i="13"/>
  <c r="E523" i="13"/>
  <c r="B524" i="13"/>
  <c r="C524" i="13"/>
  <c r="E524" i="13"/>
  <c r="B525" i="13"/>
  <c r="C525" i="13"/>
  <c r="E525" i="13"/>
  <c r="B526" i="13"/>
  <c r="C526" i="13"/>
  <c r="E526" i="13"/>
  <c r="B527" i="13"/>
  <c r="C527" i="13"/>
  <c r="E527" i="13"/>
  <c r="B528" i="13"/>
  <c r="C528" i="13"/>
  <c r="E528" i="13"/>
  <c r="B529" i="13"/>
  <c r="C529" i="13"/>
  <c r="E529" i="13"/>
  <c r="B530" i="13"/>
  <c r="C530" i="13"/>
  <c r="E530" i="13"/>
  <c r="B531" i="13"/>
  <c r="C531" i="13"/>
  <c r="E531" i="13"/>
  <c r="B532" i="13"/>
  <c r="C532" i="13"/>
  <c r="E532" i="13"/>
  <c r="B533" i="13"/>
  <c r="C533" i="13"/>
  <c r="E533" i="13"/>
  <c r="B534" i="13"/>
  <c r="C534" i="13"/>
  <c r="E534" i="13"/>
  <c r="B535" i="13"/>
  <c r="C535" i="13"/>
  <c r="E535" i="13"/>
  <c r="B536" i="13"/>
  <c r="C536" i="13"/>
  <c r="E536" i="13"/>
  <c r="B537" i="13"/>
  <c r="C537" i="13"/>
  <c r="E537" i="13"/>
  <c r="B538" i="13"/>
  <c r="C538" i="13"/>
  <c r="E538" i="13"/>
  <c r="B539" i="13"/>
  <c r="C539" i="13"/>
  <c r="E539" i="13"/>
  <c r="B540" i="13"/>
  <c r="C540" i="13"/>
  <c r="E540" i="13"/>
  <c r="B541" i="13"/>
  <c r="C541" i="13"/>
  <c r="E541" i="13"/>
  <c r="B542" i="13"/>
  <c r="C542" i="13"/>
  <c r="E542" i="13"/>
  <c r="B543" i="13"/>
  <c r="C543" i="13"/>
  <c r="E543" i="13"/>
  <c r="B544" i="13"/>
  <c r="C544" i="13"/>
  <c r="E544" i="13"/>
  <c r="B545" i="13"/>
  <c r="C545" i="13"/>
  <c r="E545" i="13"/>
  <c r="B546" i="13"/>
  <c r="C546" i="13"/>
  <c r="E546" i="13"/>
  <c r="B547" i="13"/>
  <c r="C547" i="13"/>
  <c r="E547" i="13"/>
  <c r="B548" i="13"/>
  <c r="C548" i="13"/>
  <c r="E548" i="13"/>
  <c r="B549" i="13"/>
  <c r="C549" i="13"/>
  <c r="E549" i="13"/>
  <c r="B550" i="13"/>
  <c r="C550" i="13"/>
  <c r="E550" i="13"/>
  <c r="B551" i="13"/>
  <c r="C551" i="13"/>
  <c r="E551" i="13"/>
  <c r="B552" i="13"/>
  <c r="C552" i="13"/>
  <c r="E552" i="13"/>
  <c r="B553" i="13"/>
  <c r="C553" i="13"/>
  <c r="E553" i="13"/>
  <c r="B554" i="13"/>
  <c r="C554" i="13"/>
  <c r="E554" i="13"/>
  <c r="B555" i="13"/>
  <c r="C555" i="13"/>
  <c r="E555" i="13"/>
  <c r="B556" i="13"/>
  <c r="C556" i="13"/>
  <c r="E556" i="13"/>
  <c r="B557" i="13"/>
  <c r="C557" i="13"/>
  <c r="E557" i="13"/>
  <c r="B558" i="13"/>
  <c r="C558" i="13"/>
  <c r="E558" i="13"/>
  <c r="B559" i="13"/>
  <c r="C559" i="13"/>
  <c r="E559" i="13"/>
  <c r="B560" i="13"/>
  <c r="C560" i="13"/>
  <c r="E560" i="13"/>
  <c r="B561" i="13"/>
  <c r="C561" i="13"/>
  <c r="E561" i="13"/>
  <c r="B562" i="13"/>
  <c r="C562" i="13"/>
  <c r="E562" i="13"/>
  <c r="B563" i="13"/>
  <c r="C563" i="13"/>
  <c r="E563" i="13"/>
  <c r="B564" i="13"/>
  <c r="C564" i="13"/>
  <c r="E564" i="13"/>
  <c r="B565" i="13"/>
  <c r="C565" i="13"/>
  <c r="E565" i="13"/>
  <c r="B566" i="13"/>
  <c r="C566" i="13"/>
  <c r="E566" i="13"/>
  <c r="B567" i="13"/>
  <c r="C567" i="13"/>
  <c r="E567" i="13"/>
  <c r="B568" i="13"/>
  <c r="C568" i="13"/>
  <c r="E568" i="13"/>
  <c r="B569" i="13"/>
  <c r="C569" i="13"/>
  <c r="E569" i="13"/>
  <c r="B570" i="13"/>
  <c r="C570" i="13"/>
  <c r="E570" i="13"/>
  <c r="B571" i="13"/>
  <c r="C571" i="13"/>
  <c r="E571" i="13"/>
  <c r="B572" i="13"/>
  <c r="C572" i="13"/>
  <c r="E572" i="13"/>
  <c r="B573" i="13"/>
  <c r="C573" i="13"/>
  <c r="E573" i="13"/>
  <c r="B574" i="13"/>
  <c r="C574" i="13"/>
  <c r="E574" i="13"/>
  <c r="B575" i="13"/>
  <c r="C575" i="13"/>
  <c r="E575" i="13"/>
  <c r="B576" i="13"/>
  <c r="C576" i="13"/>
  <c r="E576" i="13"/>
  <c r="B577" i="13"/>
  <c r="C577" i="13"/>
  <c r="E577" i="13"/>
  <c r="B578" i="13"/>
  <c r="C578" i="13"/>
  <c r="E578" i="13"/>
  <c r="B579" i="13"/>
  <c r="C579" i="13"/>
  <c r="E579" i="13"/>
  <c r="B580" i="13"/>
  <c r="C580" i="13"/>
  <c r="E580" i="13"/>
  <c r="B581" i="13"/>
  <c r="C581" i="13"/>
  <c r="E581" i="13"/>
  <c r="B582" i="13"/>
  <c r="C582" i="13"/>
  <c r="E582" i="13"/>
  <c r="B583" i="13"/>
  <c r="C583" i="13"/>
  <c r="E583" i="13"/>
  <c r="B584" i="13"/>
  <c r="C584" i="13"/>
  <c r="E584" i="13"/>
  <c r="B585" i="13"/>
  <c r="C585" i="13"/>
  <c r="E585" i="13"/>
  <c r="B586" i="13"/>
  <c r="C586" i="13"/>
  <c r="E586" i="13"/>
  <c r="B587" i="13"/>
  <c r="C587" i="13"/>
  <c r="E587" i="13"/>
  <c r="B588" i="13"/>
  <c r="C588" i="13"/>
  <c r="E588" i="13"/>
  <c r="B589" i="13"/>
  <c r="C589" i="13"/>
  <c r="E589" i="13"/>
  <c r="B590" i="13"/>
  <c r="C590" i="13"/>
  <c r="E590" i="13"/>
  <c r="B591" i="13"/>
  <c r="C591" i="13"/>
  <c r="E591" i="13"/>
  <c r="B592" i="13"/>
  <c r="C592" i="13"/>
  <c r="E592" i="13"/>
  <c r="B593" i="13"/>
  <c r="C593" i="13"/>
  <c r="E593" i="13"/>
  <c r="B594" i="13"/>
  <c r="C594" i="13"/>
  <c r="E594" i="13"/>
  <c r="B595" i="13"/>
  <c r="C595" i="13"/>
  <c r="E595" i="13"/>
  <c r="B596" i="13"/>
  <c r="C596" i="13"/>
  <c r="E596" i="13"/>
  <c r="B597" i="13"/>
  <c r="C597" i="13"/>
  <c r="E597" i="13"/>
  <c r="B598" i="13"/>
  <c r="C598" i="13"/>
  <c r="E598" i="13"/>
  <c r="B599" i="13"/>
  <c r="C599" i="13"/>
  <c r="E599" i="13"/>
  <c r="B600" i="13"/>
  <c r="C600" i="13"/>
  <c r="E600" i="13"/>
  <c r="B601" i="13"/>
  <c r="C601" i="13"/>
  <c r="E601" i="13"/>
  <c r="B602" i="13"/>
  <c r="C602" i="13"/>
  <c r="E602" i="13"/>
  <c r="B603" i="13"/>
  <c r="C603" i="13"/>
  <c r="E603" i="13"/>
  <c r="B604" i="13"/>
  <c r="C604" i="13"/>
  <c r="E604" i="13"/>
  <c r="B605" i="13"/>
  <c r="C605" i="13"/>
  <c r="E605" i="13"/>
  <c r="B606" i="13"/>
  <c r="C606" i="13"/>
  <c r="E606" i="13"/>
  <c r="B607" i="13"/>
  <c r="C607" i="13"/>
  <c r="E607" i="13"/>
  <c r="B608" i="13"/>
  <c r="C608" i="13"/>
  <c r="E608" i="13"/>
  <c r="B609" i="13"/>
  <c r="C609" i="13"/>
  <c r="E609" i="13"/>
  <c r="B610" i="13"/>
  <c r="C610" i="13"/>
  <c r="E610" i="13"/>
  <c r="B611" i="13"/>
  <c r="C611" i="13"/>
  <c r="E611" i="13"/>
  <c r="B612" i="13"/>
  <c r="C612" i="13"/>
  <c r="E612" i="13"/>
  <c r="B613" i="13"/>
  <c r="C613" i="13"/>
  <c r="E613" i="13"/>
  <c r="B614" i="13"/>
  <c r="C614" i="13"/>
  <c r="E614" i="13"/>
  <c r="B615" i="13"/>
  <c r="C615" i="13"/>
  <c r="E615" i="13"/>
  <c r="B616" i="13"/>
  <c r="C616" i="13"/>
  <c r="E616" i="13"/>
  <c r="B617" i="13"/>
  <c r="C617" i="13"/>
  <c r="E617" i="13"/>
  <c r="B618" i="13"/>
  <c r="C618" i="13"/>
  <c r="E618" i="13"/>
  <c r="B619" i="13"/>
  <c r="C619" i="13"/>
  <c r="E619" i="13"/>
  <c r="B620" i="13"/>
  <c r="C620" i="13"/>
  <c r="E620" i="13"/>
  <c r="B621" i="13"/>
  <c r="C621" i="13"/>
  <c r="E621" i="13"/>
  <c r="B622" i="13"/>
  <c r="C622" i="13"/>
  <c r="E622" i="13"/>
  <c r="B623" i="13"/>
  <c r="C623" i="13"/>
  <c r="E623" i="13"/>
  <c r="B624" i="13"/>
  <c r="C624" i="13"/>
  <c r="E624" i="13"/>
  <c r="B625" i="13"/>
  <c r="C625" i="13"/>
  <c r="E625" i="13"/>
  <c r="B626" i="13"/>
  <c r="C626" i="13"/>
  <c r="E626" i="13"/>
  <c r="B627" i="13"/>
  <c r="C627" i="13"/>
  <c r="E627" i="13"/>
  <c r="B628" i="13"/>
  <c r="C628" i="13"/>
  <c r="E628" i="13"/>
  <c r="B629" i="13"/>
  <c r="C629" i="13"/>
  <c r="E629" i="13"/>
  <c r="B630" i="13"/>
  <c r="C630" i="13"/>
  <c r="E630" i="13"/>
  <c r="B631" i="13"/>
  <c r="C631" i="13"/>
  <c r="E631" i="13"/>
  <c r="B632" i="13"/>
  <c r="C632" i="13"/>
  <c r="E632" i="13"/>
  <c r="B633" i="13"/>
  <c r="C633" i="13"/>
  <c r="E633" i="13"/>
  <c r="B634" i="13"/>
  <c r="C634" i="13"/>
  <c r="E634" i="13"/>
  <c r="B635" i="13"/>
  <c r="C635" i="13"/>
  <c r="E635" i="13"/>
  <c r="B636" i="13"/>
  <c r="C636" i="13"/>
  <c r="E636" i="13"/>
  <c r="B637" i="13"/>
  <c r="C637" i="13"/>
  <c r="E637" i="13"/>
  <c r="B638" i="13"/>
  <c r="C638" i="13"/>
  <c r="E638" i="13"/>
  <c r="B639" i="13"/>
  <c r="C639" i="13"/>
  <c r="E639" i="13"/>
  <c r="B640" i="13"/>
  <c r="C640" i="13"/>
  <c r="E640" i="13"/>
  <c r="B641" i="13"/>
  <c r="C641" i="13"/>
  <c r="E641" i="13"/>
  <c r="B642" i="13"/>
  <c r="C642" i="13"/>
  <c r="E642" i="13"/>
  <c r="B643" i="13"/>
  <c r="C643" i="13"/>
  <c r="E643" i="13"/>
  <c r="B644" i="13"/>
  <c r="C644" i="13"/>
  <c r="E644" i="13"/>
  <c r="B645" i="13"/>
  <c r="C645" i="13"/>
  <c r="E645" i="13"/>
  <c r="B646" i="13"/>
  <c r="C646" i="13"/>
  <c r="E646" i="13"/>
  <c r="B647" i="13"/>
  <c r="C647" i="13"/>
  <c r="E647" i="13"/>
  <c r="B648" i="13"/>
  <c r="C648" i="13"/>
  <c r="E648" i="13"/>
  <c r="B649" i="13"/>
  <c r="C649" i="13"/>
  <c r="E649" i="13"/>
  <c r="B650" i="13"/>
  <c r="C650" i="13"/>
  <c r="E650" i="13"/>
  <c r="B651" i="13"/>
  <c r="C651" i="13"/>
  <c r="E651" i="13"/>
  <c r="B652" i="13"/>
  <c r="C652" i="13"/>
  <c r="E652" i="13"/>
  <c r="B653" i="13"/>
  <c r="C653" i="13"/>
  <c r="E653" i="13"/>
  <c r="B654" i="13"/>
  <c r="C654" i="13"/>
  <c r="E654" i="13"/>
  <c r="B655" i="13"/>
  <c r="C655" i="13"/>
  <c r="E655" i="13"/>
  <c r="B656" i="13"/>
  <c r="C656" i="13"/>
  <c r="E656" i="13"/>
  <c r="B657" i="13"/>
  <c r="C657" i="13"/>
  <c r="E657" i="13"/>
  <c r="B658" i="13"/>
  <c r="C658" i="13"/>
  <c r="E658" i="13"/>
  <c r="B659" i="13"/>
  <c r="C659" i="13"/>
  <c r="E659" i="13"/>
  <c r="B660" i="13"/>
  <c r="C660" i="13"/>
  <c r="E660" i="13"/>
  <c r="B661" i="13"/>
  <c r="C661" i="13"/>
  <c r="E661" i="13"/>
  <c r="B662" i="13"/>
  <c r="C662" i="13"/>
  <c r="E662" i="13"/>
  <c r="B663" i="13"/>
  <c r="C663" i="13"/>
  <c r="E663" i="13"/>
  <c r="B664" i="13"/>
  <c r="C664" i="13"/>
  <c r="E664" i="13"/>
  <c r="B665" i="13"/>
  <c r="C665" i="13"/>
  <c r="E665" i="13"/>
  <c r="B666" i="13"/>
  <c r="C666" i="13"/>
  <c r="E666" i="13"/>
  <c r="B667" i="13"/>
  <c r="C667" i="13"/>
  <c r="E667" i="13"/>
  <c r="B668" i="13"/>
  <c r="C668" i="13"/>
  <c r="E668" i="13"/>
  <c r="B669" i="13"/>
  <c r="C669" i="13"/>
  <c r="E669" i="13"/>
  <c r="B670" i="13"/>
  <c r="C670" i="13"/>
  <c r="E670" i="13"/>
  <c r="B671" i="13"/>
  <c r="C671" i="13"/>
  <c r="E671" i="13"/>
  <c r="B672" i="13"/>
  <c r="C672" i="13"/>
  <c r="E672" i="13"/>
  <c r="B673" i="13"/>
  <c r="C673" i="13"/>
  <c r="E673" i="13"/>
  <c r="B674" i="13"/>
  <c r="C674" i="13"/>
  <c r="E674" i="13"/>
  <c r="B675" i="13"/>
  <c r="C675" i="13"/>
  <c r="E675" i="13"/>
  <c r="B676" i="13"/>
  <c r="C676" i="13"/>
  <c r="E676" i="13"/>
  <c r="B677" i="13"/>
  <c r="C677" i="13"/>
  <c r="E677" i="13"/>
  <c r="B678" i="13"/>
  <c r="C678" i="13"/>
  <c r="E678" i="13"/>
  <c r="B679" i="13"/>
  <c r="C679" i="13"/>
  <c r="E679" i="13"/>
  <c r="B680" i="13"/>
  <c r="C680" i="13"/>
  <c r="E680" i="13"/>
  <c r="B681" i="13"/>
  <c r="C681" i="13"/>
  <c r="E681" i="13"/>
  <c r="B682" i="13"/>
  <c r="C682" i="13"/>
  <c r="E682" i="13"/>
  <c r="B683" i="13"/>
  <c r="C683" i="13"/>
  <c r="E683" i="13"/>
  <c r="B684" i="13"/>
  <c r="C684" i="13"/>
  <c r="E684" i="13"/>
  <c r="B685" i="13"/>
  <c r="C685" i="13"/>
  <c r="E685" i="13"/>
  <c r="B686" i="13"/>
  <c r="C686" i="13"/>
  <c r="E686" i="13"/>
  <c r="B687" i="13"/>
  <c r="C687" i="13"/>
  <c r="E687" i="13"/>
  <c r="B688" i="13"/>
  <c r="C688" i="13"/>
  <c r="E688" i="13"/>
  <c r="B689" i="13"/>
  <c r="C689" i="13"/>
  <c r="E689" i="13"/>
  <c r="B690" i="13"/>
  <c r="C690" i="13"/>
  <c r="E690" i="13"/>
  <c r="B691" i="13"/>
  <c r="C691" i="13"/>
  <c r="E691" i="13"/>
  <c r="B692" i="13"/>
  <c r="C692" i="13"/>
  <c r="E692" i="13"/>
  <c r="B693" i="13"/>
  <c r="C693" i="13"/>
  <c r="E693" i="13"/>
  <c r="B694" i="13"/>
  <c r="C694" i="13"/>
  <c r="E694" i="13"/>
  <c r="B695" i="13"/>
  <c r="C695" i="13"/>
  <c r="E695" i="13"/>
  <c r="B696" i="13"/>
  <c r="C696" i="13"/>
  <c r="E696" i="13"/>
  <c r="B697" i="13"/>
  <c r="C697" i="13"/>
  <c r="E697" i="13"/>
  <c r="B698" i="13"/>
  <c r="C698" i="13"/>
  <c r="E698" i="13"/>
  <c r="B699" i="13"/>
  <c r="C699" i="13"/>
  <c r="E699" i="13"/>
  <c r="B700" i="13"/>
  <c r="C700" i="13"/>
  <c r="E700" i="13"/>
  <c r="B701" i="13"/>
  <c r="C701" i="13"/>
  <c r="E701" i="13"/>
  <c r="B702" i="13"/>
  <c r="C702" i="13"/>
  <c r="E702" i="13"/>
  <c r="B703" i="13"/>
  <c r="C703" i="13"/>
  <c r="E703" i="13"/>
  <c r="B704" i="13"/>
  <c r="C704" i="13"/>
  <c r="E704" i="13"/>
  <c r="B705" i="13"/>
  <c r="C705" i="13"/>
  <c r="E705" i="13"/>
  <c r="B706" i="13"/>
  <c r="C706" i="13"/>
  <c r="E706" i="13"/>
  <c r="B707" i="13"/>
  <c r="C707" i="13"/>
  <c r="E707" i="13"/>
  <c r="B708" i="13"/>
  <c r="C708" i="13"/>
  <c r="E708" i="13"/>
  <c r="B709" i="13"/>
  <c r="C709" i="13"/>
  <c r="E709" i="13"/>
  <c r="B710" i="13"/>
  <c r="C710" i="13"/>
  <c r="E710" i="13"/>
  <c r="B711" i="13"/>
  <c r="C711" i="13"/>
  <c r="E711" i="13"/>
  <c r="B712" i="13"/>
  <c r="C712" i="13"/>
  <c r="E712" i="13"/>
  <c r="B713" i="13"/>
  <c r="C713" i="13"/>
  <c r="E713" i="13"/>
  <c r="B714" i="13"/>
  <c r="C714" i="13"/>
  <c r="E714" i="13"/>
  <c r="B715" i="13"/>
  <c r="C715" i="13"/>
  <c r="E715" i="13"/>
  <c r="B716" i="13"/>
  <c r="C716" i="13"/>
  <c r="E716" i="13"/>
  <c r="B717" i="13"/>
  <c r="C717" i="13"/>
  <c r="E717" i="13"/>
  <c r="B718" i="13"/>
  <c r="C718" i="13"/>
  <c r="E718" i="13"/>
  <c r="B719" i="13"/>
  <c r="C719" i="13"/>
  <c r="E719" i="13"/>
  <c r="B720" i="13"/>
  <c r="C720" i="13"/>
  <c r="E720" i="13"/>
  <c r="B721" i="13"/>
  <c r="C721" i="13"/>
  <c r="E721" i="13"/>
  <c r="B722" i="13"/>
  <c r="C722" i="13"/>
  <c r="E722" i="13"/>
  <c r="B723" i="13"/>
  <c r="C723" i="13"/>
  <c r="E723" i="13"/>
  <c r="B724" i="13"/>
  <c r="C724" i="13"/>
  <c r="E724" i="13"/>
  <c r="B725" i="13"/>
  <c r="C725" i="13"/>
  <c r="E725" i="13"/>
  <c r="B726" i="13"/>
  <c r="C726" i="13"/>
  <c r="E726" i="13"/>
  <c r="B727" i="13"/>
  <c r="C727" i="13"/>
  <c r="E727" i="13"/>
  <c r="B728" i="13"/>
  <c r="C728" i="13"/>
  <c r="E728" i="13"/>
  <c r="B729" i="13"/>
  <c r="C729" i="13"/>
  <c r="E729" i="13"/>
  <c r="B730" i="13"/>
  <c r="C730" i="13"/>
  <c r="E730" i="13"/>
  <c r="B731" i="13"/>
  <c r="C731" i="13"/>
  <c r="E731" i="13"/>
  <c r="B732" i="13"/>
  <c r="C732" i="13"/>
  <c r="E732" i="13"/>
  <c r="B733" i="13"/>
  <c r="C733" i="13"/>
  <c r="E733" i="13"/>
  <c r="B734" i="13"/>
  <c r="C734" i="13"/>
  <c r="E734" i="13"/>
  <c r="B735" i="13"/>
  <c r="C735" i="13"/>
  <c r="E735" i="13"/>
  <c r="B736" i="13"/>
  <c r="C736" i="13"/>
  <c r="E736" i="13"/>
  <c r="B737" i="13"/>
  <c r="C737" i="13"/>
  <c r="E737" i="13"/>
  <c r="B738" i="13"/>
  <c r="C738" i="13"/>
  <c r="E738" i="13"/>
  <c r="B739" i="13"/>
  <c r="C739" i="13"/>
  <c r="E739" i="13"/>
  <c r="B740" i="13"/>
  <c r="C740" i="13"/>
  <c r="E740" i="13"/>
  <c r="B741" i="13"/>
  <c r="C741" i="13"/>
  <c r="E741" i="13"/>
  <c r="B742" i="13"/>
  <c r="C742" i="13"/>
  <c r="E742" i="13"/>
  <c r="B743" i="13"/>
  <c r="C743" i="13"/>
  <c r="E743" i="13"/>
  <c r="B744" i="13"/>
  <c r="C744" i="13"/>
  <c r="E744" i="13"/>
  <c r="B745" i="13"/>
  <c r="C745" i="13"/>
  <c r="E745" i="13"/>
  <c r="B746" i="13"/>
  <c r="C746" i="13"/>
  <c r="E746" i="13"/>
  <c r="B747" i="13"/>
  <c r="C747" i="13"/>
  <c r="E747" i="13"/>
  <c r="B748" i="13"/>
  <c r="C748" i="13"/>
  <c r="E748" i="13"/>
  <c r="B749" i="13"/>
  <c r="C749" i="13"/>
  <c r="E749" i="13"/>
  <c r="B750" i="13"/>
  <c r="C750" i="13"/>
  <c r="E750" i="13"/>
  <c r="B751" i="13"/>
  <c r="C751" i="13"/>
  <c r="E751" i="13"/>
  <c r="B252" i="13"/>
  <c r="C252" i="13"/>
  <c r="E252" i="13"/>
  <c r="B253" i="13"/>
  <c r="C253" i="13"/>
  <c r="E253" i="13"/>
  <c r="B254" i="13"/>
  <c r="C254" i="13"/>
  <c r="E254" i="13"/>
  <c r="B255" i="13"/>
  <c r="C255" i="13"/>
  <c r="E255" i="13"/>
  <c r="B256" i="13"/>
  <c r="C256" i="13"/>
  <c r="E256" i="13"/>
  <c r="B257" i="13"/>
  <c r="C257" i="13"/>
  <c r="E257" i="13"/>
  <c r="B258" i="13"/>
  <c r="C258" i="13"/>
  <c r="E258" i="13"/>
  <c r="B259" i="13"/>
  <c r="C259" i="13"/>
  <c r="E259" i="13"/>
  <c r="B260" i="13"/>
  <c r="C260" i="13"/>
  <c r="E260" i="13"/>
  <c r="B261" i="13"/>
  <c r="C261" i="13"/>
  <c r="E261" i="13"/>
  <c r="B262" i="13"/>
  <c r="C262" i="13"/>
  <c r="E262" i="13"/>
  <c r="B263" i="13"/>
  <c r="C263" i="13"/>
  <c r="E263" i="13"/>
  <c r="B264" i="13"/>
  <c r="C264" i="13"/>
  <c r="E264" i="13"/>
  <c r="B265" i="13"/>
  <c r="C265" i="13"/>
  <c r="E265" i="13"/>
  <c r="B266" i="13"/>
  <c r="C266" i="13"/>
  <c r="E266" i="13"/>
  <c r="B267" i="13"/>
  <c r="C267" i="13"/>
  <c r="E267" i="13"/>
  <c r="B268" i="13"/>
  <c r="C268" i="13"/>
  <c r="E268" i="13"/>
  <c r="B269" i="13"/>
  <c r="C269" i="13"/>
  <c r="E269" i="13"/>
  <c r="B270" i="13"/>
  <c r="C270" i="13"/>
  <c r="E270" i="13"/>
  <c r="B271" i="13"/>
  <c r="C271" i="13"/>
  <c r="E271" i="13"/>
  <c r="B272" i="13"/>
  <c r="C272" i="13"/>
  <c r="E272" i="13"/>
  <c r="B273" i="13"/>
  <c r="C273" i="13"/>
  <c r="E273" i="13"/>
  <c r="B274" i="13"/>
  <c r="C274" i="13"/>
  <c r="E274" i="13"/>
  <c r="B275" i="13"/>
  <c r="C275" i="13"/>
  <c r="E275" i="13"/>
  <c r="B276" i="13"/>
  <c r="C276" i="13"/>
  <c r="E276" i="13"/>
  <c r="B277" i="13"/>
  <c r="C277" i="13"/>
  <c r="E277" i="13"/>
  <c r="B278" i="13"/>
  <c r="C278" i="13"/>
  <c r="E278" i="13"/>
  <c r="B279" i="13"/>
  <c r="C279" i="13"/>
  <c r="E279" i="13"/>
  <c r="B280" i="13"/>
  <c r="C280" i="13"/>
  <c r="E280" i="13"/>
  <c r="B281" i="13"/>
  <c r="C281" i="13"/>
  <c r="E281" i="13"/>
  <c r="B282" i="13"/>
  <c r="C282" i="13"/>
  <c r="E282" i="13"/>
  <c r="B283" i="13"/>
  <c r="C283" i="13"/>
  <c r="E283" i="13"/>
  <c r="B284" i="13"/>
  <c r="C284" i="13"/>
  <c r="E284" i="13"/>
  <c r="B285" i="13"/>
  <c r="C285" i="13"/>
  <c r="E285" i="13"/>
  <c r="B286" i="13"/>
  <c r="C286" i="13"/>
  <c r="E286" i="13"/>
  <c r="B287" i="13"/>
  <c r="C287" i="13"/>
  <c r="E287" i="13"/>
  <c r="B288" i="13"/>
  <c r="C288" i="13"/>
  <c r="E288" i="13"/>
  <c r="B289" i="13"/>
  <c r="C289" i="13"/>
  <c r="E289" i="13"/>
  <c r="B290" i="13"/>
  <c r="C290" i="13"/>
  <c r="E290" i="13"/>
  <c r="B291" i="13"/>
  <c r="C291" i="13"/>
  <c r="E291" i="13"/>
  <c r="B292" i="13"/>
  <c r="C292" i="13"/>
  <c r="E292" i="13"/>
  <c r="B293" i="13"/>
  <c r="C293" i="13"/>
  <c r="E293" i="13"/>
  <c r="B294" i="13"/>
  <c r="C294" i="13"/>
  <c r="E294" i="13"/>
  <c r="B295" i="13"/>
  <c r="C295" i="13"/>
  <c r="E295" i="13"/>
  <c r="B296" i="13"/>
  <c r="C296" i="13"/>
  <c r="E296" i="13"/>
  <c r="B297" i="13"/>
  <c r="C297" i="13"/>
  <c r="E297" i="13"/>
  <c r="B298" i="13"/>
  <c r="C298" i="13"/>
  <c r="E298" i="13"/>
  <c r="B299" i="13"/>
  <c r="C299" i="13"/>
  <c r="E299" i="13"/>
  <c r="B300" i="13"/>
  <c r="C300" i="13"/>
  <c r="E300" i="13"/>
  <c r="B301" i="13"/>
  <c r="C301" i="13"/>
  <c r="E301" i="13"/>
  <c r="B302" i="13"/>
  <c r="C302" i="13"/>
  <c r="E302" i="13"/>
  <c r="B303" i="13"/>
  <c r="C303" i="13"/>
  <c r="E303" i="13"/>
  <c r="B304" i="13"/>
  <c r="C304" i="13"/>
  <c r="E304" i="13"/>
  <c r="B305" i="13"/>
  <c r="C305" i="13"/>
  <c r="E305" i="13"/>
  <c r="B306" i="13"/>
  <c r="C306" i="13"/>
  <c r="E306" i="13"/>
  <c r="B307" i="13"/>
  <c r="C307" i="13"/>
  <c r="E307" i="13"/>
  <c r="B308" i="13"/>
  <c r="C308" i="13"/>
  <c r="E308" i="13"/>
  <c r="B309" i="13"/>
  <c r="C309" i="13"/>
  <c r="E309" i="13"/>
  <c r="B310" i="13"/>
  <c r="C310" i="13"/>
  <c r="E310" i="13"/>
  <c r="B311" i="13"/>
  <c r="C311" i="13"/>
  <c r="E311" i="13"/>
  <c r="B312" i="13"/>
  <c r="C312" i="13"/>
  <c r="E312" i="13"/>
  <c r="B313" i="13"/>
  <c r="C313" i="13"/>
  <c r="E313" i="13"/>
  <c r="B314" i="13"/>
  <c r="C314" i="13"/>
  <c r="E314" i="13"/>
  <c r="B315" i="13"/>
  <c r="C315" i="13"/>
  <c r="E315" i="13"/>
  <c r="B316" i="13"/>
  <c r="C316" i="13"/>
  <c r="E316" i="13"/>
  <c r="B317" i="13"/>
  <c r="C317" i="13"/>
  <c r="E317" i="13"/>
  <c r="B318" i="13"/>
  <c r="C318" i="13"/>
  <c r="E318" i="13"/>
  <c r="B319" i="13"/>
  <c r="C319" i="13"/>
  <c r="E319" i="13"/>
  <c r="B320" i="13"/>
  <c r="C320" i="13"/>
  <c r="E320" i="13"/>
  <c r="B321" i="13"/>
  <c r="C321" i="13"/>
  <c r="E321" i="13"/>
  <c r="B322" i="13"/>
  <c r="C322" i="13"/>
  <c r="E322" i="13"/>
  <c r="B323" i="13"/>
  <c r="C323" i="13"/>
  <c r="E323" i="13"/>
  <c r="B324" i="13"/>
  <c r="C324" i="13"/>
  <c r="E324" i="13"/>
  <c r="B325" i="13"/>
  <c r="C325" i="13"/>
  <c r="E325" i="13"/>
  <c r="B326" i="13"/>
  <c r="C326" i="13"/>
  <c r="E326" i="13"/>
  <c r="B327" i="13"/>
  <c r="C327" i="13"/>
  <c r="E327" i="13"/>
  <c r="B328" i="13"/>
  <c r="C328" i="13"/>
  <c r="E328" i="13"/>
  <c r="B329" i="13"/>
  <c r="C329" i="13"/>
  <c r="E329" i="13"/>
  <c r="B330" i="13"/>
  <c r="C330" i="13"/>
  <c r="E330" i="13"/>
  <c r="B331" i="13"/>
  <c r="C331" i="13"/>
  <c r="E331" i="13"/>
  <c r="B332" i="13"/>
  <c r="C332" i="13"/>
  <c r="E332" i="13"/>
  <c r="B333" i="13"/>
  <c r="C333" i="13"/>
  <c r="E333" i="13"/>
  <c r="B334" i="13"/>
  <c r="C334" i="13"/>
  <c r="E334" i="13"/>
  <c r="B335" i="13"/>
  <c r="C335" i="13"/>
  <c r="E335" i="13"/>
  <c r="B336" i="13"/>
  <c r="C336" i="13"/>
  <c r="E336" i="13"/>
  <c r="B337" i="13"/>
  <c r="C337" i="13"/>
  <c r="E337" i="13"/>
  <c r="B338" i="13"/>
  <c r="C338" i="13"/>
  <c r="E338" i="13"/>
  <c r="B339" i="13"/>
  <c r="C339" i="13"/>
  <c r="E339" i="13"/>
  <c r="B340" i="13"/>
  <c r="C340" i="13"/>
  <c r="E340" i="13"/>
  <c r="B341" i="13"/>
  <c r="C341" i="13"/>
  <c r="E341" i="13"/>
  <c r="B342" i="13"/>
  <c r="C342" i="13"/>
  <c r="E342" i="13"/>
  <c r="B343" i="13"/>
  <c r="C343" i="13"/>
  <c r="E343" i="13"/>
  <c r="B344" i="13"/>
  <c r="C344" i="13"/>
  <c r="E344" i="13"/>
  <c r="B345" i="13"/>
  <c r="C345" i="13"/>
  <c r="E345" i="13"/>
  <c r="B346" i="13"/>
  <c r="C346" i="13"/>
  <c r="E346" i="13"/>
  <c r="B347" i="13"/>
  <c r="C347" i="13"/>
  <c r="E347" i="13"/>
  <c r="B348" i="13"/>
  <c r="C348" i="13"/>
  <c r="E348" i="13"/>
  <c r="B349" i="13"/>
  <c r="C349" i="13"/>
  <c r="E349" i="13"/>
  <c r="B350" i="13"/>
  <c r="C350" i="13"/>
  <c r="E350" i="13"/>
  <c r="B351" i="13"/>
  <c r="C351" i="13"/>
  <c r="E351" i="13"/>
  <c r="B352" i="13"/>
  <c r="C352" i="13"/>
  <c r="E352" i="13"/>
  <c r="B353" i="13"/>
  <c r="C353" i="13"/>
  <c r="E353" i="13"/>
  <c r="B354" i="13"/>
  <c r="C354" i="13"/>
  <c r="E354" i="13"/>
  <c r="B355" i="13"/>
  <c r="C355" i="13"/>
  <c r="E355" i="13"/>
  <c r="B356" i="13"/>
  <c r="C356" i="13"/>
  <c r="E356" i="13"/>
  <c r="B357" i="13"/>
  <c r="C357" i="13"/>
  <c r="E357" i="13"/>
  <c r="B358" i="13"/>
  <c r="C358" i="13"/>
  <c r="E358" i="13"/>
  <c r="B359" i="13"/>
  <c r="C359" i="13"/>
  <c r="E359" i="13"/>
  <c r="B360" i="13"/>
  <c r="C360" i="13"/>
  <c r="E360" i="13"/>
  <c r="B361" i="13"/>
  <c r="C361" i="13"/>
  <c r="E361" i="13"/>
  <c r="B362" i="13"/>
  <c r="C362" i="13"/>
  <c r="E362" i="13"/>
  <c r="B363" i="13"/>
  <c r="C363" i="13"/>
  <c r="E363" i="13"/>
  <c r="B364" i="13"/>
  <c r="C364" i="13"/>
  <c r="E364" i="13"/>
  <c r="B365" i="13"/>
  <c r="C365" i="13"/>
  <c r="E365" i="13"/>
  <c r="B366" i="13"/>
  <c r="C366" i="13"/>
  <c r="E366" i="13"/>
  <c r="B367" i="13"/>
  <c r="C367" i="13"/>
  <c r="E367" i="13"/>
  <c r="B368" i="13"/>
  <c r="C368" i="13"/>
  <c r="E368" i="13"/>
  <c r="B369" i="13"/>
  <c r="C369" i="13"/>
  <c r="E369" i="13"/>
  <c r="B370" i="13"/>
  <c r="C370" i="13"/>
  <c r="E370" i="13"/>
  <c r="B371" i="13"/>
  <c r="C371" i="13"/>
  <c r="E371" i="13"/>
  <c r="B372" i="13"/>
  <c r="C372" i="13"/>
  <c r="E372" i="13"/>
  <c r="B373" i="13"/>
  <c r="C373" i="13"/>
  <c r="E373" i="13"/>
  <c r="B374" i="13"/>
  <c r="C374" i="13"/>
  <c r="E374" i="13"/>
  <c r="B375" i="13"/>
  <c r="C375" i="13"/>
  <c r="E375" i="13"/>
  <c r="B376" i="13"/>
  <c r="C376" i="13"/>
  <c r="E376" i="13"/>
  <c r="B377" i="13"/>
  <c r="C377" i="13"/>
  <c r="E377" i="13"/>
  <c r="B378" i="13"/>
  <c r="C378" i="13"/>
  <c r="E378" i="13"/>
  <c r="B379" i="13"/>
  <c r="C379" i="13"/>
  <c r="E379" i="13"/>
  <c r="B380" i="13"/>
  <c r="C380" i="13"/>
  <c r="E380" i="13"/>
  <c r="B381" i="13"/>
  <c r="C381" i="13"/>
  <c r="E381" i="13"/>
  <c r="B382" i="13"/>
  <c r="C382" i="13"/>
  <c r="E382" i="13"/>
  <c r="B383" i="13"/>
  <c r="C383" i="13"/>
  <c r="E383" i="13"/>
  <c r="B384" i="13"/>
  <c r="C384" i="13"/>
  <c r="E384" i="13"/>
  <c r="B385" i="13"/>
  <c r="C385" i="13"/>
  <c r="E385" i="13"/>
  <c r="B386" i="13"/>
  <c r="C386" i="13"/>
  <c r="E386" i="13"/>
  <c r="B387" i="13"/>
  <c r="C387" i="13"/>
  <c r="E387" i="13"/>
  <c r="B388" i="13"/>
  <c r="C388" i="13"/>
  <c r="E388" i="13"/>
  <c r="B389" i="13"/>
  <c r="C389" i="13"/>
  <c r="E389" i="13"/>
  <c r="B390" i="13"/>
  <c r="C390" i="13"/>
  <c r="E390" i="13"/>
  <c r="B391" i="13"/>
  <c r="C391" i="13"/>
  <c r="E391" i="13"/>
  <c r="B392" i="13"/>
  <c r="C392" i="13"/>
  <c r="E392" i="13"/>
  <c r="B393" i="13"/>
  <c r="C393" i="13"/>
  <c r="E393" i="13"/>
  <c r="B394" i="13"/>
  <c r="C394" i="13"/>
  <c r="E394" i="13"/>
  <c r="B395" i="13"/>
  <c r="C395" i="13"/>
  <c r="E395" i="13"/>
  <c r="B396" i="13"/>
  <c r="C396" i="13"/>
  <c r="E396" i="13"/>
  <c r="B397" i="13"/>
  <c r="C397" i="13"/>
  <c r="E397" i="13"/>
  <c r="B398" i="13"/>
  <c r="C398" i="13"/>
  <c r="E398" i="13"/>
  <c r="B399" i="13"/>
  <c r="C399" i="13"/>
  <c r="E399" i="13"/>
  <c r="B400" i="13"/>
  <c r="C400" i="13"/>
  <c r="E400" i="13"/>
  <c r="B401" i="13"/>
  <c r="C401" i="13"/>
  <c r="E401" i="13"/>
  <c r="B402" i="13"/>
  <c r="C402" i="13"/>
  <c r="E402" i="13"/>
  <c r="B403" i="13"/>
  <c r="C403" i="13"/>
  <c r="E403" i="13"/>
  <c r="B404" i="13"/>
  <c r="C404" i="13"/>
  <c r="E404" i="13"/>
  <c r="B405" i="13"/>
  <c r="C405" i="13"/>
  <c r="E405" i="13"/>
  <c r="B406" i="13"/>
  <c r="C406" i="13"/>
  <c r="E406" i="13"/>
  <c r="B407" i="13"/>
  <c r="C407" i="13"/>
  <c r="E407" i="13"/>
  <c r="B408" i="13"/>
  <c r="C408" i="13"/>
  <c r="E408" i="13"/>
  <c r="B409" i="13"/>
  <c r="C409" i="13"/>
  <c r="E409" i="13"/>
  <c r="B410" i="13"/>
  <c r="C410" i="13"/>
  <c r="E410" i="13"/>
  <c r="B411" i="13"/>
  <c r="C411" i="13"/>
  <c r="E411" i="13"/>
  <c r="B412" i="13"/>
  <c r="C412" i="13"/>
  <c r="E412" i="13"/>
  <c r="B413" i="13"/>
  <c r="C413" i="13"/>
  <c r="E413" i="13"/>
  <c r="B414" i="13"/>
  <c r="C414" i="13"/>
  <c r="E414" i="13"/>
  <c r="B415" i="13"/>
  <c r="C415" i="13"/>
  <c r="E415" i="13"/>
  <c r="B416" i="13"/>
  <c r="C416" i="13"/>
  <c r="E416" i="13"/>
  <c r="B417" i="13"/>
  <c r="C417" i="13"/>
  <c r="E417" i="13"/>
  <c r="B418" i="13"/>
  <c r="C418" i="13"/>
  <c r="E418" i="13"/>
  <c r="B419" i="13"/>
  <c r="C419" i="13"/>
  <c r="E419" i="13"/>
  <c r="B420" i="13"/>
  <c r="C420" i="13"/>
  <c r="E420" i="13"/>
  <c r="B421" i="13"/>
  <c r="C421" i="13"/>
  <c r="E421" i="13"/>
  <c r="B422" i="13"/>
  <c r="C422" i="13"/>
  <c r="E422" i="13"/>
  <c r="B423" i="13"/>
  <c r="C423" i="13"/>
  <c r="E423" i="13"/>
  <c r="B424" i="13"/>
  <c r="C424" i="13"/>
  <c r="E424" i="13"/>
  <c r="B425" i="13"/>
  <c r="C425" i="13"/>
  <c r="E425" i="13"/>
  <c r="B426" i="13"/>
  <c r="C426" i="13"/>
  <c r="E426" i="13"/>
  <c r="B427" i="13"/>
  <c r="C427" i="13"/>
  <c r="E427" i="13"/>
  <c r="B428" i="13"/>
  <c r="C428" i="13"/>
  <c r="E428" i="13"/>
  <c r="B429" i="13"/>
  <c r="C429" i="13"/>
  <c r="E429" i="13"/>
  <c r="B430" i="13"/>
  <c r="C430" i="13"/>
  <c r="E430" i="13"/>
  <c r="B431" i="13"/>
  <c r="C431" i="13"/>
  <c r="E431" i="13"/>
  <c r="B432" i="13"/>
  <c r="C432" i="13"/>
  <c r="E432" i="13"/>
  <c r="B433" i="13"/>
  <c r="C433" i="13"/>
  <c r="E433" i="13"/>
  <c r="B434" i="13"/>
  <c r="C434" i="13"/>
  <c r="E434" i="13"/>
  <c r="B435" i="13"/>
  <c r="C435" i="13"/>
  <c r="E435" i="13"/>
  <c r="B436" i="13"/>
  <c r="C436" i="13"/>
  <c r="E436" i="13"/>
  <c r="B437" i="13"/>
  <c r="C437" i="13"/>
  <c r="E437" i="13"/>
  <c r="B438" i="13"/>
  <c r="C438" i="13"/>
  <c r="E438" i="13"/>
  <c r="B439" i="13"/>
  <c r="C439" i="13"/>
  <c r="E439" i="13"/>
  <c r="B440" i="13"/>
  <c r="C440" i="13"/>
  <c r="E440" i="13"/>
  <c r="B441" i="13"/>
  <c r="C441" i="13"/>
  <c r="E441" i="13"/>
  <c r="B442" i="13"/>
  <c r="C442" i="13"/>
  <c r="E442" i="13"/>
  <c r="B443" i="13"/>
  <c r="C443" i="13"/>
  <c r="E443" i="13"/>
  <c r="B444" i="13"/>
  <c r="C444" i="13"/>
  <c r="E444" i="13"/>
  <c r="B445" i="13"/>
  <c r="C445" i="13"/>
  <c r="E445" i="13"/>
  <c r="B446" i="13"/>
  <c r="C446" i="13"/>
  <c r="E446" i="13"/>
  <c r="B447" i="13"/>
  <c r="C447" i="13"/>
  <c r="E447" i="13"/>
  <c r="B448" i="13"/>
  <c r="C448" i="13"/>
  <c r="E448" i="13"/>
  <c r="B449" i="13"/>
  <c r="C449" i="13"/>
  <c r="E449" i="13"/>
  <c r="B450" i="13"/>
  <c r="C450" i="13"/>
  <c r="E450" i="13"/>
  <c r="B451" i="13"/>
  <c r="C451" i="13"/>
  <c r="E451" i="13"/>
  <c r="B452" i="13"/>
  <c r="C452" i="13"/>
  <c r="E452" i="13"/>
  <c r="B453" i="13"/>
  <c r="C453" i="13"/>
  <c r="E453" i="13"/>
  <c r="B454" i="13"/>
  <c r="C454" i="13"/>
  <c r="E454" i="13"/>
  <c r="B455" i="13"/>
  <c r="C455" i="13"/>
  <c r="E455" i="13"/>
  <c r="B456" i="13"/>
  <c r="C456" i="13"/>
  <c r="E456" i="13"/>
  <c r="B457" i="13"/>
  <c r="C457" i="13"/>
  <c r="E457" i="13"/>
  <c r="B458" i="13"/>
  <c r="C458" i="13"/>
  <c r="E458" i="13"/>
  <c r="B459" i="13"/>
  <c r="C459" i="13"/>
  <c r="E459" i="13"/>
  <c r="B460" i="13"/>
  <c r="C460" i="13"/>
  <c r="E460" i="13"/>
  <c r="B461" i="13"/>
  <c r="C461" i="13"/>
  <c r="E461" i="13"/>
  <c r="B462" i="13"/>
  <c r="C462" i="13"/>
  <c r="E462" i="13"/>
  <c r="B463" i="13"/>
  <c r="C463" i="13"/>
  <c r="E463" i="13"/>
  <c r="B464" i="13"/>
  <c r="C464" i="13"/>
  <c r="E464" i="13"/>
  <c r="B465" i="13"/>
  <c r="C465" i="13"/>
  <c r="E465" i="13"/>
  <c r="B466" i="13"/>
  <c r="C466" i="13"/>
  <c r="E466" i="13"/>
  <c r="B467" i="13"/>
  <c r="C467" i="13"/>
  <c r="E467" i="13"/>
  <c r="B468" i="13"/>
  <c r="C468" i="13"/>
  <c r="E468" i="13"/>
  <c r="B469" i="13"/>
  <c r="C469" i="13"/>
  <c r="E469" i="13"/>
  <c r="B470" i="13"/>
  <c r="C470" i="13"/>
  <c r="E470" i="13"/>
  <c r="B471" i="13"/>
  <c r="C471" i="13"/>
  <c r="E471" i="13"/>
  <c r="B472" i="13"/>
  <c r="C472" i="13"/>
  <c r="E472" i="13"/>
  <c r="B473" i="13"/>
  <c r="C473" i="13"/>
  <c r="E473" i="13"/>
  <c r="B474" i="13"/>
  <c r="C474" i="13"/>
  <c r="E474" i="13"/>
  <c r="B475" i="13"/>
  <c r="C475" i="13"/>
  <c r="E475" i="13"/>
  <c r="B476" i="13"/>
  <c r="C476" i="13"/>
  <c r="E476" i="13"/>
  <c r="B477" i="13"/>
  <c r="C477" i="13"/>
  <c r="E477" i="13"/>
  <c r="B478" i="13"/>
  <c r="C478" i="13"/>
  <c r="E478" i="13"/>
  <c r="B479" i="13"/>
  <c r="C479" i="13"/>
  <c r="E479" i="13"/>
  <c r="B480" i="13"/>
  <c r="C480" i="13"/>
  <c r="E480" i="13"/>
  <c r="B481" i="13"/>
  <c r="C481" i="13"/>
  <c r="E481" i="13"/>
  <c r="B482" i="13"/>
  <c r="C482" i="13"/>
  <c r="E482" i="13"/>
  <c r="B483" i="13"/>
  <c r="C483" i="13"/>
  <c r="E483" i="13"/>
  <c r="B484" i="13"/>
  <c r="C484" i="13"/>
  <c r="E484" i="13"/>
  <c r="B485" i="13"/>
  <c r="C485" i="13"/>
  <c r="E485" i="13"/>
  <c r="B486" i="13"/>
  <c r="C486" i="13"/>
  <c r="E486" i="13"/>
  <c r="B487" i="13"/>
  <c r="C487" i="13"/>
  <c r="E487" i="13"/>
  <c r="B488" i="13"/>
  <c r="C488" i="13"/>
  <c r="E488" i="13"/>
  <c r="B489" i="13"/>
  <c r="C489" i="13"/>
  <c r="E489" i="13"/>
  <c r="B490" i="13"/>
  <c r="C490" i="13"/>
  <c r="E490" i="13"/>
  <c r="B491" i="13"/>
  <c r="C491" i="13"/>
  <c r="E491" i="13"/>
  <c r="B492" i="13"/>
  <c r="C492" i="13"/>
  <c r="E492" i="13"/>
  <c r="B493" i="13"/>
  <c r="C493" i="13"/>
  <c r="E493" i="13"/>
  <c r="B494" i="13"/>
  <c r="C494" i="13"/>
  <c r="E494" i="13"/>
  <c r="B495" i="13"/>
  <c r="C495" i="13"/>
  <c r="E495" i="13"/>
  <c r="B496" i="13"/>
  <c r="C496" i="13"/>
  <c r="E496" i="13"/>
  <c r="B497" i="13"/>
  <c r="C497" i="13"/>
  <c r="E497" i="13"/>
  <c r="B498" i="13"/>
  <c r="C498" i="13"/>
  <c r="E498" i="13"/>
  <c r="B499" i="13"/>
  <c r="C499" i="13"/>
  <c r="E499" i="13"/>
  <c r="B500" i="13"/>
  <c r="C500" i="13"/>
  <c r="E500" i="13"/>
  <c r="B501" i="13"/>
  <c r="C501" i="13"/>
  <c r="E501" i="13"/>
  <c r="B2" i="13"/>
  <c r="C2" i="13"/>
  <c r="E2" i="13"/>
  <c r="B3" i="13"/>
  <c r="C3" i="13"/>
  <c r="E3" i="13"/>
  <c r="B4" i="13"/>
  <c r="C4" i="13"/>
  <c r="E4" i="13"/>
  <c r="B5" i="13"/>
  <c r="C5" i="13"/>
  <c r="E5" i="13"/>
  <c r="B6" i="13"/>
  <c r="C6" i="13"/>
  <c r="E6" i="13"/>
  <c r="B7" i="13"/>
  <c r="C7" i="13"/>
  <c r="E7" i="13"/>
  <c r="B8" i="13"/>
  <c r="C8" i="13"/>
  <c r="E8" i="13"/>
  <c r="B9" i="13"/>
  <c r="C9" i="13"/>
  <c r="E9" i="13"/>
  <c r="B10" i="13"/>
  <c r="C10" i="13"/>
  <c r="E10" i="13"/>
  <c r="B11" i="13"/>
  <c r="C11" i="13"/>
  <c r="E11" i="13"/>
  <c r="B12" i="13"/>
  <c r="C12" i="13"/>
  <c r="E12" i="13"/>
  <c r="B13" i="13"/>
  <c r="C13" i="13"/>
  <c r="E13" i="13"/>
  <c r="B14" i="13"/>
  <c r="C14" i="13"/>
  <c r="E14" i="13"/>
  <c r="B15" i="13"/>
  <c r="C15" i="13"/>
  <c r="E15" i="13"/>
  <c r="B16" i="13"/>
  <c r="C16" i="13"/>
  <c r="E16" i="13"/>
  <c r="B17" i="13"/>
  <c r="C17" i="13"/>
  <c r="E17" i="13"/>
  <c r="B18" i="13"/>
  <c r="C18" i="13"/>
  <c r="E18" i="13"/>
  <c r="B19" i="13"/>
  <c r="C19" i="13"/>
  <c r="E19" i="13"/>
  <c r="B20" i="13"/>
  <c r="C20" i="13"/>
  <c r="E20" i="13"/>
  <c r="B21" i="13"/>
  <c r="C21" i="13"/>
  <c r="E21" i="13"/>
  <c r="B22" i="13"/>
  <c r="C22" i="13"/>
  <c r="E22" i="13"/>
  <c r="B23" i="13"/>
  <c r="C23" i="13"/>
  <c r="E23" i="13"/>
  <c r="B24" i="13"/>
  <c r="C24" i="13"/>
  <c r="E24" i="13"/>
  <c r="B25" i="13"/>
  <c r="C25" i="13"/>
  <c r="E25" i="13"/>
  <c r="B26" i="13"/>
  <c r="C26" i="13"/>
  <c r="E26" i="13"/>
  <c r="B27" i="13"/>
  <c r="C27" i="13"/>
  <c r="E27" i="13"/>
  <c r="B28" i="13"/>
  <c r="C28" i="13"/>
  <c r="E28" i="13"/>
  <c r="B29" i="13"/>
  <c r="C29" i="13"/>
  <c r="E29" i="13"/>
  <c r="B30" i="13"/>
  <c r="C30" i="13"/>
  <c r="E30" i="13"/>
  <c r="B31" i="13"/>
  <c r="C31" i="13"/>
  <c r="E31" i="13"/>
  <c r="B32" i="13"/>
  <c r="C32" i="13"/>
  <c r="E32" i="13"/>
  <c r="B33" i="13"/>
  <c r="C33" i="13"/>
  <c r="E33" i="13"/>
  <c r="B34" i="13"/>
  <c r="C34" i="13"/>
  <c r="E34" i="13"/>
  <c r="B35" i="13"/>
  <c r="C35" i="13"/>
  <c r="E35" i="13"/>
  <c r="B36" i="13"/>
  <c r="C36" i="13"/>
  <c r="E36" i="13"/>
  <c r="B37" i="13"/>
  <c r="C37" i="13"/>
  <c r="E37" i="13"/>
  <c r="B38" i="13"/>
  <c r="C38" i="13"/>
  <c r="E38" i="13"/>
  <c r="B39" i="13"/>
  <c r="C39" i="13"/>
  <c r="E39" i="13"/>
  <c r="B40" i="13"/>
  <c r="C40" i="13"/>
  <c r="E40" i="13"/>
  <c r="B41" i="13"/>
  <c r="C41" i="13"/>
  <c r="E41" i="13"/>
  <c r="B42" i="13"/>
  <c r="C42" i="13"/>
  <c r="E42" i="13"/>
  <c r="B43" i="13"/>
  <c r="C43" i="13"/>
  <c r="E43" i="13"/>
  <c r="B44" i="13"/>
  <c r="C44" i="13"/>
  <c r="E44" i="13"/>
  <c r="B45" i="13"/>
  <c r="C45" i="13"/>
  <c r="E45" i="13"/>
  <c r="B46" i="13"/>
  <c r="C46" i="13"/>
  <c r="E46" i="13"/>
  <c r="B47" i="13"/>
  <c r="C47" i="13"/>
  <c r="E47" i="13"/>
  <c r="B48" i="13"/>
  <c r="C48" i="13"/>
  <c r="E48" i="13"/>
  <c r="B49" i="13"/>
  <c r="C49" i="13"/>
  <c r="E49" i="13"/>
  <c r="B50" i="13"/>
  <c r="C50" i="13"/>
  <c r="E50" i="13"/>
  <c r="B51" i="13"/>
  <c r="C51" i="13"/>
  <c r="E51" i="13"/>
  <c r="B52" i="13"/>
  <c r="C52" i="13"/>
  <c r="E52" i="13"/>
  <c r="B53" i="13"/>
  <c r="C53" i="13"/>
  <c r="E53" i="13"/>
  <c r="B54" i="13"/>
  <c r="C54" i="13"/>
  <c r="E54" i="13"/>
  <c r="B55" i="13"/>
  <c r="C55" i="13"/>
  <c r="E55" i="13"/>
  <c r="B56" i="13"/>
  <c r="C56" i="13"/>
  <c r="E56" i="13"/>
  <c r="B57" i="13"/>
  <c r="C57" i="13"/>
  <c r="E57" i="13"/>
  <c r="B58" i="13"/>
  <c r="C58" i="13"/>
  <c r="E58" i="13"/>
  <c r="B59" i="13"/>
  <c r="C59" i="13"/>
  <c r="E59" i="13"/>
  <c r="B60" i="13"/>
  <c r="C60" i="13"/>
  <c r="E60" i="13"/>
  <c r="B61" i="13"/>
  <c r="C61" i="13"/>
  <c r="E61" i="13"/>
  <c r="B62" i="13"/>
  <c r="C62" i="13"/>
  <c r="E62" i="13"/>
  <c r="B63" i="13"/>
  <c r="C63" i="13"/>
  <c r="E63" i="13"/>
  <c r="B64" i="13"/>
  <c r="C64" i="13"/>
  <c r="E64" i="13"/>
  <c r="B65" i="13"/>
  <c r="C65" i="13"/>
  <c r="E65" i="13"/>
  <c r="B66" i="13"/>
  <c r="C66" i="13"/>
  <c r="E66" i="13"/>
  <c r="B67" i="13"/>
  <c r="C67" i="13"/>
  <c r="E67" i="13"/>
  <c r="B68" i="13"/>
  <c r="C68" i="13"/>
  <c r="E68" i="13"/>
  <c r="B69" i="13"/>
  <c r="C69" i="13"/>
  <c r="E69" i="13"/>
  <c r="B70" i="13"/>
  <c r="C70" i="13"/>
  <c r="E70" i="13"/>
  <c r="B71" i="13"/>
  <c r="C71" i="13"/>
  <c r="E71" i="13"/>
  <c r="B72" i="13"/>
  <c r="C72" i="13"/>
  <c r="E72" i="13"/>
  <c r="B73" i="13"/>
  <c r="C73" i="13"/>
  <c r="E73" i="13"/>
  <c r="B74" i="13"/>
  <c r="C74" i="13"/>
  <c r="E74" i="13"/>
  <c r="B75" i="13"/>
  <c r="C75" i="13"/>
  <c r="E75" i="13"/>
  <c r="B76" i="13"/>
  <c r="C76" i="13"/>
  <c r="E76" i="13"/>
  <c r="B77" i="13"/>
  <c r="C77" i="13"/>
  <c r="E77" i="13"/>
  <c r="B78" i="13"/>
  <c r="C78" i="13"/>
  <c r="E78" i="13"/>
  <c r="B79" i="13"/>
  <c r="C79" i="13"/>
  <c r="E79" i="13"/>
  <c r="B80" i="13"/>
  <c r="C80" i="13"/>
  <c r="E80" i="13"/>
  <c r="B81" i="13"/>
  <c r="C81" i="13"/>
  <c r="E81" i="13"/>
  <c r="B82" i="13"/>
  <c r="C82" i="13"/>
  <c r="E82" i="13"/>
  <c r="B83" i="13"/>
  <c r="C83" i="13"/>
  <c r="E83" i="13"/>
  <c r="B84" i="13"/>
  <c r="C84" i="13"/>
  <c r="E84" i="13"/>
  <c r="B85" i="13"/>
  <c r="C85" i="13"/>
  <c r="E85" i="13"/>
  <c r="B86" i="13"/>
  <c r="C86" i="13"/>
  <c r="E86" i="13"/>
  <c r="B87" i="13"/>
  <c r="C87" i="13"/>
  <c r="E87" i="13"/>
  <c r="B88" i="13"/>
  <c r="C88" i="13"/>
  <c r="E88" i="13"/>
  <c r="B89" i="13"/>
  <c r="C89" i="13"/>
  <c r="E89" i="13"/>
  <c r="B90" i="13"/>
  <c r="C90" i="13"/>
  <c r="E90" i="13"/>
  <c r="B91" i="13"/>
  <c r="C91" i="13"/>
  <c r="E91" i="13"/>
  <c r="B92" i="13"/>
  <c r="C92" i="13"/>
  <c r="E92" i="13"/>
  <c r="B93" i="13"/>
  <c r="C93" i="13"/>
  <c r="E93" i="13"/>
  <c r="B94" i="13"/>
  <c r="C94" i="13"/>
  <c r="E94" i="13"/>
  <c r="B95" i="13"/>
  <c r="C95" i="13"/>
  <c r="E95" i="13"/>
  <c r="B96" i="13"/>
  <c r="C96" i="13"/>
  <c r="E96" i="13"/>
  <c r="B97" i="13"/>
  <c r="C97" i="13"/>
  <c r="E97" i="13"/>
  <c r="B98" i="13"/>
  <c r="C98" i="13"/>
  <c r="E98" i="13"/>
  <c r="B99" i="13"/>
  <c r="C99" i="13"/>
  <c r="E99" i="13"/>
  <c r="B100" i="13"/>
  <c r="C100" i="13"/>
  <c r="E100" i="13"/>
  <c r="B101" i="13"/>
  <c r="C101" i="13"/>
  <c r="E101" i="13"/>
  <c r="B102" i="13"/>
  <c r="C102" i="13"/>
  <c r="E102" i="13"/>
  <c r="B103" i="13"/>
  <c r="C103" i="13"/>
  <c r="E103" i="13"/>
  <c r="B104" i="13"/>
  <c r="C104" i="13"/>
  <c r="E104" i="13"/>
  <c r="B105" i="13"/>
  <c r="C105" i="13"/>
  <c r="E105" i="13"/>
  <c r="B106" i="13"/>
  <c r="C106" i="13"/>
  <c r="E106" i="13"/>
  <c r="B107" i="13"/>
  <c r="C107" i="13"/>
  <c r="E107" i="13"/>
  <c r="B108" i="13"/>
  <c r="C108" i="13"/>
  <c r="E108" i="13"/>
  <c r="B109" i="13"/>
  <c r="C109" i="13"/>
  <c r="E109" i="13"/>
  <c r="B110" i="13"/>
  <c r="C110" i="13"/>
  <c r="E110" i="13"/>
  <c r="B111" i="13"/>
  <c r="C111" i="13"/>
  <c r="E111" i="13"/>
  <c r="B112" i="13"/>
  <c r="C112" i="13"/>
  <c r="E112" i="13"/>
  <c r="B113" i="13"/>
  <c r="C113" i="13"/>
  <c r="E113" i="13"/>
  <c r="B114" i="13"/>
  <c r="C114" i="13"/>
  <c r="E114" i="13"/>
  <c r="B115" i="13"/>
  <c r="C115" i="13"/>
  <c r="E115" i="13"/>
  <c r="B116" i="13"/>
  <c r="C116" i="13"/>
  <c r="E116" i="13"/>
  <c r="B117" i="13"/>
  <c r="C117" i="13"/>
  <c r="E117" i="13"/>
  <c r="B118" i="13"/>
  <c r="C118" i="13"/>
  <c r="E118" i="13"/>
  <c r="B119" i="13"/>
  <c r="C119" i="13"/>
  <c r="E119" i="13"/>
  <c r="B120" i="13"/>
  <c r="C120" i="13"/>
  <c r="E120" i="13"/>
  <c r="B121" i="13"/>
  <c r="C121" i="13"/>
  <c r="E121" i="13"/>
  <c r="B122" i="13"/>
  <c r="C122" i="13"/>
  <c r="E122" i="13"/>
  <c r="B123" i="13"/>
  <c r="C123" i="13"/>
  <c r="E123" i="13"/>
  <c r="B124" i="13"/>
  <c r="C124" i="13"/>
  <c r="E124" i="13"/>
  <c r="B125" i="13"/>
  <c r="C125" i="13"/>
  <c r="E125" i="13"/>
  <c r="B126" i="13"/>
  <c r="C126" i="13"/>
  <c r="E126" i="13"/>
  <c r="B127" i="13"/>
  <c r="C127" i="13"/>
  <c r="E127" i="13"/>
  <c r="B128" i="13"/>
  <c r="C128" i="13"/>
  <c r="E128" i="13"/>
  <c r="B129" i="13"/>
  <c r="C129" i="13"/>
  <c r="E129" i="13"/>
  <c r="B130" i="13"/>
  <c r="C130" i="13"/>
  <c r="E130" i="13"/>
  <c r="B131" i="13"/>
  <c r="C131" i="13"/>
  <c r="E131" i="13"/>
  <c r="B132" i="13"/>
  <c r="C132" i="13"/>
  <c r="E132" i="13"/>
  <c r="B133" i="13"/>
  <c r="C133" i="13"/>
  <c r="E133" i="13"/>
  <c r="B134" i="13"/>
  <c r="C134" i="13"/>
  <c r="E134" i="13"/>
  <c r="B135" i="13"/>
  <c r="C135" i="13"/>
  <c r="E135" i="13"/>
  <c r="B136" i="13"/>
  <c r="C136" i="13"/>
  <c r="E136" i="13"/>
  <c r="B137" i="13"/>
  <c r="C137" i="13"/>
  <c r="E137" i="13"/>
  <c r="B138" i="13"/>
  <c r="C138" i="13"/>
  <c r="E138" i="13"/>
  <c r="B139" i="13"/>
  <c r="C139" i="13"/>
  <c r="E139" i="13"/>
  <c r="B140" i="13"/>
  <c r="C140" i="13"/>
  <c r="E140" i="13"/>
  <c r="B141" i="13"/>
  <c r="C141" i="13"/>
  <c r="E141" i="13"/>
  <c r="B142" i="13"/>
  <c r="C142" i="13"/>
  <c r="E142" i="13"/>
  <c r="B143" i="13"/>
  <c r="C143" i="13"/>
  <c r="E143" i="13"/>
  <c r="B144" i="13"/>
  <c r="C144" i="13"/>
  <c r="E144" i="13"/>
  <c r="B145" i="13"/>
  <c r="C145" i="13"/>
  <c r="E145" i="13"/>
  <c r="B146" i="13"/>
  <c r="C146" i="13"/>
  <c r="E146" i="13"/>
  <c r="B147" i="13"/>
  <c r="C147" i="13"/>
  <c r="E147" i="13"/>
  <c r="B148" i="13"/>
  <c r="C148" i="13"/>
  <c r="E148" i="13"/>
  <c r="B149" i="13"/>
  <c r="C149" i="13"/>
  <c r="E149" i="13"/>
  <c r="B150" i="13"/>
  <c r="C150" i="13"/>
  <c r="E150" i="13"/>
  <c r="B151" i="13"/>
  <c r="C151" i="13"/>
  <c r="E151" i="13"/>
  <c r="B152" i="13"/>
  <c r="C152" i="13"/>
  <c r="E152" i="13"/>
  <c r="B153" i="13"/>
  <c r="C153" i="13"/>
  <c r="E153" i="13"/>
  <c r="B154" i="13"/>
  <c r="C154" i="13"/>
  <c r="E154" i="13"/>
  <c r="B155" i="13"/>
  <c r="C155" i="13"/>
  <c r="E155" i="13"/>
  <c r="B156" i="13"/>
  <c r="C156" i="13"/>
  <c r="E156" i="13"/>
  <c r="B157" i="13"/>
  <c r="C157" i="13"/>
  <c r="E157" i="13"/>
  <c r="B158" i="13"/>
  <c r="C158" i="13"/>
  <c r="E158" i="13"/>
  <c r="B159" i="13"/>
  <c r="C159" i="13"/>
  <c r="E159" i="13"/>
  <c r="B160" i="13"/>
  <c r="C160" i="13"/>
  <c r="E160" i="13"/>
  <c r="B161" i="13"/>
  <c r="C161" i="13"/>
  <c r="E161" i="13"/>
  <c r="B162" i="13"/>
  <c r="C162" i="13"/>
  <c r="E162" i="13"/>
  <c r="B163" i="13"/>
  <c r="C163" i="13"/>
  <c r="E163" i="13"/>
  <c r="B164" i="13"/>
  <c r="C164" i="13"/>
  <c r="E164" i="13"/>
  <c r="B165" i="13"/>
  <c r="C165" i="13"/>
  <c r="E165" i="13"/>
  <c r="B166" i="13"/>
  <c r="C166" i="13"/>
  <c r="E166" i="13"/>
  <c r="B167" i="13"/>
  <c r="C167" i="13"/>
  <c r="E167" i="13"/>
  <c r="B168" i="13"/>
  <c r="C168" i="13"/>
  <c r="E168" i="13"/>
  <c r="B169" i="13"/>
  <c r="C169" i="13"/>
  <c r="E169" i="13"/>
  <c r="B170" i="13"/>
  <c r="C170" i="13"/>
  <c r="E170" i="13"/>
  <c r="B171" i="13"/>
  <c r="C171" i="13"/>
  <c r="E171" i="13"/>
  <c r="B172" i="13"/>
  <c r="C172" i="13"/>
  <c r="E172" i="13"/>
  <c r="B173" i="13"/>
  <c r="C173" i="13"/>
  <c r="E173" i="13"/>
  <c r="B174" i="13"/>
  <c r="C174" i="13"/>
  <c r="E174" i="13"/>
  <c r="B175" i="13"/>
  <c r="C175" i="13"/>
  <c r="E175" i="13"/>
  <c r="B176" i="13"/>
  <c r="C176" i="13"/>
  <c r="E176" i="13"/>
  <c r="B177" i="13"/>
  <c r="C177" i="13"/>
  <c r="E177" i="13"/>
  <c r="B178" i="13"/>
  <c r="C178" i="13"/>
  <c r="E178" i="13"/>
  <c r="B179" i="13"/>
  <c r="C179" i="13"/>
  <c r="E179" i="13"/>
  <c r="B180" i="13"/>
  <c r="C180" i="13"/>
  <c r="E180" i="13"/>
  <c r="B181" i="13"/>
  <c r="C181" i="13"/>
  <c r="E181" i="13"/>
  <c r="B182" i="13"/>
  <c r="C182" i="13"/>
  <c r="E182" i="13"/>
  <c r="B183" i="13"/>
  <c r="C183" i="13"/>
  <c r="E183" i="13"/>
  <c r="B184" i="13"/>
  <c r="C184" i="13"/>
  <c r="E184" i="13"/>
  <c r="B185" i="13"/>
  <c r="C185" i="13"/>
  <c r="E185" i="13"/>
  <c r="B186" i="13"/>
  <c r="C186" i="13"/>
  <c r="E186" i="13"/>
  <c r="B187" i="13"/>
  <c r="C187" i="13"/>
  <c r="E187" i="13"/>
  <c r="B188" i="13"/>
  <c r="C188" i="13"/>
  <c r="E188" i="13"/>
  <c r="B189" i="13"/>
  <c r="C189" i="13"/>
  <c r="E189" i="13"/>
  <c r="B190" i="13"/>
  <c r="C190" i="13"/>
  <c r="E190" i="13"/>
  <c r="B191" i="13"/>
  <c r="C191" i="13"/>
  <c r="E191" i="13"/>
  <c r="B192" i="13"/>
  <c r="C192" i="13"/>
  <c r="E192" i="13"/>
  <c r="B193" i="13"/>
  <c r="C193" i="13"/>
  <c r="E193" i="13"/>
  <c r="B194" i="13"/>
  <c r="C194" i="13"/>
  <c r="E194" i="13"/>
  <c r="B195" i="13"/>
  <c r="C195" i="13"/>
  <c r="E195" i="13"/>
  <c r="B196" i="13"/>
  <c r="C196" i="13"/>
  <c r="E196" i="13"/>
  <c r="B197" i="13"/>
  <c r="C197" i="13"/>
  <c r="E197" i="13"/>
  <c r="B198" i="13"/>
  <c r="C198" i="13"/>
  <c r="E198" i="13"/>
  <c r="B199" i="13"/>
  <c r="C199" i="13"/>
  <c r="E199" i="13"/>
  <c r="B200" i="13"/>
  <c r="C200" i="13"/>
  <c r="E200" i="13"/>
  <c r="B201" i="13"/>
  <c r="C201" i="13"/>
  <c r="E201" i="13"/>
  <c r="B202" i="13"/>
  <c r="C202" i="13"/>
  <c r="E202" i="13"/>
  <c r="B203" i="13"/>
  <c r="C203" i="13"/>
  <c r="E203" i="13"/>
  <c r="B204" i="13"/>
  <c r="C204" i="13"/>
  <c r="E204" i="13"/>
  <c r="B205" i="13"/>
  <c r="C205" i="13"/>
  <c r="E205" i="13"/>
  <c r="B206" i="13"/>
  <c r="C206" i="13"/>
  <c r="E206" i="13"/>
  <c r="B207" i="13"/>
  <c r="C207" i="13"/>
  <c r="E207" i="13"/>
  <c r="B208" i="13"/>
  <c r="C208" i="13"/>
  <c r="E208" i="13"/>
  <c r="B209" i="13"/>
  <c r="C209" i="13"/>
  <c r="E209" i="13"/>
  <c r="B210" i="13"/>
  <c r="C210" i="13"/>
  <c r="E210" i="13"/>
  <c r="B211" i="13"/>
  <c r="C211" i="13"/>
  <c r="E211" i="13"/>
  <c r="B212" i="13"/>
  <c r="C212" i="13"/>
  <c r="E212" i="13"/>
  <c r="B213" i="13"/>
  <c r="C213" i="13"/>
  <c r="E213" i="13"/>
  <c r="B214" i="13"/>
  <c r="C214" i="13"/>
  <c r="E214" i="13"/>
  <c r="B215" i="13"/>
  <c r="C215" i="13"/>
  <c r="E215" i="13"/>
  <c r="B216" i="13"/>
  <c r="C216" i="13"/>
  <c r="E216" i="13"/>
  <c r="B217" i="13"/>
  <c r="C217" i="13"/>
  <c r="E217" i="13"/>
  <c r="B218" i="13"/>
  <c r="C218" i="13"/>
  <c r="E218" i="13"/>
  <c r="B219" i="13"/>
  <c r="C219" i="13"/>
  <c r="E219" i="13"/>
  <c r="B220" i="13"/>
  <c r="C220" i="13"/>
  <c r="E220" i="13"/>
  <c r="B221" i="13"/>
  <c r="C221" i="13"/>
  <c r="E221" i="13"/>
  <c r="B222" i="13"/>
  <c r="C222" i="13"/>
  <c r="E222" i="13"/>
  <c r="B223" i="13"/>
  <c r="C223" i="13"/>
  <c r="E223" i="13"/>
  <c r="B224" i="13"/>
  <c r="C224" i="13"/>
  <c r="E224" i="13"/>
  <c r="B225" i="13"/>
  <c r="C225" i="13"/>
  <c r="E225" i="13"/>
  <c r="B226" i="13"/>
  <c r="C226" i="13"/>
  <c r="E226" i="13"/>
  <c r="B227" i="13"/>
  <c r="C227" i="13"/>
  <c r="E227" i="13"/>
  <c r="B228" i="13"/>
  <c r="C228" i="13"/>
  <c r="E228" i="13"/>
  <c r="B229" i="13"/>
  <c r="C229" i="13"/>
  <c r="E229" i="13"/>
  <c r="B230" i="13"/>
  <c r="C230" i="13"/>
  <c r="E230" i="13"/>
  <c r="B231" i="13"/>
  <c r="C231" i="13"/>
  <c r="E231" i="13"/>
  <c r="B232" i="13"/>
  <c r="C232" i="13"/>
  <c r="E232" i="13"/>
  <c r="B233" i="13"/>
  <c r="C233" i="13"/>
  <c r="E233" i="13"/>
  <c r="B234" i="13"/>
  <c r="C234" i="13"/>
  <c r="E234" i="13"/>
  <c r="B235" i="13"/>
  <c r="C235" i="13"/>
  <c r="E235" i="13"/>
  <c r="B236" i="13"/>
  <c r="C236" i="13"/>
  <c r="E236" i="13"/>
  <c r="B237" i="13"/>
  <c r="C237" i="13"/>
  <c r="E237" i="13"/>
  <c r="B238" i="13"/>
  <c r="C238" i="13"/>
  <c r="E238" i="13"/>
  <c r="B239" i="13"/>
  <c r="C239" i="13"/>
  <c r="E239" i="13"/>
  <c r="B240" i="13"/>
  <c r="C240" i="13"/>
  <c r="E240" i="13"/>
  <c r="B241" i="13"/>
  <c r="C241" i="13"/>
  <c r="E241" i="13"/>
  <c r="B242" i="13"/>
  <c r="C242" i="13"/>
  <c r="E242" i="13"/>
  <c r="B243" i="13"/>
  <c r="C243" i="13"/>
  <c r="E243" i="13"/>
  <c r="B244" i="13"/>
  <c r="C244" i="13"/>
  <c r="E244" i="13"/>
  <c r="B245" i="13"/>
  <c r="C245" i="13"/>
  <c r="E245" i="13"/>
  <c r="B246" i="13"/>
  <c r="C246" i="13"/>
  <c r="E246" i="13"/>
  <c r="B247" i="13"/>
  <c r="C247" i="13"/>
  <c r="E247" i="13"/>
  <c r="B248" i="13"/>
  <c r="C248" i="13"/>
  <c r="E248" i="13"/>
  <c r="B249" i="13"/>
  <c r="C249" i="13"/>
  <c r="E249" i="13"/>
  <c r="B250" i="13"/>
  <c r="C250" i="13"/>
  <c r="E250" i="13"/>
  <c r="B251" i="13"/>
  <c r="C251" i="13"/>
  <c r="E251" i="13"/>
  <c r="E1002" i="14"/>
  <c r="E1003" i="14"/>
  <c r="E1004" i="14"/>
  <c r="E1005" i="14"/>
  <c r="E1006" i="14"/>
  <c r="E1007" i="14"/>
  <c r="E1008" i="14"/>
  <c r="E1009" i="14"/>
  <c r="E1010" i="14"/>
  <c r="E1011" i="14"/>
  <c r="E1012" i="14"/>
  <c r="E1013" i="14"/>
  <c r="E1014" i="14"/>
  <c r="E1015" i="14"/>
  <c r="E1016" i="14"/>
  <c r="E1017" i="14"/>
  <c r="E1018" i="14"/>
  <c r="E1019" i="14"/>
  <c r="E1020" i="14"/>
  <c r="E1021" i="14"/>
  <c r="E1022" i="14"/>
  <c r="E1023" i="14"/>
  <c r="E1024" i="14"/>
  <c r="E1025" i="14"/>
  <c r="E1026" i="14"/>
  <c r="E1027" i="14"/>
  <c r="E1028" i="14"/>
  <c r="E1029" i="14"/>
  <c r="E1030" i="14"/>
  <c r="E1031" i="14"/>
  <c r="E1032" i="14"/>
  <c r="E1033" i="14"/>
  <c r="E1034" i="14"/>
  <c r="E1035" i="14"/>
  <c r="E1036" i="14"/>
  <c r="E1037" i="14"/>
  <c r="E1038" i="14"/>
  <c r="E1039" i="14"/>
  <c r="E1040" i="14"/>
  <c r="E1041" i="14"/>
  <c r="E1042" i="14"/>
  <c r="E1043" i="14"/>
  <c r="E1044" i="14"/>
  <c r="E1045" i="14"/>
  <c r="E1046" i="14"/>
  <c r="E1047" i="14"/>
  <c r="E1048" i="14"/>
  <c r="E1049" i="14"/>
  <c r="E1050" i="14"/>
  <c r="E1051" i="14"/>
  <c r="E1052" i="14"/>
  <c r="E1053" i="14"/>
  <c r="E1054" i="14"/>
  <c r="E1055" i="14"/>
  <c r="E1056" i="14"/>
  <c r="E1057" i="14"/>
  <c r="E1058" i="14"/>
  <c r="E1059" i="14"/>
  <c r="E1060" i="14"/>
  <c r="E1061" i="14"/>
  <c r="E1062" i="14"/>
  <c r="E1063" i="14"/>
  <c r="E1064" i="14"/>
  <c r="E1065" i="14"/>
  <c r="E1066" i="14"/>
  <c r="E1067" i="14"/>
  <c r="E1068" i="14"/>
  <c r="E1069" i="14"/>
  <c r="E1070" i="14"/>
  <c r="E1071" i="14"/>
  <c r="E1072" i="14"/>
  <c r="E1073" i="14"/>
  <c r="E1074" i="14"/>
  <c r="E1075" i="14"/>
  <c r="E1076" i="14"/>
  <c r="E1077" i="14"/>
  <c r="E1078" i="14"/>
  <c r="E1079" i="14"/>
  <c r="E1080" i="14"/>
  <c r="E1081" i="14"/>
  <c r="E1082" i="14"/>
  <c r="E1083" i="14"/>
  <c r="E1084" i="14"/>
  <c r="E1085" i="14"/>
  <c r="E1086" i="14"/>
  <c r="E1087" i="14"/>
  <c r="E1088" i="14"/>
  <c r="E1089" i="14"/>
  <c r="E1090" i="14"/>
  <c r="E1091" i="14"/>
  <c r="E1092" i="14"/>
  <c r="E1093" i="14"/>
  <c r="E1094" i="14"/>
  <c r="E1095" i="14"/>
  <c r="E1096" i="14"/>
  <c r="E1097" i="14"/>
  <c r="E1098" i="14"/>
  <c r="E1099" i="14"/>
  <c r="E1100" i="14"/>
  <c r="E1101" i="14"/>
  <c r="E1102" i="14"/>
  <c r="E1103" i="14"/>
  <c r="E1104" i="14"/>
  <c r="E1105" i="14"/>
  <c r="E1106" i="14"/>
  <c r="E1107" i="14"/>
  <c r="E1108" i="14"/>
  <c r="E1109" i="14"/>
  <c r="E1110" i="14"/>
  <c r="E1111" i="14"/>
  <c r="E1112" i="14"/>
  <c r="E1113" i="14"/>
  <c r="E1114" i="14"/>
  <c r="E1115" i="14"/>
  <c r="E1116" i="14"/>
  <c r="E1117" i="14"/>
  <c r="E1118" i="14"/>
  <c r="E1119" i="14"/>
  <c r="E1120" i="14"/>
  <c r="E1121" i="14"/>
  <c r="E1122" i="14"/>
  <c r="E1123" i="14"/>
  <c r="E1124" i="14"/>
  <c r="E1125" i="14"/>
  <c r="E1126" i="14"/>
  <c r="E1127" i="14"/>
  <c r="E1128" i="14"/>
  <c r="E1129" i="14"/>
  <c r="E1130" i="14"/>
  <c r="E1131" i="14"/>
  <c r="E1132" i="14"/>
  <c r="E1133" i="14"/>
  <c r="E1134" i="14"/>
  <c r="E1135" i="14"/>
  <c r="E1136" i="14"/>
  <c r="E1137" i="14"/>
  <c r="E1138" i="14"/>
  <c r="E1139" i="14"/>
  <c r="E1140" i="14"/>
  <c r="E1141" i="14"/>
  <c r="E1142" i="14"/>
  <c r="E1143" i="14"/>
  <c r="E1144" i="14"/>
  <c r="E1145" i="14"/>
  <c r="E1146" i="14"/>
  <c r="E1147" i="14"/>
  <c r="E1148" i="14"/>
  <c r="E1149" i="14"/>
  <c r="E1150" i="14"/>
  <c r="E1151" i="14"/>
  <c r="E1152" i="14"/>
  <c r="E1153" i="14"/>
  <c r="E1154" i="14"/>
  <c r="E1155" i="14"/>
  <c r="E1156" i="14"/>
  <c r="E1157" i="14"/>
  <c r="E1158" i="14"/>
  <c r="E1159" i="14"/>
  <c r="E1160" i="14"/>
  <c r="E1161" i="14"/>
  <c r="E1162" i="14"/>
  <c r="E1163" i="14"/>
  <c r="E1164" i="14"/>
  <c r="E1165" i="14"/>
  <c r="E1166" i="14"/>
  <c r="E1167" i="14"/>
  <c r="E1168" i="14"/>
  <c r="E1169" i="14"/>
  <c r="E1170" i="14"/>
  <c r="E1171" i="14"/>
  <c r="E1172" i="14"/>
  <c r="E1173" i="14"/>
  <c r="E1174" i="14"/>
  <c r="E1175" i="14"/>
  <c r="E1176" i="14"/>
  <c r="E1177" i="14"/>
  <c r="E1178" i="14"/>
  <c r="E1179" i="14"/>
  <c r="E1180" i="14"/>
  <c r="E1181" i="14"/>
  <c r="E1182" i="14"/>
  <c r="E1183" i="14"/>
  <c r="E1184" i="14"/>
  <c r="E1185" i="14"/>
  <c r="E1186" i="14"/>
  <c r="E1187" i="14"/>
  <c r="E1188" i="14"/>
  <c r="E1189" i="14"/>
  <c r="E1190" i="14"/>
  <c r="E1191" i="14"/>
  <c r="E1192" i="14"/>
  <c r="E1193" i="14"/>
  <c r="E1194" i="14"/>
  <c r="E1195" i="14"/>
  <c r="E1196" i="14"/>
  <c r="E1197" i="14"/>
  <c r="E1198" i="14"/>
  <c r="E1199" i="14"/>
  <c r="E1200" i="14"/>
  <c r="E1201" i="14"/>
  <c r="E1202" i="14"/>
  <c r="E1203" i="14"/>
  <c r="E1204" i="14"/>
  <c r="E1205" i="14"/>
  <c r="E1206" i="14"/>
  <c r="E1207" i="14"/>
  <c r="E1208" i="14"/>
  <c r="E1209" i="14"/>
  <c r="E1210" i="14"/>
  <c r="E1211" i="14"/>
  <c r="E1212" i="14"/>
  <c r="E1213" i="14"/>
  <c r="E1214" i="14"/>
  <c r="E1215" i="14"/>
  <c r="E1216" i="14"/>
  <c r="E1217" i="14"/>
  <c r="E1218" i="14"/>
  <c r="E1219" i="14"/>
  <c r="E1220" i="14"/>
  <c r="E1221" i="14"/>
  <c r="E1222" i="14"/>
  <c r="E1223" i="14"/>
  <c r="E1224" i="14"/>
  <c r="E1225" i="14"/>
  <c r="E752" i="14"/>
  <c r="E753" i="14"/>
  <c r="E754" i="14"/>
  <c r="E755" i="14"/>
  <c r="E756" i="14"/>
  <c r="E757" i="14"/>
  <c r="E758" i="14"/>
  <c r="E759" i="14"/>
  <c r="E760" i="14"/>
  <c r="E761" i="14"/>
  <c r="E762" i="14"/>
  <c r="E763" i="14"/>
  <c r="E764" i="14"/>
  <c r="E765" i="14"/>
  <c r="E766" i="14"/>
  <c r="E767" i="14"/>
  <c r="E768" i="14"/>
  <c r="E769" i="14"/>
  <c r="E770" i="14"/>
  <c r="E771" i="14"/>
  <c r="E772" i="14"/>
  <c r="E773" i="14"/>
  <c r="E774" i="14"/>
  <c r="E775" i="14"/>
  <c r="E776" i="14"/>
  <c r="E777" i="14"/>
  <c r="E778" i="14"/>
  <c r="E779" i="14"/>
  <c r="E780" i="14"/>
  <c r="E781" i="14"/>
  <c r="E782" i="14"/>
  <c r="E783" i="14"/>
  <c r="E784" i="14"/>
  <c r="E785" i="14"/>
  <c r="E786" i="14"/>
  <c r="E787" i="14"/>
  <c r="E788" i="14"/>
  <c r="E789" i="14"/>
  <c r="E790" i="14"/>
  <c r="E791" i="14"/>
  <c r="E792" i="14"/>
  <c r="E793" i="14"/>
  <c r="E794" i="14"/>
  <c r="E795" i="14"/>
  <c r="E796" i="14"/>
  <c r="E797" i="14"/>
  <c r="E798" i="14"/>
  <c r="E799" i="14"/>
  <c r="E800" i="14"/>
  <c r="E801" i="14"/>
  <c r="E802" i="14"/>
  <c r="E803" i="14"/>
  <c r="E804" i="14"/>
  <c r="E805" i="14"/>
  <c r="E806" i="14"/>
  <c r="E807" i="14"/>
  <c r="E808" i="14"/>
  <c r="E809" i="14"/>
  <c r="E810" i="14"/>
  <c r="E811" i="14"/>
  <c r="E812" i="14"/>
  <c r="E813" i="14"/>
  <c r="E814" i="14"/>
  <c r="E815" i="14"/>
  <c r="E816" i="14"/>
  <c r="E817" i="14"/>
  <c r="E818" i="14"/>
  <c r="E819" i="14"/>
  <c r="E820" i="14"/>
  <c r="E821" i="14"/>
  <c r="E822" i="14"/>
  <c r="E823" i="14"/>
  <c r="E824" i="14"/>
  <c r="E825" i="14"/>
  <c r="E826" i="14"/>
  <c r="E827" i="14"/>
  <c r="E828" i="14"/>
  <c r="E829" i="14"/>
  <c r="E830" i="14"/>
  <c r="E831" i="14"/>
  <c r="E832" i="14"/>
  <c r="E833" i="14"/>
  <c r="E834" i="14"/>
  <c r="E835" i="14"/>
  <c r="E836" i="14"/>
  <c r="E837" i="14"/>
  <c r="E838" i="14"/>
  <c r="E839" i="14"/>
  <c r="E840" i="14"/>
  <c r="E841" i="14"/>
  <c r="E842" i="14"/>
  <c r="E843" i="14"/>
  <c r="E844" i="14"/>
  <c r="E845" i="14"/>
  <c r="E846" i="14"/>
  <c r="E847" i="14"/>
  <c r="E848" i="14"/>
  <c r="E849" i="14"/>
  <c r="E850" i="14"/>
  <c r="E851" i="14"/>
  <c r="E852" i="14"/>
  <c r="E853" i="14"/>
  <c r="E854" i="14"/>
  <c r="E855" i="14"/>
  <c r="E856" i="14"/>
  <c r="E857" i="14"/>
  <c r="E858" i="14"/>
  <c r="E859" i="14"/>
  <c r="E860" i="14"/>
  <c r="E861" i="14"/>
  <c r="E862" i="14"/>
  <c r="E863" i="14"/>
  <c r="E864" i="14"/>
  <c r="E865" i="14"/>
  <c r="E866" i="14"/>
  <c r="E867" i="14"/>
  <c r="E868" i="14"/>
  <c r="E869" i="14"/>
  <c r="E870" i="14"/>
  <c r="E871" i="14"/>
  <c r="E872" i="14"/>
  <c r="E873" i="14"/>
  <c r="E874" i="14"/>
  <c r="E875" i="14"/>
  <c r="E876" i="14"/>
  <c r="E877" i="14"/>
  <c r="E878" i="14"/>
  <c r="E879" i="14"/>
  <c r="E880" i="14"/>
  <c r="E881" i="14"/>
  <c r="E882" i="14"/>
  <c r="E883" i="14"/>
  <c r="E884" i="14"/>
  <c r="E885" i="14"/>
  <c r="E886" i="14"/>
  <c r="E887" i="14"/>
  <c r="E888" i="14"/>
  <c r="E889" i="14"/>
  <c r="E890" i="14"/>
  <c r="E891" i="14"/>
  <c r="E892" i="14"/>
  <c r="E893" i="14"/>
  <c r="E894" i="14"/>
  <c r="E895" i="14"/>
  <c r="E896" i="14"/>
  <c r="E897" i="14"/>
  <c r="E898" i="14"/>
  <c r="E899" i="14"/>
  <c r="E900" i="14"/>
  <c r="E901" i="14"/>
  <c r="E902" i="14"/>
  <c r="E903" i="14"/>
  <c r="E904" i="14"/>
  <c r="E905" i="14"/>
  <c r="E906" i="14"/>
  <c r="E907" i="14"/>
  <c r="E908" i="14"/>
  <c r="E909" i="14"/>
  <c r="E910" i="14"/>
  <c r="E911" i="14"/>
  <c r="E912" i="14"/>
  <c r="E913" i="14"/>
  <c r="E914" i="14"/>
  <c r="E915" i="14"/>
  <c r="E916" i="14"/>
  <c r="E917" i="14"/>
  <c r="E918" i="14"/>
  <c r="E919" i="14"/>
  <c r="E920" i="14"/>
  <c r="E921" i="14"/>
  <c r="E922" i="14"/>
  <c r="E923" i="14"/>
  <c r="E924" i="14"/>
  <c r="E925" i="14"/>
  <c r="E926" i="14"/>
  <c r="E927" i="14"/>
  <c r="E928" i="14"/>
  <c r="E929" i="14"/>
  <c r="E930" i="14"/>
  <c r="E931" i="14"/>
  <c r="E932" i="14"/>
  <c r="E933" i="14"/>
  <c r="E934" i="14"/>
  <c r="E935" i="14"/>
  <c r="E936" i="14"/>
  <c r="E937" i="14"/>
  <c r="E938" i="14"/>
  <c r="E939" i="14"/>
  <c r="E940" i="14"/>
  <c r="E941" i="14"/>
  <c r="E942" i="14"/>
  <c r="E943" i="14"/>
  <c r="E944" i="14"/>
  <c r="E945" i="14"/>
  <c r="E946" i="14"/>
  <c r="E947" i="14"/>
  <c r="E948" i="14"/>
  <c r="E949" i="14"/>
  <c r="E950" i="14"/>
  <c r="E951" i="14"/>
  <c r="E952" i="14"/>
  <c r="E953" i="14"/>
  <c r="E954" i="14"/>
  <c r="E955" i="14"/>
  <c r="E956" i="14"/>
  <c r="E957" i="14"/>
  <c r="E958" i="14"/>
  <c r="E959" i="14"/>
  <c r="E960" i="14"/>
  <c r="E961" i="14"/>
  <c r="E962" i="14"/>
  <c r="E963" i="14"/>
  <c r="E964" i="14"/>
  <c r="E965" i="14"/>
  <c r="E966" i="14"/>
  <c r="E967" i="14"/>
  <c r="E968" i="14"/>
  <c r="E969" i="14"/>
  <c r="E970" i="14"/>
  <c r="E971" i="14"/>
  <c r="E972" i="14"/>
  <c r="E973" i="14"/>
  <c r="E974" i="14"/>
  <c r="E975" i="14"/>
  <c r="E976" i="14"/>
  <c r="E977" i="14"/>
  <c r="E978" i="14"/>
  <c r="E979" i="14"/>
  <c r="E980" i="14"/>
  <c r="E981" i="14"/>
  <c r="E982" i="14"/>
  <c r="E983" i="14"/>
  <c r="E984" i="14"/>
  <c r="E985" i="14"/>
  <c r="E986" i="14"/>
  <c r="E987" i="14"/>
  <c r="E988" i="14"/>
  <c r="E989" i="14"/>
  <c r="E990" i="14"/>
  <c r="E991" i="14"/>
  <c r="E992" i="14"/>
  <c r="E993" i="14"/>
  <c r="E994" i="14"/>
  <c r="E995" i="14"/>
  <c r="E996" i="14"/>
  <c r="E997" i="14"/>
  <c r="E998" i="14"/>
  <c r="E999" i="14"/>
  <c r="E1000" i="14"/>
  <c r="E1001" i="14"/>
  <c r="E502" i="14"/>
  <c r="E503" i="14"/>
  <c r="E504" i="14"/>
  <c r="E505" i="14"/>
  <c r="E506" i="14"/>
  <c r="E507" i="14"/>
  <c r="E508" i="14"/>
  <c r="E509" i="14"/>
  <c r="E510" i="14"/>
  <c r="E511" i="14"/>
  <c r="E512" i="14"/>
  <c r="E513" i="14"/>
  <c r="E514" i="14"/>
  <c r="E515" i="14"/>
  <c r="E516" i="14"/>
  <c r="E517" i="14"/>
  <c r="E518" i="14"/>
  <c r="E519" i="14"/>
  <c r="E520" i="14"/>
  <c r="E521" i="14"/>
  <c r="E522" i="14"/>
  <c r="E523" i="14"/>
  <c r="E524" i="14"/>
  <c r="E525" i="14"/>
  <c r="E526" i="14"/>
  <c r="E527" i="14"/>
  <c r="E528" i="14"/>
  <c r="E529" i="14"/>
  <c r="E530" i="14"/>
  <c r="E531" i="14"/>
  <c r="E532" i="14"/>
  <c r="E533" i="14"/>
  <c r="E534" i="14"/>
  <c r="E535" i="14"/>
  <c r="E536" i="14"/>
  <c r="E537" i="14"/>
  <c r="E538" i="14"/>
  <c r="E539" i="14"/>
  <c r="E540" i="14"/>
  <c r="E541" i="14"/>
  <c r="E542" i="14"/>
  <c r="E543" i="14"/>
  <c r="E544" i="14"/>
  <c r="E545" i="14"/>
  <c r="E546" i="14"/>
  <c r="E547" i="14"/>
  <c r="E548" i="14"/>
  <c r="E549" i="14"/>
  <c r="E550" i="14"/>
  <c r="E551" i="14"/>
  <c r="E552" i="14"/>
  <c r="E553" i="14"/>
  <c r="E554" i="14"/>
  <c r="E555" i="14"/>
  <c r="E556" i="14"/>
  <c r="E557" i="14"/>
  <c r="E558" i="14"/>
  <c r="E559" i="14"/>
  <c r="E560" i="14"/>
  <c r="E561" i="14"/>
  <c r="E562" i="14"/>
  <c r="E563" i="14"/>
  <c r="E564" i="14"/>
  <c r="E565" i="14"/>
  <c r="E566" i="14"/>
  <c r="E567" i="14"/>
  <c r="E568" i="14"/>
  <c r="E569" i="14"/>
  <c r="E570" i="14"/>
  <c r="E571" i="14"/>
  <c r="E572" i="14"/>
  <c r="E573" i="14"/>
  <c r="E574" i="14"/>
  <c r="E575" i="14"/>
  <c r="E576" i="14"/>
  <c r="E577" i="14"/>
  <c r="E578" i="14"/>
  <c r="E579" i="14"/>
  <c r="E580" i="14"/>
  <c r="E581" i="14"/>
  <c r="E582" i="14"/>
  <c r="E583" i="14"/>
  <c r="E584" i="14"/>
  <c r="E585" i="14"/>
  <c r="E586" i="14"/>
  <c r="E587" i="14"/>
  <c r="E588" i="14"/>
  <c r="E589" i="14"/>
  <c r="E590" i="14"/>
  <c r="E591" i="14"/>
  <c r="E592" i="14"/>
  <c r="E593" i="14"/>
  <c r="E594" i="14"/>
  <c r="E595" i="14"/>
  <c r="E596" i="14"/>
  <c r="E597" i="14"/>
  <c r="E598" i="14"/>
  <c r="E599" i="14"/>
  <c r="E600" i="14"/>
  <c r="E601" i="14"/>
  <c r="E602" i="14"/>
  <c r="E603" i="14"/>
  <c r="E604" i="14"/>
  <c r="E605" i="14"/>
  <c r="E606" i="14"/>
  <c r="E607" i="14"/>
  <c r="E608" i="14"/>
  <c r="E609" i="14"/>
  <c r="E610" i="14"/>
  <c r="E611" i="14"/>
  <c r="E612" i="14"/>
  <c r="E613" i="14"/>
  <c r="E614" i="14"/>
  <c r="E615" i="14"/>
  <c r="E616" i="14"/>
  <c r="E617" i="14"/>
  <c r="E618" i="14"/>
  <c r="E619" i="14"/>
  <c r="E620" i="14"/>
  <c r="E621" i="14"/>
  <c r="E622" i="14"/>
  <c r="E623" i="14"/>
  <c r="E624" i="14"/>
  <c r="E625" i="14"/>
  <c r="E626" i="14"/>
  <c r="E627" i="14"/>
  <c r="E628" i="14"/>
  <c r="E629" i="14"/>
  <c r="E630" i="14"/>
  <c r="E631" i="14"/>
  <c r="E632" i="14"/>
  <c r="E633" i="14"/>
  <c r="E634" i="14"/>
  <c r="E635" i="14"/>
  <c r="E636" i="14"/>
  <c r="E637" i="14"/>
  <c r="E638" i="14"/>
  <c r="E639" i="14"/>
  <c r="E640" i="14"/>
  <c r="E641" i="14"/>
  <c r="E642" i="14"/>
  <c r="E643" i="14"/>
  <c r="E644" i="14"/>
  <c r="E645" i="14"/>
  <c r="E646" i="14"/>
  <c r="E647" i="14"/>
  <c r="E648" i="14"/>
  <c r="E649" i="14"/>
  <c r="E650" i="14"/>
  <c r="E651" i="14"/>
  <c r="E652" i="14"/>
  <c r="E653" i="14"/>
  <c r="E654" i="14"/>
  <c r="E655" i="14"/>
  <c r="E656" i="14"/>
  <c r="E657" i="14"/>
  <c r="E658" i="14"/>
  <c r="E659" i="14"/>
  <c r="E660" i="14"/>
  <c r="E661" i="14"/>
  <c r="E662" i="14"/>
  <c r="E663" i="14"/>
  <c r="E664" i="14"/>
  <c r="E665" i="14"/>
  <c r="E666" i="14"/>
  <c r="E667" i="14"/>
  <c r="E668" i="14"/>
  <c r="E669" i="14"/>
  <c r="E670" i="14"/>
  <c r="E671" i="14"/>
  <c r="E672" i="14"/>
  <c r="E673" i="14"/>
  <c r="E674" i="14"/>
  <c r="E675" i="14"/>
  <c r="E676" i="14"/>
  <c r="E677" i="14"/>
  <c r="E678" i="14"/>
  <c r="E679" i="14"/>
  <c r="E680" i="14"/>
  <c r="E681" i="14"/>
  <c r="E682" i="14"/>
  <c r="E683" i="14"/>
  <c r="E684" i="14"/>
  <c r="E685" i="14"/>
  <c r="E686" i="14"/>
  <c r="E687" i="14"/>
  <c r="E688" i="14"/>
  <c r="E689" i="14"/>
  <c r="E690" i="14"/>
  <c r="E691" i="14"/>
  <c r="E692" i="14"/>
  <c r="E693" i="14"/>
  <c r="E694" i="14"/>
  <c r="E695" i="14"/>
  <c r="E696" i="14"/>
  <c r="E697" i="14"/>
  <c r="E698" i="14"/>
  <c r="E699" i="14"/>
  <c r="E700" i="14"/>
  <c r="E701" i="14"/>
  <c r="E702" i="14"/>
  <c r="E703" i="14"/>
  <c r="E704" i="14"/>
  <c r="E705" i="14"/>
  <c r="E706" i="14"/>
  <c r="E707" i="14"/>
  <c r="E708" i="14"/>
  <c r="E709" i="14"/>
  <c r="E710" i="14"/>
  <c r="E711" i="14"/>
  <c r="E712" i="14"/>
  <c r="E713" i="14"/>
  <c r="E714" i="14"/>
  <c r="E715" i="14"/>
  <c r="E716" i="14"/>
  <c r="E717" i="14"/>
  <c r="E718" i="14"/>
  <c r="E719" i="14"/>
  <c r="E720" i="14"/>
  <c r="E721" i="14"/>
  <c r="E722" i="14"/>
  <c r="E723" i="14"/>
  <c r="E724" i="14"/>
  <c r="E725" i="14"/>
  <c r="E726" i="14"/>
  <c r="E727" i="14"/>
  <c r="E728" i="14"/>
  <c r="E729" i="14"/>
  <c r="E730" i="14"/>
  <c r="E731" i="14"/>
  <c r="E732" i="14"/>
  <c r="E733" i="14"/>
  <c r="E734" i="14"/>
  <c r="E735" i="14"/>
  <c r="E736" i="14"/>
  <c r="E737" i="14"/>
  <c r="E738" i="14"/>
  <c r="E739" i="14"/>
  <c r="E740" i="14"/>
  <c r="E741" i="14"/>
  <c r="E742" i="14"/>
  <c r="E743" i="14"/>
  <c r="E744" i="14"/>
  <c r="E745" i="14"/>
  <c r="E746" i="14"/>
  <c r="E747" i="14"/>
  <c r="E748" i="14"/>
  <c r="E749" i="14"/>
  <c r="E750" i="14"/>
  <c r="E751" i="14"/>
  <c r="E252" i="14"/>
  <c r="E253" i="14"/>
  <c r="E254" i="14"/>
  <c r="E255" i="14"/>
  <c r="E256" i="14"/>
  <c r="E257" i="14"/>
  <c r="E258" i="14"/>
  <c r="E259" i="14"/>
  <c r="E260" i="14"/>
  <c r="E261" i="14"/>
  <c r="E262" i="14"/>
  <c r="E263" i="14"/>
  <c r="E264" i="14"/>
  <c r="E265" i="14"/>
  <c r="E266" i="14"/>
  <c r="E267" i="14"/>
  <c r="E268" i="14"/>
  <c r="E269" i="14"/>
  <c r="E270" i="14"/>
  <c r="E271" i="14"/>
  <c r="E272" i="14"/>
  <c r="E273" i="14"/>
  <c r="E274" i="14"/>
  <c r="E275" i="14"/>
  <c r="E276" i="14"/>
  <c r="E277" i="14"/>
  <c r="E278" i="14"/>
  <c r="E279" i="14"/>
  <c r="E280" i="14"/>
  <c r="E281" i="14"/>
  <c r="E282" i="14"/>
  <c r="E283" i="14"/>
  <c r="E284" i="14"/>
  <c r="E285" i="14"/>
  <c r="E286" i="14"/>
  <c r="E287" i="14"/>
  <c r="E288" i="14"/>
  <c r="E289" i="14"/>
  <c r="E290" i="14"/>
  <c r="E291" i="14"/>
  <c r="E292" i="14"/>
  <c r="E293" i="14"/>
  <c r="E294" i="14"/>
  <c r="E295" i="14"/>
  <c r="E296" i="14"/>
  <c r="E297" i="14"/>
  <c r="E298" i="14"/>
  <c r="E299" i="14"/>
  <c r="E300" i="14"/>
  <c r="E301" i="14"/>
  <c r="E302" i="14"/>
  <c r="E303" i="14"/>
  <c r="E304" i="14"/>
  <c r="E305" i="14"/>
  <c r="E306" i="14"/>
  <c r="E307" i="14"/>
  <c r="E308" i="14"/>
  <c r="E309" i="14"/>
  <c r="E310" i="14"/>
  <c r="E311" i="14"/>
  <c r="E312" i="14"/>
  <c r="E313" i="14"/>
  <c r="E314" i="14"/>
  <c r="E315" i="14"/>
  <c r="E316" i="14"/>
  <c r="E317" i="14"/>
  <c r="E318" i="14"/>
  <c r="E319" i="14"/>
  <c r="E320" i="14"/>
  <c r="E321" i="14"/>
  <c r="E322" i="14"/>
  <c r="E323" i="14"/>
  <c r="E324" i="14"/>
  <c r="E325" i="14"/>
  <c r="E326" i="14"/>
  <c r="E327" i="14"/>
  <c r="E328" i="14"/>
  <c r="E329" i="14"/>
  <c r="E330" i="14"/>
  <c r="E331" i="14"/>
  <c r="E332" i="14"/>
  <c r="E333" i="14"/>
  <c r="E334" i="14"/>
  <c r="E335" i="14"/>
  <c r="E336" i="14"/>
  <c r="E337" i="14"/>
  <c r="E338" i="14"/>
  <c r="E339" i="14"/>
  <c r="E340" i="14"/>
  <c r="E341" i="14"/>
  <c r="E342" i="14"/>
  <c r="E343" i="14"/>
  <c r="E344" i="14"/>
  <c r="E345" i="14"/>
  <c r="E346" i="14"/>
  <c r="E347" i="14"/>
  <c r="E348" i="14"/>
  <c r="E349" i="14"/>
  <c r="E350" i="14"/>
  <c r="E351" i="14"/>
  <c r="E352" i="14"/>
  <c r="E353" i="14"/>
  <c r="E354" i="14"/>
  <c r="E355" i="14"/>
  <c r="E356" i="14"/>
  <c r="E357" i="14"/>
  <c r="E358" i="14"/>
  <c r="E359" i="14"/>
  <c r="E360" i="14"/>
  <c r="E361" i="14"/>
  <c r="E362" i="14"/>
  <c r="E363" i="14"/>
  <c r="E364" i="14"/>
  <c r="E365" i="14"/>
  <c r="E366" i="14"/>
  <c r="E367" i="14"/>
  <c r="E368" i="14"/>
  <c r="E369" i="14"/>
  <c r="E370" i="14"/>
  <c r="E371" i="14"/>
  <c r="E372" i="14"/>
  <c r="E373" i="14"/>
  <c r="E374" i="14"/>
  <c r="E375" i="14"/>
  <c r="E376" i="14"/>
  <c r="E377" i="14"/>
  <c r="E378" i="14"/>
  <c r="E379" i="14"/>
  <c r="E380" i="14"/>
  <c r="E381" i="14"/>
  <c r="E382" i="14"/>
  <c r="E383" i="14"/>
  <c r="E384" i="14"/>
  <c r="E385" i="14"/>
  <c r="E386" i="14"/>
  <c r="E387" i="14"/>
  <c r="E388" i="14"/>
  <c r="E389" i="14"/>
  <c r="E390" i="14"/>
  <c r="E391" i="14"/>
  <c r="E392" i="14"/>
  <c r="E393" i="14"/>
  <c r="E394" i="14"/>
  <c r="E395" i="14"/>
  <c r="E396" i="14"/>
  <c r="E397" i="14"/>
  <c r="E398" i="14"/>
  <c r="E399" i="14"/>
  <c r="E400" i="14"/>
  <c r="E401" i="14"/>
  <c r="E402" i="14"/>
  <c r="E403" i="14"/>
  <c r="E404" i="14"/>
  <c r="E405" i="14"/>
  <c r="E406" i="14"/>
  <c r="E407" i="14"/>
  <c r="E408" i="14"/>
  <c r="E409" i="14"/>
  <c r="E410" i="14"/>
  <c r="E411" i="14"/>
  <c r="E412" i="14"/>
  <c r="E413" i="14"/>
  <c r="E414" i="14"/>
  <c r="E415" i="14"/>
  <c r="E416" i="14"/>
  <c r="E417" i="14"/>
  <c r="E418" i="14"/>
  <c r="E419" i="14"/>
  <c r="E420" i="14"/>
  <c r="E421" i="14"/>
  <c r="E422" i="14"/>
  <c r="E423" i="14"/>
  <c r="E424" i="14"/>
  <c r="E425" i="14"/>
  <c r="E426" i="14"/>
  <c r="E427" i="14"/>
  <c r="E428" i="14"/>
  <c r="E429" i="14"/>
  <c r="E430" i="14"/>
  <c r="E431" i="14"/>
  <c r="E432" i="14"/>
  <c r="E433" i="14"/>
  <c r="E434" i="14"/>
  <c r="E435" i="14"/>
  <c r="E436" i="14"/>
  <c r="E437" i="14"/>
  <c r="E438" i="14"/>
  <c r="E439" i="14"/>
  <c r="E440" i="14"/>
  <c r="E441" i="14"/>
  <c r="E442" i="14"/>
  <c r="E443" i="14"/>
  <c r="E444" i="14"/>
  <c r="E445" i="14"/>
  <c r="E446" i="14"/>
  <c r="E447" i="14"/>
  <c r="E448" i="14"/>
  <c r="E449" i="14"/>
  <c r="E450" i="14"/>
  <c r="E451" i="14"/>
  <c r="E452" i="14"/>
  <c r="E453" i="14"/>
  <c r="E454" i="14"/>
  <c r="E455" i="14"/>
  <c r="E456" i="14"/>
  <c r="E457" i="14"/>
  <c r="E458" i="14"/>
  <c r="E459" i="14"/>
  <c r="E460" i="14"/>
  <c r="E461" i="14"/>
  <c r="E462" i="14"/>
  <c r="E463" i="14"/>
  <c r="E464" i="14"/>
  <c r="E465" i="14"/>
  <c r="E466" i="14"/>
  <c r="E467" i="14"/>
  <c r="E468" i="14"/>
  <c r="E469" i="14"/>
  <c r="E470" i="14"/>
  <c r="E471" i="14"/>
  <c r="E472" i="14"/>
  <c r="E473" i="14"/>
  <c r="E474" i="14"/>
  <c r="E475" i="14"/>
  <c r="E476" i="14"/>
  <c r="E477" i="14"/>
  <c r="E478" i="14"/>
  <c r="E479" i="14"/>
  <c r="E480" i="14"/>
  <c r="E481" i="14"/>
  <c r="E482" i="14"/>
  <c r="E483" i="14"/>
  <c r="E484" i="14"/>
  <c r="E485" i="14"/>
  <c r="E486" i="14"/>
  <c r="E487" i="14"/>
  <c r="E488" i="14"/>
  <c r="E489" i="14"/>
  <c r="E490" i="14"/>
  <c r="E491" i="14"/>
  <c r="E492" i="14"/>
  <c r="E493" i="14"/>
  <c r="E494" i="14"/>
  <c r="E495" i="14"/>
  <c r="E496" i="14"/>
  <c r="E497" i="14"/>
  <c r="E498" i="14"/>
  <c r="E499" i="14"/>
  <c r="E500" i="14"/>
  <c r="E501" i="14"/>
  <c r="E2" i="14"/>
  <c r="E3" i="14"/>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102" i="14"/>
  <c r="E103" i="14"/>
  <c r="E104" i="14"/>
  <c r="E105" i="14"/>
  <c r="E106" i="14"/>
  <c r="E107" i="14"/>
  <c r="E108" i="14"/>
  <c r="E109" i="14"/>
  <c r="E110" i="14"/>
  <c r="E111" i="14"/>
  <c r="E112" i="14"/>
  <c r="E113" i="14"/>
  <c r="E114" i="14"/>
  <c r="E115" i="14"/>
  <c r="E116" i="14"/>
  <c r="E117" i="14"/>
  <c r="E118" i="14"/>
  <c r="E119" i="14"/>
  <c r="E120" i="14"/>
  <c r="E121" i="14"/>
  <c r="E122" i="14"/>
  <c r="E123" i="14"/>
  <c r="E124" i="14"/>
  <c r="E125" i="14"/>
  <c r="E126" i="14"/>
  <c r="E127" i="14"/>
  <c r="E128" i="14"/>
  <c r="E129" i="14"/>
  <c r="E130" i="14"/>
  <c r="E131" i="14"/>
  <c r="E132" i="14"/>
  <c r="E133" i="14"/>
  <c r="E134" i="14"/>
  <c r="E135" i="14"/>
  <c r="E136" i="14"/>
  <c r="E137" i="14"/>
  <c r="E138" i="14"/>
  <c r="E139" i="14"/>
  <c r="E140" i="14"/>
  <c r="E141" i="14"/>
  <c r="E142" i="14"/>
  <c r="E143" i="14"/>
  <c r="E144" i="14"/>
  <c r="E145" i="14"/>
  <c r="E146" i="14"/>
  <c r="E147" i="14"/>
  <c r="E148" i="14"/>
  <c r="E149" i="14"/>
  <c r="E150" i="14"/>
  <c r="E151" i="14"/>
  <c r="E152" i="14"/>
  <c r="E153" i="14"/>
  <c r="E154" i="14"/>
  <c r="E155" i="14"/>
  <c r="E156" i="14"/>
  <c r="E157" i="14"/>
  <c r="E158" i="14"/>
  <c r="E159" i="14"/>
  <c r="E160" i="14"/>
  <c r="E161" i="14"/>
  <c r="E162" i="14"/>
  <c r="E163" i="14"/>
  <c r="E164" i="14"/>
  <c r="E165" i="14"/>
  <c r="E166" i="14"/>
  <c r="E167" i="14"/>
  <c r="E168" i="14"/>
  <c r="E169" i="14"/>
  <c r="E170" i="14"/>
  <c r="E171" i="14"/>
  <c r="E172" i="14"/>
  <c r="E173" i="14"/>
  <c r="E174" i="14"/>
  <c r="E175" i="14"/>
  <c r="E176" i="14"/>
  <c r="E177" i="14"/>
  <c r="E178" i="14"/>
  <c r="E179" i="14"/>
  <c r="E180" i="14"/>
  <c r="E181" i="14"/>
  <c r="E182" i="14"/>
  <c r="E183" i="14"/>
  <c r="E184" i="14"/>
  <c r="E185" i="14"/>
  <c r="E186" i="14"/>
  <c r="E187" i="14"/>
  <c r="E188" i="14"/>
  <c r="E189" i="14"/>
  <c r="E190" i="14"/>
  <c r="E191" i="14"/>
  <c r="E192" i="14"/>
  <c r="E193" i="14"/>
  <c r="E194" i="14"/>
  <c r="E195" i="14"/>
  <c r="E196" i="14"/>
  <c r="E197" i="14"/>
  <c r="E198" i="14"/>
  <c r="E199" i="14"/>
  <c r="E200" i="14"/>
  <c r="E201" i="14"/>
  <c r="E202" i="14"/>
  <c r="E203" i="14"/>
  <c r="E204" i="14"/>
  <c r="E205" i="14"/>
  <c r="E206" i="14"/>
  <c r="E207" i="14"/>
  <c r="E208" i="14"/>
  <c r="E209" i="14"/>
  <c r="E210" i="14"/>
  <c r="E211" i="14"/>
  <c r="E212" i="14"/>
  <c r="E213" i="14"/>
  <c r="E214" i="14"/>
  <c r="E215" i="14"/>
  <c r="E216" i="14"/>
  <c r="E217" i="14"/>
  <c r="E218" i="14"/>
  <c r="E219" i="14"/>
  <c r="E220" i="14"/>
  <c r="E221" i="14"/>
  <c r="E222" i="14"/>
  <c r="E223" i="14"/>
  <c r="E224" i="14"/>
  <c r="E225" i="14"/>
  <c r="E226" i="14"/>
  <c r="E227" i="14"/>
  <c r="E228" i="14"/>
  <c r="E229" i="14"/>
  <c r="E230" i="14"/>
  <c r="E231" i="14"/>
  <c r="E232" i="14"/>
  <c r="E233" i="14"/>
  <c r="E234" i="14"/>
  <c r="E235" i="14"/>
  <c r="E236" i="14"/>
  <c r="E237" i="14"/>
  <c r="E238" i="14"/>
  <c r="E239" i="14"/>
  <c r="E240" i="14"/>
  <c r="E241" i="14"/>
  <c r="E242" i="14"/>
  <c r="E243" i="14"/>
  <c r="E244" i="14"/>
  <c r="E245" i="14"/>
  <c r="E246" i="14"/>
  <c r="E247" i="14"/>
  <c r="E248" i="14"/>
  <c r="E249" i="14"/>
  <c r="E250" i="14"/>
  <c r="E251" i="14"/>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3" i="9" a="1"/>
  <c r="E4" i="9" a="1"/>
  <c r="E5" i="9" a="1"/>
  <c r="E6" i="9" a="1"/>
  <c r="E7" i="9" a="1"/>
  <c r="E8" i="9" a="1"/>
  <c r="E9" i="9" a="1"/>
  <c r="E10" i="9" a="1"/>
  <c r="E11" i="9" a="1"/>
  <c r="E12" i="9" a="1"/>
  <c r="E13" i="9" a="1"/>
  <c r="E14" i="9" a="1"/>
  <c r="E15" i="9" a="1"/>
  <c r="E16" i="9" a="1"/>
  <c r="E17" i="9" a="1"/>
  <c r="E18" i="9" a="1"/>
  <c r="E19" i="9" a="1"/>
  <c r="E20" i="9" a="1"/>
  <c r="E21" i="9" a="1"/>
  <c r="E22" i="9" a="1"/>
  <c r="E23" i="9" a="1"/>
  <c r="E24" i="9" a="1"/>
  <c r="E25" i="9" a="1"/>
  <c r="E26" i="9" a="1"/>
  <c r="E27" i="9" a="1"/>
  <c r="E28" i="9" a="1"/>
  <c r="E29" i="9" a="1"/>
  <c r="E30" i="9" a="1"/>
  <c r="E31" i="9" a="1"/>
  <c r="E32" i="9" a="1"/>
  <c r="E33" i="9" a="1"/>
  <c r="E34" i="9" a="1"/>
  <c r="E35" i="9" a="1"/>
  <c r="E36" i="9" a="1"/>
  <c r="E37" i="9" a="1"/>
  <c r="E38" i="9" a="1"/>
  <c r="E39" i="9" a="1"/>
  <c r="E40" i="9" a="1"/>
  <c r="E41" i="9" a="1"/>
  <c r="E42" i="9" a="1"/>
  <c r="E43" i="9" a="1"/>
  <c r="E44" i="9" a="1"/>
  <c r="E45" i="9" a="1"/>
  <c r="E46" i="9" a="1"/>
  <c r="E47" i="9" a="1"/>
  <c r="E48" i="9" a="1"/>
  <c r="E49" i="9" a="1"/>
  <c r="E50" i="9" a="1"/>
  <c r="E51" i="9" a="1"/>
  <c r="E52" i="9" a="1"/>
  <c r="E53" i="9" a="1"/>
  <c r="E54" i="9" a="1"/>
  <c r="E55" i="9" a="1"/>
  <c r="E56" i="9" a="1"/>
  <c r="E57" i="9" a="1"/>
  <c r="E58" i="9" a="1"/>
  <c r="E59" i="9" a="1"/>
  <c r="E60" i="9" a="1"/>
  <c r="E61" i="9" a="1"/>
  <c r="E62" i="9" a="1"/>
  <c r="E63" i="9" a="1"/>
  <c r="E64" i="9" a="1"/>
  <c r="E65" i="9" a="1"/>
  <c r="E66" i="9" a="1"/>
  <c r="E67" i="9" a="1"/>
  <c r="E68" i="9" a="1"/>
  <c r="E69" i="9" a="1"/>
  <c r="E70" i="9" a="1"/>
  <c r="E71" i="9" a="1"/>
  <c r="E72" i="9" a="1"/>
  <c r="E73" i="9" a="1"/>
  <c r="E74" i="9" a="1"/>
  <c r="E75" i="9" a="1"/>
  <c r="E76" i="9" a="1"/>
  <c r="E77" i="9" a="1"/>
  <c r="E78" i="9" a="1"/>
  <c r="E79" i="9" a="1"/>
  <c r="E80" i="9" a="1"/>
  <c r="E81" i="9" a="1"/>
  <c r="E82" i="9" a="1"/>
  <c r="E83" i="9" a="1"/>
  <c r="E84" i="9" a="1"/>
  <c r="E85" i="9" a="1"/>
  <c r="E86" i="9" a="1"/>
  <c r="E87" i="9" a="1"/>
  <c r="E88" i="9" a="1"/>
  <c r="E89" i="9" a="1"/>
  <c r="E90" i="9" a="1"/>
  <c r="E91" i="9" a="1"/>
  <c r="E92" i="9" a="1"/>
  <c r="E93" i="9" a="1"/>
  <c r="E94" i="9" a="1"/>
  <c r="E95" i="9" a="1"/>
  <c r="E96" i="9" a="1"/>
  <c r="E97" i="9" a="1"/>
  <c r="E98" i="9" a="1"/>
  <c r="E99" i="9" a="1"/>
  <c r="E100" i="9" a="1"/>
  <c r="E101" i="9" a="1"/>
  <c r="E102" i="9" a="1"/>
  <c r="E103" i="9" a="1"/>
  <c r="E104" i="9" a="1"/>
  <c r="E105" i="9" a="1"/>
  <c r="E106" i="9" a="1"/>
  <c r="E107" i="9" a="1"/>
  <c r="E108" i="9" a="1"/>
  <c r="E109" i="9" a="1"/>
  <c r="E110" i="9" a="1"/>
  <c r="E111" i="9" a="1"/>
  <c r="E112" i="9" a="1"/>
  <c r="E113" i="9" a="1"/>
  <c r="E114" i="9" a="1"/>
  <c r="E115" i="9" a="1"/>
  <c r="E116" i="9" a="1"/>
  <c r="E117" i="9" a="1"/>
  <c r="E118" i="9" a="1"/>
  <c r="E119" i="9" a="1"/>
  <c r="E120" i="9" a="1"/>
  <c r="E121" i="9" a="1"/>
  <c r="E122" i="9" a="1"/>
  <c r="E123" i="9" a="1"/>
  <c r="E124" i="9" a="1"/>
  <c r="E125" i="9" a="1"/>
  <c r="E126" i="9" a="1"/>
  <c r="E127" i="9" a="1"/>
  <c r="E128" i="9" a="1"/>
  <c r="E129" i="9" a="1"/>
  <c r="E130" i="9" a="1"/>
  <c r="E131" i="9" a="1"/>
  <c r="E132" i="9" a="1"/>
  <c r="E133" i="9" a="1"/>
  <c r="E134" i="9" a="1"/>
  <c r="E135" i="9" a="1"/>
  <c r="E136" i="9" a="1"/>
  <c r="E137" i="9" a="1"/>
  <c r="E138" i="9" a="1"/>
  <c r="E139" i="9" a="1"/>
  <c r="E140" i="9" a="1"/>
  <c r="E141" i="9" a="1"/>
  <c r="E142" i="9" a="1"/>
  <c r="E143" i="9" a="1"/>
  <c r="E144" i="9" a="1"/>
  <c r="E145" i="9" a="1"/>
  <c r="E146" i="9" a="1"/>
  <c r="E147" i="9" a="1"/>
  <c r="E148" i="9" a="1"/>
  <c r="E149" i="9" a="1"/>
  <c r="E150" i="9" a="1"/>
  <c r="E151" i="9" a="1"/>
  <c r="E152" i="9" a="1"/>
  <c r="E153" i="9" a="1"/>
  <c r="E154" i="9" a="1"/>
  <c r="E155" i="9" a="1"/>
  <c r="E156" i="9" a="1"/>
  <c r="E157" i="9" a="1"/>
  <c r="E158" i="9" a="1"/>
  <c r="E159" i="9" a="1"/>
  <c r="E160" i="9" a="1"/>
  <c r="E161" i="9" a="1"/>
  <c r="E162" i="9" a="1"/>
  <c r="E163" i="9" a="1"/>
  <c r="E164" i="9" a="1"/>
  <c r="E165" i="9" a="1"/>
  <c r="E166" i="9" a="1"/>
  <c r="E167" i="9" a="1"/>
  <c r="E168" i="9" a="1"/>
  <c r="E169" i="9" a="1"/>
  <c r="E170" i="9" a="1"/>
  <c r="E171" i="9" a="1"/>
  <c r="E172" i="9" a="1"/>
  <c r="E173" i="9" a="1"/>
  <c r="E174" i="9" a="1"/>
  <c r="E175" i="9" a="1"/>
  <c r="E176" i="9" a="1"/>
  <c r="E177" i="9" a="1"/>
  <c r="E178" i="9" a="1"/>
  <c r="E179" i="9" a="1"/>
  <c r="E180" i="9" a="1"/>
  <c r="E181" i="9" a="1"/>
  <c r="E182" i="9" a="1"/>
  <c r="E183" i="9" a="1"/>
  <c r="E184" i="9" a="1"/>
  <c r="E185" i="9" a="1"/>
  <c r="E186" i="9" a="1"/>
  <c r="E187" i="9" a="1"/>
  <c r="E188" i="9" a="1"/>
  <c r="E189" i="9" a="1"/>
  <c r="E190" i="9" a="1"/>
  <c r="E191" i="9" a="1"/>
  <c r="E192" i="9" a="1"/>
  <c r="E193" i="9" a="1"/>
  <c r="E194" i="9" a="1"/>
  <c r="E195" i="9" a="1"/>
  <c r="E196" i="9" a="1"/>
  <c r="E197" i="9" a="1"/>
  <c r="E198" i="9" a="1"/>
  <c r="E199" i="9" a="1"/>
  <c r="E200" i="9" a="1"/>
  <c r="E201" i="9" a="1"/>
  <c r="E202" i="9" a="1"/>
  <c r="E203" i="9" a="1"/>
  <c r="E204" i="9" a="1"/>
  <c r="E205" i="9" a="1"/>
  <c r="E206" i="9" a="1"/>
  <c r="E207" i="9" a="1"/>
  <c r="E208" i="9" a="1"/>
  <c r="E209" i="9" a="1"/>
  <c r="E210" i="9" a="1"/>
  <c r="E211" i="9" a="1"/>
  <c r="E212" i="9" a="1"/>
  <c r="E213" i="9" a="1"/>
  <c r="E214" i="9" a="1"/>
  <c r="E215" i="9" a="1"/>
  <c r="E216" i="9" a="1"/>
  <c r="E217" i="9" a="1"/>
  <c r="E218" i="9" a="1"/>
  <c r="E219" i="9" a="1"/>
  <c r="E220" i="9" a="1"/>
  <c r="E221" i="9" a="1"/>
  <c r="E222" i="9" a="1"/>
  <c r="E223" i="9" a="1"/>
  <c r="E224" i="9" a="1"/>
  <c r="E225" i="9" a="1"/>
  <c r="E226" i="9" a="1"/>
  <c r="E227" i="9" a="1"/>
  <c r="E228" i="9" a="1"/>
  <c r="E229" i="9" a="1"/>
  <c r="E230" i="9" a="1"/>
  <c r="E231" i="9" a="1"/>
  <c r="E232" i="9" a="1"/>
  <c r="E233" i="9" a="1"/>
  <c r="E234" i="9" a="1"/>
  <c r="E235" i="9" a="1"/>
  <c r="E236" i="9" a="1"/>
  <c r="E237" i="9" a="1"/>
  <c r="E238" i="9" a="1"/>
  <c r="E239" i="9" a="1"/>
  <c r="E240" i="9" a="1"/>
  <c r="E241" i="9" a="1"/>
  <c r="E242" i="9" a="1"/>
  <c r="E243" i="9" a="1"/>
  <c r="E244" i="9" a="1"/>
  <c r="E245" i="9" a="1"/>
  <c r="E246" i="9" a="1"/>
  <c r="E247" i="9" a="1"/>
  <c r="E248" i="9" a="1"/>
  <c r="E249" i="9" a="1"/>
  <c r="E250" i="9" a="1"/>
  <c r="E251" i="9" a="1"/>
  <c r="E252" i="9" a="1"/>
  <c r="E253" i="9" a="1"/>
  <c r="E254" i="9" a="1"/>
  <c r="E255" i="9" a="1"/>
  <c r="E256" i="9" a="1"/>
  <c r="E257" i="9" a="1"/>
  <c r="E258" i="9" a="1"/>
  <c r="E259" i="9" a="1"/>
  <c r="E260" i="9" a="1"/>
  <c r="E261" i="9" a="1"/>
  <c r="E262" i="9" a="1"/>
  <c r="E263" i="9" a="1"/>
  <c r="E264" i="9" a="1"/>
  <c r="E265" i="9" a="1"/>
  <c r="E266" i="9" a="1"/>
  <c r="E267" i="9" a="1"/>
  <c r="E268" i="9" a="1"/>
  <c r="E269" i="9" a="1"/>
  <c r="E270" i="9" a="1"/>
  <c r="E271" i="9" a="1"/>
  <c r="E272" i="9" a="1"/>
  <c r="E273" i="9" a="1"/>
  <c r="E274" i="9" a="1"/>
  <c r="E275" i="9" a="1"/>
  <c r="E276" i="9" a="1"/>
  <c r="E277" i="9" a="1"/>
  <c r="E278" i="9" a="1"/>
  <c r="E279" i="9" a="1"/>
  <c r="E280" i="9" a="1"/>
  <c r="E281" i="9" a="1"/>
  <c r="E282" i="9" a="1"/>
  <c r="E283" i="9" a="1"/>
  <c r="E284" i="9" a="1"/>
  <c r="E285" i="9" a="1"/>
  <c r="E286" i="9" a="1"/>
  <c r="E287" i="9" a="1"/>
  <c r="E288" i="9" a="1"/>
  <c r="E289" i="9" a="1"/>
  <c r="E290" i="9" a="1"/>
  <c r="E291" i="9" a="1"/>
  <c r="E292" i="9" a="1"/>
  <c r="E293" i="9" a="1"/>
  <c r="E294" i="9" a="1"/>
  <c r="E295" i="9" a="1"/>
  <c r="E296" i="9" a="1"/>
  <c r="E297" i="9" a="1"/>
  <c r="E298" i="9" a="1"/>
  <c r="E299" i="9" a="1"/>
  <c r="E300" i="9" a="1"/>
  <c r="E301" i="9" a="1"/>
  <c r="E302" i="9" a="1"/>
  <c r="E303" i="9" a="1"/>
  <c r="E304" i="9" a="1"/>
  <c r="E305" i="9" a="1"/>
  <c r="E306" i="9" a="1"/>
  <c r="E307" i="9" a="1"/>
  <c r="E308" i="9" a="1"/>
  <c r="E309" i="9" a="1"/>
  <c r="E310" i="9" a="1"/>
  <c r="E311" i="9" a="1"/>
  <c r="E312" i="9" a="1"/>
  <c r="E313" i="9" a="1"/>
  <c r="E314" i="9" a="1"/>
  <c r="E315" i="9" a="1"/>
  <c r="E316" i="9" a="1"/>
  <c r="E317" i="9" a="1"/>
  <c r="E318" i="9" a="1"/>
  <c r="E319" i="9" a="1"/>
  <c r="E320" i="9" a="1"/>
  <c r="E321" i="9" a="1"/>
  <c r="E322" i="9" a="1"/>
  <c r="E323" i="9" a="1"/>
  <c r="E324" i="9" a="1"/>
  <c r="E325" i="9" a="1"/>
  <c r="E326" i="9" a="1"/>
  <c r="E327" i="9" a="1"/>
  <c r="E328" i="9" a="1"/>
  <c r="E329" i="9" a="1"/>
  <c r="E330" i="9" a="1"/>
  <c r="E331" i="9" a="1"/>
  <c r="E332" i="9" a="1"/>
  <c r="E333" i="9" a="1"/>
  <c r="E334" i="9" a="1"/>
  <c r="E335" i="9" a="1"/>
  <c r="E336" i="9" a="1"/>
  <c r="E337" i="9" a="1"/>
  <c r="E338" i="9" a="1"/>
  <c r="E339" i="9" a="1"/>
  <c r="E340" i="9" a="1"/>
  <c r="E341" i="9" a="1"/>
  <c r="E342" i="9" a="1"/>
  <c r="E343" i="9" a="1"/>
  <c r="E344" i="9" a="1"/>
  <c r="E345" i="9" a="1"/>
  <c r="E346" i="9" a="1"/>
  <c r="E347" i="9" a="1"/>
  <c r="E348" i="9" a="1"/>
  <c r="E349" i="9" a="1"/>
  <c r="E350" i="9" a="1"/>
  <c r="E351" i="9" a="1"/>
  <c r="E352" i="9" a="1"/>
  <c r="E353" i="9" a="1"/>
  <c r="E354" i="9" a="1"/>
  <c r="E355" i="9" a="1"/>
  <c r="E356" i="9" a="1"/>
  <c r="E357" i="9" a="1"/>
  <c r="E358" i="9" a="1"/>
  <c r="E359" i="9" a="1"/>
  <c r="E360" i="9" a="1"/>
  <c r="E361" i="9" a="1"/>
  <c r="E362" i="9" a="1"/>
  <c r="E363" i="9" a="1"/>
  <c r="E364" i="9" a="1"/>
  <c r="E365" i="9" a="1"/>
  <c r="E366" i="9" a="1"/>
  <c r="E367" i="9" a="1"/>
  <c r="E368" i="9" a="1"/>
  <c r="E369" i="9" a="1"/>
  <c r="E370" i="9" a="1"/>
  <c r="E371" i="9" a="1"/>
  <c r="E372" i="9" a="1"/>
  <c r="E373" i="9" a="1"/>
  <c r="E374" i="9" a="1"/>
  <c r="E375" i="9" a="1"/>
  <c r="E376" i="9" a="1"/>
  <c r="E377" i="9" a="1"/>
  <c r="E378" i="9" a="1"/>
  <c r="E379" i="9" a="1"/>
  <c r="E380" i="9" a="1"/>
  <c r="E381" i="9" a="1"/>
  <c r="E382" i="9" a="1"/>
  <c r="E383" i="9" a="1"/>
  <c r="E384" i="9" a="1"/>
  <c r="E385" i="9" a="1"/>
  <c r="E386" i="9" a="1"/>
  <c r="E387" i="9" a="1"/>
  <c r="E388" i="9" a="1"/>
  <c r="E389" i="9" a="1"/>
  <c r="E390" i="9" a="1"/>
  <c r="E391" i="9" a="1"/>
  <c r="E392" i="9" a="1"/>
  <c r="E393" i="9" a="1"/>
  <c r="E394" i="9" a="1"/>
  <c r="E395" i="9" a="1"/>
  <c r="E396" i="9" a="1"/>
  <c r="E397" i="9" a="1"/>
  <c r="E398" i="9" a="1"/>
  <c r="E399" i="9" a="1"/>
  <c r="E400" i="9" a="1"/>
  <c r="E401" i="9" a="1"/>
  <c r="E402" i="9" a="1"/>
  <c r="E403" i="9" a="1"/>
  <c r="E404" i="9" a="1"/>
  <c r="E405" i="9" a="1"/>
  <c r="E406" i="9" a="1"/>
  <c r="E407" i="9" a="1"/>
  <c r="E408" i="9" a="1"/>
  <c r="E409" i="9" a="1"/>
  <c r="E410" i="9" a="1"/>
  <c r="E411" i="9" a="1"/>
  <c r="E412" i="9" a="1"/>
  <c r="E413" i="9" a="1"/>
  <c r="E414" i="9" a="1"/>
  <c r="E415" i="9" a="1"/>
  <c r="E416" i="9" a="1"/>
  <c r="E417" i="9" a="1"/>
  <c r="E418" i="9" a="1"/>
  <c r="E419" i="9" a="1"/>
  <c r="E420" i="9" a="1"/>
  <c r="E421" i="9" a="1"/>
  <c r="E422" i="9" a="1"/>
  <c r="E423" i="9" a="1"/>
  <c r="E424" i="9" a="1"/>
  <c r="E425" i="9" a="1"/>
  <c r="E426" i="9" a="1"/>
  <c r="E427" i="9" a="1"/>
  <c r="E428" i="9" a="1"/>
  <c r="E429" i="9" a="1"/>
  <c r="E430" i="9" a="1"/>
  <c r="E431" i="9" a="1"/>
  <c r="E432" i="9" a="1"/>
  <c r="E433" i="9" a="1"/>
  <c r="E434" i="9" a="1"/>
  <c r="E435" i="9" a="1"/>
  <c r="E436" i="9" a="1"/>
  <c r="E437" i="9" a="1"/>
  <c r="E438" i="9" a="1"/>
  <c r="E439" i="9" a="1"/>
  <c r="E2" i="9" a="1"/>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 i="12"/>
  <c r="I3" i="12"/>
  <c r="H4" i="12"/>
  <c r="I4" i="12"/>
  <c r="H5" i="12"/>
  <c r="I5" i="12"/>
  <c r="H6" i="12"/>
  <c r="I6" i="12"/>
  <c r="H7" i="12"/>
  <c r="I7" i="12"/>
  <c r="H8" i="12"/>
  <c r="I8" i="12"/>
  <c r="H9" i="12"/>
  <c r="I9" i="12"/>
  <c r="H10" i="12"/>
  <c r="I10" i="12"/>
  <c r="H11" i="12"/>
  <c r="I11" i="12"/>
  <c r="H12" i="12"/>
  <c r="I12" i="12"/>
  <c r="H13" i="12"/>
  <c r="I13" i="12"/>
  <c r="H14" i="12"/>
  <c r="I14" i="12"/>
  <c r="H15" i="12"/>
  <c r="I15" i="12"/>
  <c r="H16" i="12"/>
  <c r="I16" i="12"/>
  <c r="H17" i="12"/>
  <c r="I17" i="12"/>
  <c r="H18" i="12"/>
  <c r="I18" i="12"/>
  <c r="H19" i="12"/>
  <c r="I19" i="12"/>
  <c r="H20" i="12"/>
  <c r="I20" i="12"/>
  <c r="H21" i="12"/>
  <c r="I21" i="12"/>
  <c r="H22" i="12"/>
  <c r="I22" i="12"/>
  <c r="H23" i="12"/>
  <c r="I23" i="12"/>
  <c r="H24" i="12"/>
  <c r="I24" i="12"/>
  <c r="H25" i="12"/>
  <c r="I25" i="12"/>
  <c r="H26" i="12"/>
  <c r="I26" i="12"/>
  <c r="H27" i="12"/>
  <c r="I27" i="12"/>
  <c r="H28" i="12"/>
  <c r="I28" i="12"/>
  <c r="H2" i="12"/>
  <c r="I2" i="12"/>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2"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2"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I8" i="10"/>
  <c r="K8" i="10"/>
  <c r="I7" i="10"/>
  <c r="K7" i="10"/>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E169" i="8" s="1"/>
  <c r="A170" i="8"/>
  <c r="E170" i="8" s="1"/>
  <c r="A171" i="8"/>
  <c r="E171" i="8" s="1"/>
  <c r="A172" i="8"/>
  <c r="E172" i="8" s="1"/>
  <c r="A173" i="8"/>
  <c r="E173" i="8" s="1"/>
  <c r="A174" i="8"/>
  <c r="E174" i="8" s="1"/>
  <c r="A175" i="8"/>
  <c r="E175" i="8" s="1"/>
  <c r="A176" i="8"/>
  <c r="E176" i="8" s="1"/>
  <c r="A177" i="8"/>
  <c r="E177" i="8" s="1"/>
  <c r="A178" i="8"/>
  <c r="E178" i="8" s="1"/>
  <c r="A179" i="8"/>
  <c r="E179" i="8" s="1"/>
  <c r="A180" i="8"/>
  <c r="E180" i="8" s="1"/>
  <c r="A181" i="8"/>
  <c r="E181" i="8" s="1"/>
  <c r="A182" i="8"/>
  <c r="E182" i="8" s="1"/>
  <c r="A183" i="8"/>
  <c r="E183" i="8" s="1"/>
  <c r="A184" i="8"/>
  <c r="E184" i="8" s="1"/>
  <c r="A185" i="8"/>
  <c r="E185" i="8" s="1"/>
  <c r="A186" i="8"/>
  <c r="E186" i="8" s="1"/>
  <c r="A187" i="8"/>
  <c r="E187" i="8" s="1"/>
  <c r="A188" i="8"/>
  <c r="E188" i="8" s="1"/>
  <c r="A189" i="8"/>
  <c r="E189" i="8" s="1"/>
  <c r="A190" i="8"/>
  <c r="E190" i="8" s="1"/>
  <c r="A191" i="8"/>
  <c r="E191" i="8" s="1"/>
  <c r="A192" i="8"/>
  <c r="E192" i="8" s="1"/>
  <c r="A193" i="8"/>
  <c r="E193" i="8" s="1"/>
  <c r="A194" i="8"/>
  <c r="E194" i="8" s="1"/>
  <c r="A195" i="8"/>
  <c r="E195" i="8" s="1"/>
  <c r="A196" i="8"/>
  <c r="E196" i="8" s="1"/>
  <c r="A197" i="8"/>
  <c r="E197" i="8" s="1"/>
  <c r="A198" i="8"/>
  <c r="E198" i="8" s="1"/>
  <c r="A199" i="8"/>
  <c r="E199" i="8" s="1"/>
  <c r="A200" i="8"/>
  <c r="E200" i="8" s="1"/>
  <c r="A201" i="8"/>
  <c r="E201" i="8" s="1"/>
  <c r="A202" i="8"/>
  <c r="E202" i="8" s="1"/>
  <c r="A203" i="8"/>
  <c r="E203" i="8" s="1"/>
  <c r="A204" i="8"/>
  <c r="E204" i="8" s="1"/>
  <c r="A205" i="8"/>
  <c r="E205" i="8" s="1"/>
  <c r="A206" i="8"/>
  <c r="E206" i="8" s="1"/>
  <c r="A207" i="8"/>
  <c r="E207" i="8" s="1"/>
  <c r="A208" i="8"/>
  <c r="E208" i="8" s="1"/>
  <c r="A209" i="8"/>
  <c r="E209" i="8" s="1"/>
  <c r="A210" i="8"/>
  <c r="E210" i="8" s="1"/>
  <c r="A211" i="8"/>
  <c r="E211" i="8" s="1"/>
  <c r="A212" i="8"/>
  <c r="E212" i="8" s="1"/>
  <c r="A213" i="8"/>
  <c r="E213" i="8" s="1"/>
  <c r="A214" i="8"/>
  <c r="E214" i="8" s="1"/>
  <c r="A215" i="8"/>
  <c r="E215" i="8" s="1"/>
  <c r="A216" i="8"/>
  <c r="E216" i="8" s="1"/>
  <c r="A217" i="8"/>
  <c r="E217" i="8" s="1"/>
  <c r="A218" i="8"/>
  <c r="E218" i="8" s="1"/>
  <c r="A219" i="8"/>
  <c r="E219" i="8" s="1"/>
  <c r="A220" i="8"/>
  <c r="E220" i="8" s="1"/>
  <c r="A221" i="8"/>
  <c r="E221" i="8" s="1"/>
  <c r="A222" i="8"/>
  <c r="E222" i="8" s="1"/>
  <c r="A223" i="8"/>
  <c r="E223" i="8" s="1"/>
  <c r="A224" i="8"/>
  <c r="E224" i="8" s="1"/>
  <c r="A225" i="8"/>
  <c r="E225" i="8" s="1"/>
  <c r="A226" i="8"/>
  <c r="E226" i="8" s="1"/>
  <c r="A227" i="8"/>
  <c r="E227" i="8" s="1"/>
  <c r="A228" i="8"/>
  <c r="E228" i="8" s="1"/>
  <c r="A229" i="8"/>
  <c r="E229" i="8" s="1"/>
  <c r="A230" i="8"/>
  <c r="E230" i="8" s="1"/>
  <c r="A231" i="8"/>
  <c r="E231" i="8" s="1"/>
  <c r="A232" i="8"/>
  <c r="E232" i="8" s="1"/>
  <c r="A233" i="8"/>
  <c r="E233" i="8" s="1"/>
  <c r="A234" i="8"/>
  <c r="E234" i="8" s="1"/>
  <c r="A235" i="8"/>
  <c r="E235" i="8" s="1"/>
  <c r="A236" i="8"/>
  <c r="E236" i="8" s="1"/>
  <c r="A237" i="8"/>
  <c r="E237" i="8" s="1"/>
  <c r="A238" i="8"/>
  <c r="E238" i="8" s="1"/>
  <c r="A239" i="8"/>
  <c r="E239" i="8" s="1"/>
  <c r="A240" i="8"/>
  <c r="E240" i="8" s="1"/>
  <c r="A241" i="8"/>
  <c r="E241" i="8" s="1"/>
  <c r="A242" i="8"/>
  <c r="E242" i="8" s="1"/>
  <c r="A243" i="8"/>
  <c r="E243" i="8" s="1"/>
  <c r="A244" i="8"/>
  <c r="E244" i="8" s="1"/>
  <c r="A245" i="8"/>
  <c r="E245" i="8" s="1"/>
  <c r="A246" i="8"/>
  <c r="E246" i="8" s="1"/>
  <c r="A247" i="8"/>
  <c r="E247" i="8" s="1"/>
  <c r="A248" i="8"/>
  <c r="E248" i="8" s="1"/>
  <c r="A249" i="8"/>
  <c r="E249" i="8" s="1"/>
  <c r="A250" i="8"/>
  <c r="E250" i="8" s="1"/>
  <c r="A251" i="8"/>
  <c r="E251" i="8" s="1"/>
  <c r="A252" i="8"/>
  <c r="E252" i="8" s="1"/>
  <c r="A253" i="8"/>
  <c r="E253" i="8" s="1"/>
  <c r="A254" i="8"/>
  <c r="E254" i="8" s="1"/>
  <c r="A255" i="8"/>
  <c r="E255" i="8" s="1"/>
  <c r="A256" i="8"/>
  <c r="E256" i="8" s="1"/>
  <c r="A257" i="8"/>
  <c r="E257" i="8" s="1"/>
  <c r="A258" i="8"/>
  <c r="E258" i="8" s="1"/>
  <c r="A259" i="8"/>
  <c r="E259" i="8" s="1"/>
  <c r="A260" i="8"/>
  <c r="E260" i="8" s="1"/>
  <c r="A261" i="8"/>
  <c r="E261" i="8" s="1"/>
  <c r="A262" i="8"/>
  <c r="E262" i="8" s="1"/>
  <c r="A263" i="8"/>
  <c r="E263" i="8" s="1"/>
  <c r="A264" i="8"/>
  <c r="E264" i="8" s="1"/>
  <c r="A265" i="8"/>
  <c r="E265" i="8" s="1"/>
  <c r="A266" i="8"/>
  <c r="E266" i="8" s="1"/>
  <c r="A267" i="8"/>
  <c r="E267" i="8" s="1"/>
  <c r="A268" i="8"/>
  <c r="E268" i="8" s="1"/>
  <c r="A269" i="8"/>
  <c r="E269" i="8" s="1"/>
  <c r="A270" i="8"/>
  <c r="E270" i="8" s="1"/>
  <c r="A271" i="8"/>
  <c r="E271" i="8" s="1"/>
  <c r="A272" i="8"/>
  <c r="E272" i="8" s="1"/>
  <c r="A273" i="8"/>
  <c r="E273" i="8" s="1"/>
  <c r="A274" i="8"/>
  <c r="E274" i="8" s="1"/>
  <c r="A275" i="8"/>
  <c r="E275" i="8" s="1"/>
  <c r="A276" i="8"/>
  <c r="E276" i="8" s="1"/>
  <c r="A277" i="8"/>
  <c r="E277" i="8" s="1"/>
  <c r="A278" i="8"/>
  <c r="E278" i="8" s="1"/>
  <c r="A279" i="8"/>
  <c r="E279" i="8" s="1"/>
  <c r="A280" i="8"/>
  <c r="E280" i="8" s="1"/>
  <c r="A281" i="8"/>
  <c r="E281" i="8" s="1"/>
  <c r="A282" i="8"/>
  <c r="E282" i="8" s="1"/>
  <c r="A283" i="8"/>
  <c r="E283" i="8" s="1"/>
  <c r="A284" i="8"/>
  <c r="E284" i="8" s="1"/>
  <c r="A285" i="8"/>
  <c r="E285" i="8" s="1"/>
  <c r="A286" i="8"/>
  <c r="E286" i="8" s="1"/>
  <c r="A287" i="8"/>
  <c r="E287" i="8" s="1"/>
  <c r="A288" i="8"/>
  <c r="E288" i="8" s="1"/>
  <c r="A289" i="8"/>
  <c r="E289" i="8" s="1"/>
  <c r="A290" i="8"/>
  <c r="E290" i="8" s="1"/>
  <c r="A291" i="8"/>
  <c r="E291" i="8" s="1"/>
  <c r="A292" i="8"/>
  <c r="E292" i="8" s="1"/>
  <c r="A293" i="8"/>
  <c r="E293" i="8" s="1"/>
  <c r="A294" i="8"/>
  <c r="E294" i="8" s="1"/>
  <c r="A295" i="8"/>
  <c r="E295" i="8" s="1"/>
  <c r="A296" i="8"/>
  <c r="E296" i="8" s="1"/>
  <c r="A297" i="8"/>
  <c r="E297" i="8" s="1"/>
  <c r="A298" i="8"/>
  <c r="E298" i="8" s="1"/>
  <c r="A299" i="8"/>
  <c r="E299" i="8" s="1"/>
  <c r="A300" i="8"/>
  <c r="E300" i="8" s="1"/>
  <c r="A301" i="8"/>
  <c r="E301" i="8" s="1"/>
  <c r="A302" i="8"/>
  <c r="E302" i="8" s="1"/>
  <c r="A303" i="8"/>
  <c r="E303" i="8" s="1"/>
  <c r="A304" i="8"/>
  <c r="E304" i="8" s="1"/>
  <c r="A305" i="8"/>
  <c r="E305" i="8" s="1"/>
  <c r="A306" i="8"/>
  <c r="E306" i="8" s="1"/>
  <c r="A307" i="8"/>
  <c r="E307" i="8" s="1"/>
  <c r="A308" i="8"/>
  <c r="E308" i="8" s="1"/>
  <c r="A309" i="8"/>
  <c r="E309" i="8" s="1"/>
  <c r="A310" i="8"/>
  <c r="E310" i="8" s="1"/>
  <c r="A311" i="8"/>
  <c r="E311" i="8" s="1"/>
  <c r="A312" i="8"/>
  <c r="E312" i="8" s="1"/>
  <c r="A313" i="8"/>
  <c r="E313" i="8" s="1"/>
  <c r="A314" i="8"/>
  <c r="E314" i="8" s="1"/>
  <c r="A315" i="8"/>
  <c r="E315" i="8" s="1"/>
  <c r="A316" i="8"/>
  <c r="E316" i="8" s="1"/>
  <c r="A317" i="8"/>
  <c r="E317" i="8" s="1"/>
  <c r="A318" i="8"/>
  <c r="E318" i="8" s="1"/>
  <c r="A319" i="8"/>
  <c r="E319" i="8" s="1"/>
  <c r="A320" i="8"/>
  <c r="E320" i="8" s="1"/>
  <c r="A321" i="8"/>
  <c r="E321" i="8" s="1"/>
  <c r="A322" i="8"/>
  <c r="E322" i="8" s="1"/>
  <c r="A323" i="8"/>
  <c r="E323" i="8" s="1"/>
  <c r="A324" i="8"/>
  <c r="E324" i="8" s="1"/>
  <c r="A325" i="8"/>
  <c r="E325" i="8" s="1"/>
  <c r="A326" i="8"/>
  <c r="E326" i="8" s="1"/>
  <c r="A327" i="8"/>
  <c r="E327" i="8" s="1"/>
  <c r="A328" i="8"/>
  <c r="E328" i="8" s="1"/>
  <c r="A329" i="8"/>
  <c r="E329" i="8" s="1"/>
  <c r="A330" i="8"/>
  <c r="E330" i="8" s="1"/>
  <c r="A331" i="8"/>
  <c r="E331" i="8" s="1"/>
  <c r="A332" i="8"/>
  <c r="E332" i="8" s="1"/>
  <c r="A333" i="8"/>
  <c r="E333" i="8" s="1"/>
  <c r="A334" i="8"/>
  <c r="E334" i="8" s="1"/>
  <c r="A335" i="8"/>
  <c r="E335" i="8" s="1"/>
  <c r="A336" i="8"/>
  <c r="E336" i="8" s="1"/>
  <c r="A337" i="8"/>
  <c r="E337" i="8" s="1"/>
  <c r="A338" i="8"/>
  <c r="E338" i="8" s="1"/>
  <c r="A339" i="8"/>
  <c r="E339" i="8" s="1"/>
  <c r="A340" i="8"/>
  <c r="E340" i="8" s="1"/>
  <c r="A341" i="8"/>
  <c r="E341" i="8" s="1"/>
  <c r="A342" i="8"/>
  <c r="E342" i="8" s="1"/>
  <c r="A343" i="8"/>
  <c r="E343" i="8" s="1"/>
  <c r="A344" i="8"/>
  <c r="E344" i="8" s="1"/>
  <c r="A345" i="8"/>
  <c r="E345" i="8" s="1"/>
  <c r="A346" i="8"/>
  <c r="E346" i="8" s="1"/>
  <c r="A347" i="8"/>
  <c r="E347" i="8" s="1"/>
  <c r="A348" i="8"/>
  <c r="E348" i="8" s="1"/>
  <c r="A349" i="8"/>
  <c r="E349" i="8" s="1"/>
  <c r="A350" i="8"/>
  <c r="E350" i="8" s="1"/>
  <c r="A351" i="8"/>
  <c r="E351" i="8" s="1"/>
  <c r="A352" i="8"/>
  <c r="E352" i="8" s="1"/>
  <c r="A353" i="8"/>
  <c r="E353" i="8" s="1"/>
  <c r="A354" i="8"/>
  <c r="E354" i="8" s="1"/>
  <c r="A355" i="8"/>
  <c r="E355" i="8" s="1"/>
  <c r="A356" i="8"/>
  <c r="E356" i="8" s="1"/>
  <c r="A357" i="8"/>
  <c r="E357" i="8" s="1"/>
  <c r="A358" i="8"/>
  <c r="E358" i="8" s="1"/>
  <c r="A359" i="8"/>
  <c r="E359" i="8" s="1"/>
  <c r="A360" i="8"/>
  <c r="E360" i="8" s="1"/>
  <c r="A361" i="8"/>
  <c r="E361" i="8" s="1"/>
  <c r="A362" i="8"/>
  <c r="E362" i="8" s="1"/>
  <c r="A363" i="8"/>
  <c r="E363" i="8" s="1"/>
  <c r="A364" i="8"/>
  <c r="E364" i="8" s="1"/>
  <c r="A365" i="8"/>
  <c r="E365" i="8" s="1"/>
  <c r="A366" i="8"/>
  <c r="E366" i="8" s="1"/>
  <c r="A367" i="8"/>
  <c r="E367" i="8" s="1"/>
  <c r="A368" i="8"/>
  <c r="E368" i="8" s="1"/>
  <c r="A369" i="8"/>
  <c r="E369" i="8" s="1"/>
  <c r="A370" i="8"/>
  <c r="E370" i="8" s="1"/>
  <c r="A371" i="8"/>
  <c r="E371" i="8" s="1"/>
  <c r="A372" i="8"/>
  <c r="E372" i="8" s="1"/>
  <c r="A373" i="8"/>
  <c r="E373" i="8" s="1"/>
  <c r="A374" i="8"/>
  <c r="E374" i="8" s="1"/>
  <c r="A375" i="8"/>
  <c r="E375" i="8" s="1"/>
  <c r="A376" i="8"/>
  <c r="E376" i="8" s="1"/>
  <c r="A377" i="8"/>
  <c r="E377" i="8" s="1"/>
  <c r="A378" i="8"/>
  <c r="E378" i="8" s="1"/>
  <c r="A379" i="8"/>
  <c r="E379" i="8" s="1"/>
  <c r="A380" i="8"/>
  <c r="E380" i="8" s="1"/>
  <c r="A381" i="8"/>
  <c r="E381" i="8" s="1"/>
  <c r="A382" i="8"/>
  <c r="E382" i="8" s="1"/>
  <c r="A383" i="8"/>
  <c r="E383" i="8" s="1"/>
  <c r="A384" i="8"/>
  <c r="E384" i="8" s="1"/>
  <c r="A385" i="8"/>
  <c r="E385" i="8" s="1"/>
  <c r="A386" i="8"/>
  <c r="E386" i="8" s="1"/>
  <c r="A387" i="8"/>
  <c r="E387" i="8" s="1"/>
  <c r="A388" i="8"/>
  <c r="E388" i="8" s="1"/>
  <c r="A389" i="8"/>
  <c r="E389" i="8" s="1"/>
  <c r="A390" i="8"/>
  <c r="E390" i="8" s="1"/>
  <c r="A391" i="8"/>
  <c r="E391" i="8" s="1"/>
  <c r="A392" i="8"/>
  <c r="E392" i="8" s="1"/>
  <c r="A393" i="8"/>
  <c r="E393" i="8" s="1"/>
  <c r="A394" i="8"/>
  <c r="E394" i="8" s="1"/>
  <c r="A395" i="8"/>
  <c r="E395" i="8" s="1"/>
  <c r="A396" i="8"/>
  <c r="E396" i="8" s="1"/>
  <c r="A397" i="8"/>
  <c r="E397" i="8" s="1"/>
  <c r="A398" i="8"/>
  <c r="E398" i="8" s="1"/>
  <c r="A399" i="8"/>
  <c r="E399" i="8" s="1"/>
  <c r="A400" i="8"/>
  <c r="E400" i="8" s="1"/>
  <c r="A401" i="8"/>
  <c r="E401" i="8" s="1"/>
  <c r="A402" i="8"/>
  <c r="E402" i="8" s="1"/>
  <c r="A403" i="8"/>
  <c r="E403" i="8" s="1"/>
  <c r="A404" i="8"/>
  <c r="E404" i="8" s="1"/>
  <c r="A405" i="8"/>
  <c r="E405" i="8" s="1"/>
  <c r="A406" i="8"/>
  <c r="E406" i="8" s="1"/>
  <c r="A407" i="8"/>
  <c r="E407" i="8" s="1"/>
  <c r="A408" i="8"/>
  <c r="E408" i="8" s="1"/>
  <c r="A409" i="8"/>
  <c r="E409" i="8" s="1"/>
  <c r="A410" i="8"/>
  <c r="E410" i="8" s="1"/>
  <c r="A411" i="8"/>
  <c r="E411" i="8" s="1"/>
  <c r="A412" i="8"/>
  <c r="E412" i="8" s="1"/>
  <c r="A2" i="8"/>
  <c r="F301" i="7"/>
  <c r="F300" i="7"/>
  <c r="F299" i="7"/>
  <c r="F298" i="7"/>
  <c r="F297" i="7"/>
  <c r="F296" i="7"/>
  <c r="F295" i="7"/>
  <c r="F294" i="7"/>
  <c r="F293" i="7"/>
  <c r="F292" i="7"/>
  <c r="F291" i="7"/>
  <c r="F290" i="7"/>
  <c r="F289" i="7"/>
  <c r="F288" i="7"/>
  <c r="F287" i="7"/>
  <c r="F286" i="7"/>
  <c r="F285" i="7"/>
  <c r="F284" i="7"/>
  <c r="F283" i="7"/>
  <c r="F282" i="7"/>
  <c r="F281" i="7"/>
  <c r="F280" i="7"/>
  <c r="F279" i="7"/>
  <c r="F278" i="7"/>
  <c r="F277" i="7"/>
  <c r="F276" i="7"/>
  <c r="F275" i="7"/>
  <c r="F274" i="7"/>
  <c r="F273" i="7"/>
  <c r="F272" i="7"/>
  <c r="F271" i="7"/>
  <c r="F270" i="7"/>
  <c r="F269" i="7"/>
  <c r="F268" i="7"/>
  <c r="F267" i="7"/>
  <c r="F266" i="7"/>
  <c r="F265" i="7"/>
  <c r="F264" i="7"/>
  <c r="F263" i="7"/>
  <c r="F262" i="7"/>
  <c r="F261" i="7"/>
  <c r="F260" i="7"/>
  <c r="F259" i="7"/>
  <c r="F258" i="7"/>
  <c r="F257" i="7"/>
  <c r="F256" i="7"/>
  <c r="F255" i="7"/>
  <c r="F254" i="7"/>
  <c r="F253" i="7"/>
  <c r="F252" i="7"/>
  <c r="F251" i="7"/>
  <c r="K3" i="10"/>
  <c r="K4" i="10"/>
  <c r="K5" i="10"/>
  <c r="K6" i="10"/>
  <c r="I3" i="10"/>
  <c r="I4" i="10"/>
  <c r="I5" i="10"/>
  <c r="I6" i="10"/>
  <c r="K2" i="10"/>
  <c r="I2" i="10"/>
  <c r="H2" i="9"/>
  <c r="H3" i="9"/>
  <c r="H4" i="9"/>
  <c r="H5" i="9"/>
  <c r="H6" i="9"/>
  <c r="H7" i="9"/>
  <c r="H8" i="9"/>
  <c r="H9" i="9"/>
  <c r="H10" i="9"/>
  <c r="H11" i="9"/>
  <c r="H12" i="9"/>
  <c r="H13" i="9"/>
  <c r="H15" i="9"/>
  <c r="H16" i="9"/>
  <c r="H17" i="9"/>
  <c r="H18"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80" i="9"/>
  <c r="H181" i="9"/>
  <c r="H182" i="9"/>
  <c r="H183" i="9"/>
  <c r="H184" i="9"/>
  <c r="H185" i="9"/>
  <c r="H186"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2" i="9"/>
  <c r="H403" i="9"/>
  <c r="H404" i="9"/>
  <c r="H405" i="9"/>
  <c r="H406" i="9"/>
  <c r="H407" i="9"/>
  <c r="H408" i="9"/>
  <c r="H410"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C412" i="8"/>
  <c r="C411" i="8"/>
  <c r="C410" i="8"/>
  <c r="C409" i="8"/>
  <c r="C408" i="8"/>
  <c r="C407" i="8"/>
  <c r="C406" i="8"/>
  <c r="C405" i="8"/>
  <c r="C404" i="8"/>
  <c r="C403" i="8"/>
  <c r="C402" i="8"/>
  <c r="C401" i="8"/>
  <c r="C400" i="8"/>
  <c r="C399" i="8"/>
  <c r="C398" i="8"/>
  <c r="C397" i="8"/>
  <c r="C396" i="8"/>
  <c r="C395" i="8"/>
  <c r="C394" i="8"/>
  <c r="C393" i="8"/>
  <c r="C392" i="8"/>
  <c r="C391" i="8"/>
  <c r="C390" i="8"/>
  <c r="C389" i="8"/>
  <c r="C388" i="8"/>
  <c r="C387" i="8"/>
  <c r="C386" i="8"/>
  <c r="C385" i="8"/>
  <c r="C384" i="8"/>
  <c r="C383" i="8"/>
  <c r="C382" i="8"/>
  <c r="C381" i="8"/>
  <c r="C380" i="8"/>
  <c r="C379" i="8"/>
  <c r="C378" i="8"/>
  <c r="C377" i="8"/>
  <c r="C376" i="8"/>
  <c r="C375" i="8"/>
  <c r="C374" i="8"/>
  <c r="C373" i="8"/>
  <c r="C372" i="8"/>
  <c r="C371" i="8"/>
  <c r="C370" i="8"/>
  <c r="C369" i="8"/>
  <c r="C368" i="8"/>
  <c r="C367" i="8"/>
  <c r="C366" i="8"/>
  <c r="C365" i="8"/>
  <c r="C364" i="8"/>
  <c r="C363" i="8"/>
  <c r="C362" i="8"/>
  <c r="C361" i="8"/>
  <c r="C360" i="8"/>
  <c r="C359" i="8"/>
  <c r="C358" i="8"/>
  <c r="C357" i="8"/>
  <c r="C356" i="8"/>
  <c r="C355" i="8"/>
  <c r="C354" i="8"/>
  <c r="C353" i="8"/>
  <c r="C352" i="8"/>
  <c r="C351" i="8"/>
  <c r="C350" i="8"/>
  <c r="C349" i="8"/>
  <c r="C348" i="8"/>
  <c r="C347" i="8"/>
  <c r="C346" i="8"/>
  <c r="C345" i="8"/>
  <c r="C344" i="8"/>
  <c r="C343" i="8"/>
  <c r="C342" i="8"/>
  <c r="C341" i="8"/>
  <c r="C340" i="8"/>
  <c r="C339" i="8"/>
  <c r="C338" i="8"/>
  <c r="C337" i="8"/>
  <c r="C336" i="8"/>
  <c r="C335" i="8"/>
  <c r="C334" i="8"/>
  <c r="C333" i="8"/>
  <c r="C332" i="8"/>
  <c r="C331" i="8"/>
  <c r="C330" i="8"/>
  <c r="C329" i="8"/>
  <c r="C328" i="8"/>
  <c r="C327" i="8"/>
  <c r="C326" i="8"/>
  <c r="C325" i="8"/>
  <c r="C324" i="8"/>
  <c r="C323" i="8"/>
  <c r="C322" i="8"/>
  <c r="C321" i="8"/>
  <c r="C320" i="8"/>
  <c r="C319" i="8"/>
  <c r="C318" i="8"/>
  <c r="C317" i="8"/>
  <c r="C316" i="8"/>
  <c r="C315" i="8"/>
  <c r="C314" i="8"/>
  <c r="C313" i="8"/>
  <c r="C312" i="8"/>
  <c r="C311" i="8"/>
  <c r="C310" i="8"/>
  <c r="C309" i="8"/>
  <c r="C308" i="8"/>
  <c r="C307" i="8"/>
  <c r="C306" i="8"/>
  <c r="C305" i="8"/>
  <c r="C304" i="8"/>
  <c r="C303" i="8"/>
  <c r="C302" i="8"/>
  <c r="C301" i="8"/>
  <c r="C300" i="8"/>
  <c r="C299" i="8"/>
  <c r="C298" i="8"/>
  <c r="C297" i="8"/>
  <c r="C296" i="8"/>
  <c r="C295" i="8"/>
  <c r="C294" i="8"/>
  <c r="C293" i="8"/>
  <c r="C292" i="8"/>
  <c r="C291" i="8"/>
  <c r="C290" i="8"/>
  <c r="C289" i="8"/>
  <c r="C288" i="8"/>
  <c r="C287" i="8"/>
  <c r="C286" i="8"/>
  <c r="C285" i="8"/>
  <c r="C284" i="8"/>
  <c r="C283" i="8"/>
  <c r="C282" i="8"/>
  <c r="C281" i="8"/>
  <c r="C280" i="8"/>
  <c r="C279" i="8"/>
  <c r="C278" i="8"/>
  <c r="C277" i="8"/>
  <c r="C276" i="8"/>
  <c r="C275" i="8"/>
  <c r="C274" i="8"/>
  <c r="C273" i="8"/>
  <c r="C272" i="8"/>
  <c r="C271" i="8"/>
  <c r="C270" i="8"/>
  <c r="C269" i="8"/>
  <c r="C268" i="8"/>
  <c r="C267" i="8"/>
  <c r="C266" i="8"/>
  <c r="C265" i="8"/>
  <c r="C264" i="8"/>
  <c r="C263" i="8"/>
  <c r="C262" i="8"/>
  <c r="C261" i="8"/>
  <c r="C260" i="8"/>
  <c r="C259" i="8"/>
  <c r="C258" i="8"/>
  <c r="C257" i="8"/>
  <c r="C256" i="8"/>
  <c r="C255" i="8"/>
  <c r="C254" i="8"/>
  <c r="C253" i="8"/>
  <c r="C252" i="8"/>
  <c r="C251" i="8"/>
  <c r="C250" i="8"/>
  <c r="C249" i="8"/>
  <c r="C248" i="8"/>
  <c r="C247" i="8"/>
  <c r="C246" i="8"/>
  <c r="C245" i="8"/>
  <c r="C244" i="8"/>
  <c r="C243" i="8"/>
  <c r="C242" i="8"/>
  <c r="C241" i="8"/>
  <c r="C240" i="8"/>
  <c r="C239" i="8"/>
  <c r="C238" i="8"/>
  <c r="C237" i="8"/>
  <c r="C236" i="8"/>
  <c r="C235" i="8"/>
  <c r="C234" i="8"/>
  <c r="C233" i="8"/>
  <c r="C232" i="8"/>
  <c r="C231" i="8"/>
  <c r="C230" i="8"/>
  <c r="C229" i="8"/>
  <c r="C228" i="8"/>
  <c r="C227" i="8"/>
  <c r="C226" i="8"/>
  <c r="C225" i="8"/>
  <c r="C224" i="8"/>
  <c r="C223" i="8"/>
  <c r="C222" i="8"/>
  <c r="C221" i="8"/>
  <c r="C220" i="8"/>
  <c r="C219" i="8"/>
  <c r="C218" i="8"/>
  <c r="C217" i="8"/>
  <c r="C216" i="8"/>
  <c r="C215" i="8"/>
  <c r="C214" i="8"/>
  <c r="C213" i="8"/>
  <c r="C212" i="8"/>
  <c r="C211" i="8"/>
  <c r="C210" i="8"/>
  <c r="C209" i="8"/>
  <c r="C208" i="8"/>
  <c r="C207" i="8"/>
  <c r="C206" i="8"/>
  <c r="C205" i="8"/>
  <c r="C204" i="8"/>
  <c r="C203" i="8"/>
  <c r="C202" i="8"/>
  <c r="C201" i="8"/>
  <c r="C200" i="8"/>
  <c r="C199" i="8"/>
  <c r="C198" i="8"/>
  <c r="C197" i="8"/>
  <c r="C196" i="8"/>
  <c r="C195" i="8"/>
  <c r="C194" i="8"/>
  <c r="C193" i="8"/>
  <c r="C192" i="8"/>
  <c r="C191" i="8"/>
  <c r="C190" i="8"/>
  <c r="C189" i="8"/>
  <c r="C188" i="8"/>
  <c r="C187" i="8"/>
  <c r="C186" i="8"/>
  <c r="C185" i="8"/>
  <c r="C184" i="8"/>
  <c r="C183" i="8"/>
  <c r="C182" i="8"/>
  <c r="C181" i="8"/>
  <c r="C180" i="8"/>
  <c r="C179" i="8"/>
  <c r="C178" i="8"/>
  <c r="C177" i="8"/>
  <c r="C176" i="8"/>
  <c r="C175" i="8"/>
  <c r="C174" i="8"/>
  <c r="C173" i="8"/>
  <c r="C172" i="8"/>
  <c r="C171" i="8"/>
  <c r="C170" i="8"/>
  <c r="C169" i="8"/>
  <c r="C168" i="8"/>
  <c r="C167" i="8"/>
  <c r="C166" i="8"/>
  <c r="C165" i="8"/>
  <c r="C164" i="8"/>
  <c r="C163" i="8"/>
  <c r="C162" i="8"/>
  <c r="C161" i="8"/>
  <c r="C160" i="8"/>
  <c r="C159" i="8"/>
  <c r="C158" i="8"/>
  <c r="C157" i="8"/>
  <c r="C156" i="8"/>
  <c r="C155" i="8"/>
  <c r="C154" i="8"/>
  <c r="C153" i="8"/>
  <c r="C152" i="8"/>
  <c r="C151" i="8"/>
  <c r="C150" i="8"/>
  <c r="C149" i="8"/>
  <c r="C148" i="8"/>
  <c r="C147" i="8"/>
  <c r="C146" i="8"/>
  <c r="C145" i="8"/>
  <c r="C144" i="8"/>
  <c r="C143" i="8"/>
  <c r="C142"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C3" i="8"/>
  <c r="C2" i="8"/>
  <c r="F250" i="7"/>
  <c r="H250" i="7" s="1"/>
  <c r="F249" i="7"/>
  <c r="H249" i="7" s="1"/>
  <c r="F248" i="7"/>
  <c r="H248" i="7" s="1"/>
  <c r="F247" i="7"/>
  <c r="H247" i="7" s="1"/>
  <c r="F246" i="7"/>
  <c r="H246" i="7" s="1"/>
  <c r="F245" i="7"/>
  <c r="H245" i="7" s="1"/>
  <c r="F244" i="7"/>
  <c r="H244" i="7" s="1"/>
  <c r="F243" i="7"/>
  <c r="H243" i="7" s="1"/>
  <c r="F242" i="7"/>
  <c r="H242" i="7" s="1"/>
  <c r="F241" i="7"/>
  <c r="H241" i="7" s="1"/>
  <c r="F240" i="7"/>
  <c r="H240" i="7" s="1"/>
  <c r="F239" i="7"/>
  <c r="H239" i="7" s="1"/>
  <c r="F238" i="7"/>
  <c r="H238" i="7" s="1"/>
  <c r="F237" i="7"/>
  <c r="H237" i="7" s="1"/>
  <c r="F236" i="7"/>
  <c r="H236" i="7" s="1"/>
  <c r="F235" i="7"/>
  <c r="H235" i="7" s="1"/>
  <c r="F234" i="7"/>
  <c r="H234" i="7" s="1"/>
  <c r="F233" i="7"/>
  <c r="H233" i="7" s="1"/>
  <c r="F232" i="7"/>
  <c r="H232" i="7" s="1"/>
  <c r="F231" i="7"/>
  <c r="H231" i="7" s="1"/>
  <c r="F230" i="7"/>
  <c r="H230" i="7" s="1"/>
  <c r="F229" i="7"/>
  <c r="H229" i="7" s="1"/>
  <c r="F228" i="7"/>
  <c r="H228" i="7" s="1"/>
  <c r="F227" i="7"/>
  <c r="H227" i="7" s="1"/>
  <c r="F226" i="7"/>
  <c r="H226" i="7" s="1"/>
  <c r="F225" i="7"/>
  <c r="H225" i="7" s="1"/>
  <c r="F224" i="7"/>
  <c r="H224" i="7" s="1"/>
  <c r="F223" i="7"/>
  <c r="H223" i="7" s="1"/>
  <c r="F222" i="7"/>
  <c r="H222" i="7" s="1"/>
  <c r="F221" i="7"/>
  <c r="H221" i="7" s="1"/>
  <c r="F220" i="7"/>
  <c r="H220" i="7" s="1"/>
  <c r="F219" i="7"/>
  <c r="H219" i="7" s="1"/>
  <c r="F218" i="7"/>
  <c r="H218" i="7" s="1"/>
  <c r="F217" i="7"/>
  <c r="H217" i="7" s="1"/>
  <c r="F216" i="7"/>
  <c r="H216" i="7" s="1"/>
  <c r="F215" i="7"/>
  <c r="H215" i="7" s="1"/>
  <c r="F214" i="7"/>
  <c r="H214" i="7" s="1"/>
  <c r="F213" i="7"/>
  <c r="H213" i="7" s="1"/>
  <c r="F212" i="7"/>
  <c r="H212" i="7" s="1"/>
  <c r="F211" i="7"/>
  <c r="H211" i="7" s="1"/>
  <c r="F210" i="7"/>
  <c r="H210" i="7" s="1"/>
  <c r="F209" i="7"/>
  <c r="H209" i="7" s="1"/>
  <c r="F208" i="7"/>
  <c r="H208" i="7" s="1"/>
  <c r="F207" i="7"/>
  <c r="H207" i="7" s="1"/>
  <c r="F206" i="7"/>
  <c r="H206" i="7" s="1"/>
  <c r="F205" i="7"/>
  <c r="H205" i="7" s="1"/>
  <c r="F204" i="7"/>
  <c r="H204" i="7" s="1"/>
  <c r="F203" i="7"/>
  <c r="H203" i="7" s="1"/>
  <c r="F202" i="7"/>
  <c r="H202" i="7" s="1"/>
  <c r="F201" i="7"/>
  <c r="H201" i="7" s="1"/>
  <c r="F200" i="7"/>
  <c r="H200" i="7" s="1"/>
  <c r="F199" i="7"/>
  <c r="H199" i="7" s="1"/>
  <c r="F198" i="7"/>
  <c r="H198" i="7" s="1"/>
  <c r="F197" i="7"/>
  <c r="H197" i="7" s="1"/>
  <c r="F196" i="7"/>
  <c r="H196" i="7" s="1"/>
  <c r="F195" i="7"/>
  <c r="H195" i="7" s="1"/>
  <c r="F194" i="7"/>
  <c r="H194" i="7" s="1"/>
  <c r="F193" i="7"/>
  <c r="H193" i="7" s="1"/>
  <c r="F192" i="7"/>
  <c r="H192" i="7" s="1"/>
  <c r="F191" i="7"/>
  <c r="H191" i="7" s="1"/>
  <c r="F190" i="7"/>
  <c r="H190" i="7" s="1"/>
  <c r="F189" i="7"/>
  <c r="H189" i="7" s="1"/>
  <c r="F188" i="7"/>
  <c r="H188" i="7" s="1"/>
  <c r="F187" i="7"/>
  <c r="H187" i="7" s="1"/>
  <c r="F186" i="7"/>
  <c r="H186" i="7" s="1"/>
  <c r="F185" i="7"/>
  <c r="H185" i="7" s="1"/>
  <c r="F184" i="7"/>
  <c r="H184" i="7" s="1"/>
  <c r="F183" i="7"/>
  <c r="H183" i="7" s="1"/>
  <c r="F182" i="7"/>
  <c r="H182" i="7" s="1"/>
  <c r="F181" i="7"/>
  <c r="H181" i="7" s="1"/>
  <c r="F180" i="7"/>
  <c r="H180" i="7" s="1"/>
  <c r="F179" i="7"/>
  <c r="H179" i="7" s="1"/>
  <c r="F178" i="7"/>
  <c r="H178" i="7" s="1"/>
  <c r="F177" i="7"/>
  <c r="H177" i="7" s="1"/>
  <c r="F176" i="7"/>
  <c r="H176" i="7" s="1"/>
  <c r="F175" i="7"/>
  <c r="H175" i="7" s="1"/>
  <c r="F174" i="7"/>
  <c r="H174" i="7" s="1"/>
  <c r="F173" i="7"/>
  <c r="H173" i="7" s="1"/>
  <c r="F172" i="7"/>
  <c r="H172" i="7" s="1"/>
  <c r="F171" i="7"/>
  <c r="H171" i="7" s="1"/>
  <c r="F170" i="7"/>
  <c r="H170" i="7" s="1"/>
  <c r="F169" i="7"/>
  <c r="H169" i="7" s="1"/>
  <c r="F168" i="7"/>
  <c r="H168" i="7" s="1"/>
  <c r="F167" i="7"/>
  <c r="H167" i="7" s="1"/>
  <c r="F166" i="7"/>
  <c r="H166" i="7" s="1"/>
  <c r="F165" i="7"/>
  <c r="H165" i="7" s="1"/>
  <c r="F164" i="7"/>
  <c r="H164" i="7" s="1"/>
  <c r="F163" i="7"/>
  <c r="H163" i="7" s="1"/>
  <c r="F162" i="7"/>
  <c r="H162" i="7" s="1"/>
  <c r="F161" i="7"/>
  <c r="H161" i="7" s="1"/>
  <c r="F160" i="7"/>
  <c r="H160" i="7" s="1"/>
  <c r="F159" i="7"/>
  <c r="H159" i="7" s="1"/>
  <c r="F158" i="7"/>
  <c r="H158" i="7" s="1"/>
  <c r="F157" i="7"/>
  <c r="H157" i="7" s="1"/>
  <c r="F156" i="7"/>
  <c r="H156" i="7" s="1"/>
  <c r="F155" i="7"/>
  <c r="H155" i="7" s="1"/>
  <c r="F154" i="7"/>
  <c r="H154" i="7" s="1"/>
  <c r="F153" i="7"/>
  <c r="H153" i="7" s="1"/>
  <c r="F152" i="7"/>
  <c r="H152" i="7" s="1"/>
  <c r="F151" i="7"/>
  <c r="H151" i="7" s="1"/>
  <c r="F150" i="7"/>
  <c r="H150" i="7" s="1"/>
  <c r="F149" i="7"/>
  <c r="H149" i="7" s="1"/>
  <c r="F148" i="7"/>
  <c r="H148" i="7" s="1"/>
  <c r="F147" i="7"/>
  <c r="H147" i="7" s="1"/>
  <c r="F146" i="7"/>
  <c r="H146" i="7" s="1"/>
  <c r="F145" i="7"/>
  <c r="H145" i="7" s="1"/>
  <c r="F144" i="7"/>
  <c r="H144" i="7" s="1"/>
  <c r="F143" i="7"/>
  <c r="H143" i="7" s="1"/>
  <c r="F142" i="7"/>
  <c r="H142" i="7" s="1"/>
  <c r="F141" i="7"/>
  <c r="H141" i="7" s="1"/>
  <c r="F140" i="7"/>
  <c r="H140" i="7" s="1"/>
  <c r="F139" i="7"/>
  <c r="H139" i="7" s="1"/>
  <c r="F138" i="7"/>
  <c r="H138" i="7" s="1"/>
  <c r="F137" i="7"/>
  <c r="H137" i="7" s="1"/>
  <c r="F136" i="7"/>
  <c r="H136" i="7" s="1"/>
  <c r="F135" i="7"/>
  <c r="H135" i="7" s="1"/>
  <c r="F134" i="7"/>
  <c r="H134" i="7" s="1"/>
  <c r="F133" i="7"/>
  <c r="H133" i="7" s="1"/>
  <c r="F132" i="7"/>
  <c r="H132" i="7" s="1"/>
  <c r="F131" i="7"/>
  <c r="H131" i="7" s="1"/>
  <c r="F130" i="7"/>
  <c r="H130" i="7" s="1"/>
  <c r="F129" i="7"/>
  <c r="H129" i="7" s="1"/>
  <c r="F128" i="7"/>
  <c r="H128" i="7" s="1"/>
  <c r="F127" i="7"/>
  <c r="H127" i="7" s="1"/>
  <c r="F126" i="7"/>
  <c r="H126" i="7" s="1"/>
  <c r="F125" i="7"/>
  <c r="H125" i="7" s="1"/>
  <c r="F124" i="7"/>
  <c r="H124" i="7" s="1"/>
  <c r="F123" i="7"/>
  <c r="H123" i="7" s="1"/>
  <c r="F122" i="7"/>
  <c r="H122" i="7" s="1"/>
  <c r="F121" i="7"/>
  <c r="H121" i="7" s="1"/>
  <c r="F120" i="7"/>
  <c r="H120" i="7" s="1"/>
  <c r="F119" i="7"/>
  <c r="H119" i="7" s="1"/>
  <c r="F118" i="7"/>
  <c r="H118" i="7" s="1"/>
  <c r="F117" i="7"/>
  <c r="H117" i="7" s="1"/>
  <c r="F116" i="7"/>
  <c r="H116" i="7" s="1"/>
  <c r="F115" i="7"/>
  <c r="H115" i="7" s="1"/>
  <c r="F114" i="7"/>
  <c r="H114" i="7" s="1"/>
  <c r="F113" i="7"/>
  <c r="H113" i="7" s="1"/>
  <c r="F112" i="7"/>
  <c r="H112" i="7" s="1"/>
  <c r="F111" i="7"/>
  <c r="H111" i="7" s="1"/>
  <c r="F110" i="7"/>
  <c r="H110" i="7" s="1"/>
  <c r="F109" i="7"/>
  <c r="H109" i="7" s="1"/>
  <c r="F108" i="7"/>
  <c r="H108" i="7" s="1"/>
  <c r="F107" i="7"/>
  <c r="H107" i="7" s="1"/>
  <c r="F106" i="7"/>
  <c r="H106" i="7" s="1"/>
  <c r="F105" i="7"/>
  <c r="H105" i="7" s="1"/>
  <c r="F104" i="7"/>
  <c r="H104" i="7" s="1"/>
  <c r="F103" i="7"/>
  <c r="H103" i="7" s="1"/>
  <c r="F102" i="7"/>
  <c r="H102" i="7" s="1"/>
  <c r="F101" i="7"/>
  <c r="H101" i="7" s="1"/>
  <c r="F100" i="7"/>
  <c r="H100" i="7" s="1"/>
  <c r="F99" i="7"/>
  <c r="H99" i="7" s="1"/>
  <c r="F98" i="7"/>
  <c r="H98" i="7" s="1"/>
  <c r="F97" i="7"/>
  <c r="H97" i="7" s="1"/>
  <c r="F96" i="7"/>
  <c r="H96" i="7" s="1"/>
  <c r="F95" i="7"/>
  <c r="H95" i="7" s="1"/>
  <c r="F94" i="7"/>
  <c r="H94" i="7" s="1"/>
  <c r="F93" i="7"/>
  <c r="H93" i="7" s="1"/>
  <c r="F92" i="7"/>
  <c r="H92" i="7" s="1"/>
  <c r="F91" i="7"/>
  <c r="H91" i="7" s="1"/>
  <c r="F90" i="7"/>
  <c r="H90" i="7" s="1"/>
  <c r="F89" i="7"/>
  <c r="H89" i="7" s="1"/>
  <c r="F88" i="7"/>
  <c r="H88" i="7" s="1"/>
  <c r="F87" i="7"/>
  <c r="H87" i="7" s="1"/>
  <c r="F86" i="7"/>
  <c r="H86" i="7" s="1"/>
  <c r="F85" i="7"/>
  <c r="H85" i="7" s="1"/>
  <c r="F84" i="7"/>
  <c r="H84" i="7" s="1"/>
  <c r="F83" i="7"/>
  <c r="H83" i="7" s="1"/>
  <c r="F82" i="7"/>
  <c r="H82" i="7" s="1"/>
  <c r="F81" i="7"/>
  <c r="H81" i="7" s="1"/>
  <c r="F80" i="7"/>
  <c r="H80" i="7" s="1"/>
  <c r="F79" i="7"/>
  <c r="H79" i="7" s="1"/>
  <c r="F78" i="7"/>
  <c r="H78" i="7" s="1"/>
  <c r="F77" i="7"/>
  <c r="H77" i="7" s="1"/>
  <c r="F76" i="7"/>
  <c r="H76" i="7" s="1"/>
  <c r="F75" i="7"/>
  <c r="H75" i="7" s="1"/>
  <c r="F74" i="7"/>
  <c r="H74" i="7" s="1"/>
  <c r="F73" i="7"/>
  <c r="H73" i="7" s="1"/>
  <c r="F72" i="7"/>
  <c r="H72" i="7" s="1"/>
  <c r="F71" i="7"/>
  <c r="H71" i="7" s="1"/>
  <c r="F70" i="7"/>
  <c r="H70" i="7" s="1"/>
  <c r="F69" i="7"/>
  <c r="H69" i="7" s="1"/>
  <c r="F68" i="7"/>
  <c r="H68" i="7" s="1"/>
  <c r="F67" i="7"/>
  <c r="H67" i="7" s="1"/>
  <c r="F66" i="7"/>
  <c r="H66" i="7" s="1"/>
  <c r="F65" i="7"/>
  <c r="H65" i="7" s="1"/>
  <c r="F64" i="7"/>
  <c r="H64" i="7" s="1"/>
  <c r="F63" i="7"/>
  <c r="H63" i="7" s="1"/>
  <c r="F62" i="7"/>
  <c r="H62" i="7" s="1"/>
  <c r="F61" i="7"/>
  <c r="H61" i="7" s="1"/>
  <c r="F60" i="7"/>
  <c r="H60" i="7" s="1"/>
  <c r="F59" i="7"/>
  <c r="H59" i="7" s="1"/>
  <c r="F58" i="7"/>
  <c r="H58" i="7" s="1"/>
  <c r="F57" i="7"/>
  <c r="H57" i="7" s="1"/>
  <c r="F56" i="7"/>
  <c r="H56" i="7" s="1"/>
  <c r="F55" i="7"/>
  <c r="H55" i="7" s="1"/>
  <c r="F54" i="7"/>
  <c r="H54" i="7" s="1"/>
  <c r="F53" i="7"/>
  <c r="H53" i="7" s="1"/>
  <c r="F52" i="7"/>
  <c r="H52" i="7" s="1"/>
  <c r="F51" i="7"/>
  <c r="H51" i="7" s="1"/>
  <c r="F50" i="7"/>
  <c r="H50" i="7" s="1"/>
  <c r="F49" i="7"/>
  <c r="H49" i="7" s="1"/>
  <c r="F48" i="7"/>
  <c r="H48" i="7" s="1"/>
  <c r="F47" i="7"/>
  <c r="H47" i="7" s="1"/>
  <c r="F46" i="7"/>
  <c r="H46" i="7" s="1"/>
  <c r="F45" i="7"/>
  <c r="H45" i="7" s="1"/>
  <c r="F44" i="7"/>
  <c r="H44" i="7" s="1"/>
  <c r="F43" i="7"/>
  <c r="H43" i="7" s="1"/>
  <c r="F42" i="7"/>
  <c r="H42" i="7" s="1"/>
  <c r="F41" i="7"/>
  <c r="H41" i="7" s="1"/>
  <c r="F40" i="7"/>
  <c r="H40" i="7" s="1"/>
  <c r="F39" i="7"/>
  <c r="H39" i="7" s="1"/>
  <c r="F38" i="7"/>
  <c r="H38" i="7" s="1"/>
  <c r="F37" i="7"/>
  <c r="H37" i="7" s="1"/>
  <c r="F36" i="7"/>
  <c r="H36" i="7" s="1"/>
  <c r="F35" i="7"/>
  <c r="H35" i="7" s="1"/>
  <c r="F34" i="7"/>
  <c r="H34" i="7" s="1"/>
  <c r="F33" i="7"/>
  <c r="H33" i="7" s="1"/>
  <c r="F32" i="7"/>
  <c r="H32" i="7" s="1"/>
  <c r="F31" i="7"/>
  <c r="H31" i="7" s="1"/>
  <c r="F30" i="7"/>
  <c r="H30" i="7" s="1"/>
  <c r="F29" i="7"/>
  <c r="H29" i="7" s="1"/>
  <c r="F28" i="7"/>
  <c r="H28" i="7" s="1"/>
  <c r="F27" i="7"/>
  <c r="H27" i="7" s="1"/>
  <c r="F26" i="7"/>
  <c r="H26" i="7" s="1"/>
  <c r="F25" i="7"/>
  <c r="H25" i="7" s="1"/>
  <c r="F24" i="7"/>
  <c r="H24" i="7" s="1"/>
  <c r="F23" i="7"/>
  <c r="H23" i="7" s="1"/>
  <c r="F22" i="7"/>
  <c r="H22" i="7" s="1"/>
  <c r="F21" i="7"/>
  <c r="H21" i="7" s="1"/>
  <c r="F20" i="7"/>
  <c r="H20" i="7" s="1"/>
  <c r="F19" i="7"/>
  <c r="H19" i="7" s="1"/>
  <c r="F18" i="7"/>
  <c r="H18" i="7" s="1"/>
  <c r="F17" i="7"/>
  <c r="H17" i="7" s="1"/>
  <c r="F16" i="7"/>
  <c r="H16" i="7" s="1"/>
  <c r="F15" i="7"/>
  <c r="H15" i="7" s="1"/>
  <c r="F14" i="7"/>
  <c r="H14" i="7" s="1"/>
  <c r="F13" i="7"/>
  <c r="H13" i="7" s="1"/>
  <c r="F12" i="7"/>
  <c r="H12" i="7" s="1"/>
  <c r="F11" i="7"/>
  <c r="H11" i="7" s="1"/>
  <c r="F10" i="7"/>
  <c r="H10" i="7" s="1"/>
  <c r="F9" i="7"/>
  <c r="H9" i="7" s="1"/>
  <c r="F8" i="7"/>
  <c r="H8" i="7" s="1"/>
  <c r="F7" i="7"/>
  <c r="H7" i="7" s="1"/>
  <c r="F6" i="7"/>
  <c r="H6" i="7" s="1"/>
  <c r="F5" i="7"/>
  <c r="H5" i="7" s="1"/>
  <c r="F4" i="7"/>
  <c r="H4" i="7" s="1"/>
  <c r="F3" i="7"/>
  <c r="H3" i="7" s="1"/>
  <c r="F2" i="7"/>
  <c r="H2" i="7" s="1"/>
  <c r="D2" i="1"/>
  <c r="B1141" i="14" l="1"/>
  <c r="C1141" i="14" s="1"/>
  <c r="B1142" i="14"/>
  <c r="C1142" i="14" s="1"/>
  <c r="B1143" i="14"/>
  <c r="C1143" i="14" s="1"/>
  <c r="B1144" i="14"/>
  <c r="C1144" i="14" s="1"/>
  <c r="B1145" i="14"/>
  <c r="C1145" i="14" s="1"/>
  <c r="B1146" i="14"/>
  <c r="C1146" i="14" s="1"/>
  <c r="B1147" i="14"/>
  <c r="C1147" i="14" s="1"/>
  <c r="B1148" i="14"/>
  <c r="C1148" i="14" s="1"/>
  <c r="B1149" i="14"/>
  <c r="C1149" i="14" s="1"/>
  <c r="B1150" i="14"/>
  <c r="C1150" i="14" s="1"/>
  <c r="B1151" i="14"/>
  <c r="C1151" i="14" s="1"/>
  <c r="B1152" i="14"/>
  <c r="C1152" i="14" s="1"/>
  <c r="B1153" i="14"/>
  <c r="C1153" i="14" s="1"/>
  <c r="B1154" i="14"/>
  <c r="C1154" i="14" s="1"/>
  <c r="B1155" i="14"/>
  <c r="C1155" i="14" s="1"/>
  <c r="B1156" i="14"/>
  <c r="C1156" i="14" s="1"/>
  <c r="B1157" i="14"/>
  <c r="C1157" i="14" s="1"/>
  <c r="B1158" i="14"/>
  <c r="C1158" i="14" s="1"/>
  <c r="B1159" i="14"/>
  <c r="C1159" i="14" s="1"/>
  <c r="B1160" i="14"/>
  <c r="C1160" i="14" s="1"/>
  <c r="B1161" i="14"/>
  <c r="C1161" i="14" s="1"/>
  <c r="B1162" i="14"/>
  <c r="C1162" i="14" s="1"/>
  <c r="B1163" i="14"/>
  <c r="C1163" i="14" s="1"/>
  <c r="B1164" i="14"/>
  <c r="C1164" i="14" s="1"/>
  <c r="B1165" i="14"/>
  <c r="C1165" i="14" s="1"/>
  <c r="B1166" i="14"/>
  <c r="C1166" i="14" s="1"/>
  <c r="B1167" i="14"/>
  <c r="C1167" i="14" s="1"/>
  <c r="B1168" i="14"/>
  <c r="C1168" i="14" s="1"/>
  <c r="B1169" i="14"/>
  <c r="C1169" i="14" s="1"/>
  <c r="B1170" i="14"/>
  <c r="C1170" i="14" s="1"/>
  <c r="B1171" i="14"/>
  <c r="C1171" i="14" s="1"/>
  <c r="B1172" i="14"/>
  <c r="C1172" i="14" s="1"/>
  <c r="B1173" i="14"/>
  <c r="C1173" i="14" s="1"/>
  <c r="B1174" i="14"/>
  <c r="C1174" i="14" s="1"/>
  <c r="B1175" i="14"/>
  <c r="C1175" i="14" s="1"/>
  <c r="B1176" i="14"/>
  <c r="C1176" i="14" s="1"/>
  <c r="B1177" i="14"/>
  <c r="C1177" i="14" s="1"/>
  <c r="B1178" i="14"/>
  <c r="C1178" i="14" s="1"/>
  <c r="B1179" i="14"/>
  <c r="C1179" i="14" s="1"/>
  <c r="B1180" i="14"/>
  <c r="C1180" i="14" s="1"/>
  <c r="B1181" i="14"/>
  <c r="C1181" i="14" s="1"/>
  <c r="B1182" i="14"/>
  <c r="C1182" i="14" s="1"/>
  <c r="B1183" i="14"/>
  <c r="C1183" i="14" s="1"/>
  <c r="B1184" i="14"/>
  <c r="C1184" i="14" s="1"/>
  <c r="B1185" i="14"/>
  <c r="C1185" i="14" s="1"/>
  <c r="B1186" i="14"/>
  <c r="C1186" i="14" s="1"/>
  <c r="B1187" i="14"/>
  <c r="C1187" i="14" s="1"/>
  <c r="B1188" i="14"/>
  <c r="C1188" i="14" s="1"/>
  <c r="B1189" i="14"/>
  <c r="C1189" i="14" s="1"/>
  <c r="B1190" i="14"/>
  <c r="C1190" i="14" s="1"/>
  <c r="B1191" i="14"/>
  <c r="C1191" i="14" s="1"/>
  <c r="B1192" i="14"/>
  <c r="C1192" i="14" s="1"/>
  <c r="B1193" i="14"/>
  <c r="C1193" i="14" s="1"/>
  <c r="B1194" i="14"/>
  <c r="C1194" i="14" s="1"/>
  <c r="B1195" i="14"/>
  <c r="C1195" i="14" s="1"/>
  <c r="B1196" i="14"/>
  <c r="C1196" i="14" s="1"/>
  <c r="B1197" i="14"/>
  <c r="C1197" i="14" s="1"/>
  <c r="B1198" i="14"/>
  <c r="C1198" i="14" s="1"/>
  <c r="B1199" i="14"/>
  <c r="C1199" i="14" s="1"/>
  <c r="B1200" i="14"/>
  <c r="C1200" i="14" s="1"/>
  <c r="B1201" i="14"/>
  <c r="C1201" i="14" s="1"/>
  <c r="B1202" i="14"/>
  <c r="C1202" i="14" s="1"/>
  <c r="B1203" i="14"/>
  <c r="C1203" i="14" s="1"/>
  <c r="B1204" i="14"/>
  <c r="C1204" i="14" s="1"/>
  <c r="B1205" i="14"/>
  <c r="C1205" i="14" s="1"/>
  <c r="B1206" i="14"/>
  <c r="C1206" i="14" s="1"/>
  <c r="B1207" i="14"/>
  <c r="C1207" i="14" s="1"/>
  <c r="B1208" i="14"/>
  <c r="C1208" i="14" s="1"/>
  <c r="B1209" i="14"/>
  <c r="C1209" i="14" s="1"/>
  <c r="B1210" i="14"/>
  <c r="C1210" i="14" s="1"/>
  <c r="B1211" i="14"/>
  <c r="C1211" i="14" s="1"/>
  <c r="B1212" i="14"/>
  <c r="C1212" i="14" s="1"/>
  <c r="B902" i="14"/>
  <c r="C902" i="14" s="1"/>
  <c r="B903" i="14"/>
  <c r="C903" i="14" s="1"/>
  <c r="B905" i="14"/>
  <c r="C905" i="14" s="1"/>
  <c r="B906" i="14"/>
  <c r="C906" i="14" s="1"/>
  <c r="B909" i="14"/>
  <c r="C909" i="14" s="1"/>
  <c r="B911" i="14"/>
  <c r="C911" i="14" s="1"/>
  <c r="B912" i="14"/>
  <c r="C912" i="14" s="1"/>
  <c r="B914" i="14"/>
  <c r="C914" i="14" s="1"/>
  <c r="B916" i="14"/>
  <c r="C916" i="14" s="1"/>
  <c r="B918" i="14"/>
  <c r="C918" i="14" s="1"/>
  <c r="B919" i="14"/>
  <c r="C919" i="14" s="1"/>
  <c r="B920" i="14"/>
  <c r="C920" i="14" s="1"/>
  <c r="B922" i="14"/>
  <c r="C922" i="14" s="1"/>
  <c r="B923" i="14"/>
  <c r="C923" i="14" s="1"/>
  <c r="B925" i="14"/>
  <c r="C925" i="14" s="1"/>
  <c r="B926" i="14"/>
  <c r="C926" i="14" s="1"/>
  <c r="B929" i="14"/>
  <c r="C929" i="14" s="1"/>
  <c r="B930" i="14"/>
  <c r="C930" i="14" s="1"/>
  <c r="B932" i="14"/>
  <c r="C932" i="14" s="1"/>
  <c r="B934" i="14"/>
  <c r="C934" i="14" s="1"/>
  <c r="B936" i="14"/>
  <c r="C936" i="14" s="1"/>
  <c r="B938" i="14"/>
  <c r="C938" i="14" s="1"/>
  <c r="B939" i="14"/>
  <c r="C939" i="14" s="1"/>
  <c r="B941" i="14"/>
  <c r="C941" i="14" s="1"/>
  <c r="B943" i="14"/>
  <c r="C943" i="14" s="1"/>
  <c r="B630" i="14"/>
  <c r="C630" i="14" s="1"/>
  <c r="B631" i="14"/>
  <c r="C631" i="14" s="1"/>
  <c r="B643" i="14"/>
  <c r="C643" i="14" s="1"/>
  <c r="B644" i="14"/>
  <c r="C644" i="14" s="1"/>
  <c r="B234" i="14"/>
  <c r="C234" i="14" s="1"/>
  <c r="B236" i="14"/>
  <c r="C236" i="14" s="1"/>
  <c r="B249" i="14"/>
  <c r="C249" i="14" s="1"/>
  <c r="B251" i="14"/>
  <c r="C251" i="14" s="1"/>
  <c r="B1213" i="14"/>
  <c r="C1213" i="14" s="1"/>
  <c r="B1214" i="14"/>
  <c r="C1214" i="14" s="1"/>
  <c r="B1215" i="14"/>
  <c r="C1215" i="14" s="1"/>
  <c r="B1216" i="14"/>
  <c r="C1216" i="14" s="1"/>
  <c r="B1217" i="14"/>
  <c r="C1217" i="14" s="1"/>
  <c r="B1218" i="14"/>
  <c r="C1218" i="14" s="1"/>
  <c r="B1219" i="14"/>
  <c r="C1219" i="14" s="1"/>
  <c r="B1220" i="14"/>
  <c r="C1220" i="14" s="1"/>
  <c r="B1221" i="14"/>
  <c r="C1221" i="14" s="1"/>
  <c r="B1222" i="14"/>
  <c r="C1222" i="14" s="1"/>
  <c r="B1223" i="14"/>
  <c r="C1223" i="14" s="1"/>
  <c r="B1224" i="14"/>
  <c r="C1224" i="14" s="1"/>
  <c r="B1225" i="14"/>
  <c r="C1225" i="14" s="1"/>
  <c r="B752" i="14"/>
  <c r="C752" i="14" s="1"/>
  <c r="B753" i="14"/>
  <c r="C753" i="14" s="1"/>
  <c r="B754" i="14"/>
  <c r="C754" i="14" s="1"/>
  <c r="B755" i="14"/>
  <c r="C755" i="14" s="1"/>
  <c r="B756" i="14"/>
  <c r="C756" i="14" s="1"/>
  <c r="B757" i="14"/>
  <c r="C757" i="14" s="1"/>
  <c r="B758" i="14"/>
  <c r="C758" i="14" s="1"/>
  <c r="B759" i="14"/>
  <c r="C759" i="14" s="1"/>
  <c r="B760" i="14"/>
  <c r="C760" i="14" s="1"/>
  <c r="B761" i="14"/>
  <c r="C761" i="14" s="1"/>
  <c r="B762" i="14"/>
  <c r="C762" i="14" s="1"/>
  <c r="B763" i="14"/>
  <c r="C763" i="14" s="1"/>
  <c r="B764" i="14"/>
  <c r="C764" i="14" s="1"/>
  <c r="B765" i="14"/>
  <c r="C765" i="14" s="1"/>
  <c r="B766" i="14"/>
  <c r="C766" i="14" s="1"/>
  <c r="B767" i="14"/>
  <c r="C767" i="14" s="1"/>
  <c r="B768" i="14"/>
  <c r="C768" i="14" s="1"/>
  <c r="B769" i="14"/>
  <c r="C769" i="14" s="1"/>
  <c r="B770" i="14"/>
  <c r="C770" i="14" s="1"/>
  <c r="B771" i="14"/>
  <c r="C771" i="14" s="1"/>
  <c r="B772" i="14"/>
  <c r="C772" i="14" s="1"/>
  <c r="B773" i="14"/>
  <c r="C773" i="14" s="1"/>
  <c r="B774" i="14"/>
  <c r="C774" i="14" s="1"/>
  <c r="B775" i="14"/>
  <c r="C775" i="14" s="1"/>
  <c r="B776" i="14"/>
  <c r="C776" i="14" s="1"/>
  <c r="B777" i="14"/>
  <c r="C777" i="14" s="1"/>
  <c r="B778" i="14"/>
  <c r="C778" i="14" s="1"/>
  <c r="B779" i="14"/>
  <c r="C779" i="14" s="1"/>
  <c r="B780" i="14"/>
  <c r="C780" i="14" s="1"/>
  <c r="B781" i="14"/>
  <c r="C781" i="14" s="1"/>
  <c r="B782" i="14"/>
  <c r="C782" i="14" s="1"/>
  <c r="B783" i="14"/>
  <c r="C783" i="14" s="1"/>
  <c r="B784" i="14"/>
  <c r="C784" i="14" s="1"/>
  <c r="B785" i="14"/>
  <c r="C785" i="14" s="1"/>
  <c r="B786" i="14"/>
  <c r="C786" i="14" s="1"/>
  <c r="B787" i="14"/>
  <c r="C787" i="14" s="1"/>
  <c r="B788" i="14"/>
  <c r="C788" i="14" s="1"/>
  <c r="B789" i="14"/>
  <c r="C789" i="14" s="1"/>
  <c r="B790" i="14"/>
  <c r="C790" i="14" s="1"/>
  <c r="B791" i="14"/>
  <c r="C791" i="14" s="1"/>
  <c r="B792" i="14"/>
  <c r="C792" i="14" s="1"/>
  <c r="B793" i="14"/>
  <c r="C793" i="14" s="1"/>
  <c r="B794" i="14"/>
  <c r="C794" i="14" s="1"/>
  <c r="B795" i="14"/>
  <c r="C795" i="14" s="1"/>
  <c r="B796" i="14"/>
  <c r="C796" i="14" s="1"/>
  <c r="B797" i="14"/>
  <c r="C797" i="14" s="1"/>
  <c r="B798" i="14"/>
  <c r="C798" i="14" s="1"/>
  <c r="B799" i="14"/>
  <c r="C799" i="14" s="1"/>
  <c r="B800" i="14"/>
  <c r="C800" i="14" s="1"/>
  <c r="B801" i="14"/>
  <c r="C801" i="14" s="1"/>
  <c r="B802" i="14"/>
  <c r="C802" i="14" s="1"/>
  <c r="B803" i="14"/>
  <c r="C803" i="14" s="1"/>
  <c r="B804" i="14"/>
  <c r="C804" i="14" s="1"/>
  <c r="B805" i="14"/>
  <c r="C805" i="14" s="1"/>
  <c r="B806" i="14"/>
  <c r="C806" i="14" s="1"/>
  <c r="B807" i="14"/>
  <c r="C807" i="14" s="1"/>
  <c r="B808" i="14"/>
  <c r="C808" i="14" s="1"/>
  <c r="B809" i="14"/>
  <c r="C809" i="14" s="1"/>
  <c r="B810" i="14"/>
  <c r="C810" i="14" s="1"/>
  <c r="B811" i="14"/>
  <c r="C811" i="14" s="1"/>
  <c r="B812" i="14"/>
  <c r="C812" i="14" s="1"/>
  <c r="B813" i="14"/>
  <c r="C813" i="14" s="1"/>
  <c r="B814" i="14"/>
  <c r="C814" i="14" s="1"/>
  <c r="B815" i="14"/>
  <c r="C815" i="14" s="1"/>
  <c r="B816" i="14"/>
  <c r="C816" i="14" s="1"/>
  <c r="B817" i="14"/>
  <c r="C817" i="14" s="1"/>
  <c r="B818" i="14"/>
  <c r="C818" i="14" s="1"/>
  <c r="B819" i="14"/>
  <c r="C819" i="14" s="1"/>
  <c r="B820" i="14"/>
  <c r="C820" i="14" s="1"/>
  <c r="B821" i="14"/>
  <c r="C821" i="14" s="1"/>
  <c r="B822" i="14"/>
  <c r="C822" i="14" s="1"/>
  <c r="B823" i="14"/>
  <c r="C823" i="14" s="1"/>
  <c r="B824" i="14"/>
  <c r="C824" i="14" s="1"/>
  <c r="B825" i="14"/>
  <c r="C825" i="14" s="1"/>
  <c r="B826" i="14"/>
  <c r="C826" i="14" s="1"/>
  <c r="B827" i="14"/>
  <c r="C827" i="14" s="1"/>
  <c r="B828" i="14"/>
  <c r="C828" i="14" s="1"/>
  <c r="B829" i="14"/>
  <c r="C829" i="14" s="1"/>
  <c r="B830" i="14"/>
  <c r="C830" i="14" s="1"/>
  <c r="B831" i="14"/>
  <c r="C831" i="14" s="1"/>
  <c r="B832" i="14"/>
  <c r="C832" i="14" s="1"/>
  <c r="B833" i="14"/>
  <c r="C833" i="14" s="1"/>
  <c r="B834" i="14"/>
  <c r="C834" i="14" s="1"/>
  <c r="B835" i="14"/>
  <c r="C835" i="14" s="1"/>
  <c r="B836" i="14"/>
  <c r="C836" i="14" s="1"/>
  <c r="B837" i="14"/>
  <c r="C837" i="14" s="1"/>
  <c r="B838" i="14"/>
  <c r="C838" i="14" s="1"/>
  <c r="B839" i="14"/>
  <c r="C839" i="14" s="1"/>
  <c r="B840" i="14"/>
  <c r="C840" i="14" s="1"/>
  <c r="B841" i="14"/>
  <c r="C841" i="14" s="1"/>
  <c r="B842" i="14"/>
  <c r="C842" i="14" s="1"/>
  <c r="B843" i="14"/>
  <c r="C843" i="14" s="1"/>
  <c r="B844" i="14"/>
  <c r="C844" i="14" s="1"/>
  <c r="B845" i="14"/>
  <c r="C845" i="14" s="1"/>
  <c r="B846" i="14"/>
  <c r="C846" i="14" s="1"/>
  <c r="B847" i="14"/>
  <c r="C847" i="14" s="1"/>
  <c r="B848" i="14"/>
  <c r="C848" i="14" s="1"/>
  <c r="B849" i="14"/>
  <c r="C849" i="14" s="1"/>
  <c r="B850" i="14"/>
  <c r="C850" i="14" s="1"/>
  <c r="B851" i="14"/>
  <c r="C851" i="14" s="1"/>
  <c r="B852" i="14"/>
  <c r="C852" i="14" s="1"/>
  <c r="B853" i="14"/>
  <c r="C853" i="14" s="1"/>
  <c r="B854" i="14"/>
  <c r="C854" i="14" s="1"/>
  <c r="B855" i="14"/>
  <c r="C855" i="14" s="1"/>
  <c r="B856" i="14"/>
  <c r="C856" i="14" s="1"/>
  <c r="B857" i="14"/>
  <c r="C857" i="14" s="1"/>
  <c r="B858" i="14"/>
  <c r="C858" i="14" s="1"/>
  <c r="B859" i="14"/>
  <c r="C859" i="14" s="1"/>
  <c r="B860" i="14"/>
  <c r="C860" i="14" s="1"/>
  <c r="B861" i="14"/>
  <c r="C861" i="14" s="1"/>
  <c r="B862" i="14"/>
  <c r="C862" i="14" s="1"/>
  <c r="B863" i="14"/>
  <c r="C863" i="14" s="1"/>
  <c r="B864" i="14"/>
  <c r="C864" i="14" s="1"/>
  <c r="B865" i="14"/>
  <c r="C865" i="14" s="1"/>
  <c r="B866" i="14"/>
  <c r="C866" i="14" s="1"/>
  <c r="B867" i="14"/>
  <c r="C867" i="14" s="1"/>
  <c r="B868" i="14"/>
  <c r="C868" i="14" s="1"/>
  <c r="B869" i="14"/>
  <c r="C869" i="14" s="1"/>
  <c r="B870" i="14"/>
  <c r="C870" i="14" s="1"/>
  <c r="B871" i="14"/>
  <c r="C871" i="14" s="1"/>
  <c r="B872" i="14"/>
  <c r="C872" i="14" s="1"/>
  <c r="B873" i="14"/>
  <c r="C873" i="14" s="1"/>
  <c r="B874" i="14"/>
  <c r="C874" i="14" s="1"/>
  <c r="B875" i="14"/>
  <c r="C875" i="14" s="1"/>
  <c r="B876" i="14"/>
  <c r="C876" i="14" s="1"/>
  <c r="B877" i="14"/>
  <c r="C877" i="14" s="1"/>
  <c r="B878" i="14"/>
  <c r="C878" i="14" s="1"/>
  <c r="B879" i="14"/>
  <c r="C879" i="14" s="1"/>
  <c r="B880" i="14"/>
  <c r="C880" i="14" s="1"/>
  <c r="B881" i="14"/>
  <c r="C881" i="14" s="1"/>
  <c r="B882" i="14"/>
  <c r="C882" i="14" s="1"/>
  <c r="B883" i="14"/>
  <c r="C883" i="14" s="1"/>
  <c r="B884" i="14"/>
  <c r="C884" i="14" s="1"/>
  <c r="B885" i="14"/>
  <c r="C885" i="14" s="1"/>
  <c r="B886" i="14"/>
  <c r="C886" i="14" s="1"/>
  <c r="B887" i="14"/>
  <c r="C887" i="14" s="1"/>
  <c r="B888" i="14"/>
  <c r="C888" i="14" s="1"/>
  <c r="B889" i="14"/>
  <c r="C889" i="14" s="1"/>
  <c r="B890" i="14"/>
  <c r="C890" i="14" s="1"/>
  <c r="B891" i="14"/>
  <c r="C891" i="14" s="1"/>
  <c r="B892" i="14"/>
  <c r="C892" i="14" s="1"/>
  <c r="B893" i="14"/>
  <c r="C893" i="14" s="1"/>
  <c r="B894" i="14"/>
  <c r="C894" i="14" s="1"/>
  <c r="B895" i="14"/>
  <c r="C895" i="14" s="1"/>
  <c r="B896" i="14"/>
  <c r="C896" i="14" s="1"/>
  <c r="B897" i="14"/>
  <c r="C897" i="14" s="1"/>
  <c r="B898" i="14"/>
  <c r="C898" i="14" s="1"/>
  <c r="B899" i="14"/>
  <c r="C899" i="14" s="1"/>
  <c r="B900" i="14"/>
  <c r="C900" i="14" s="1"/>
  <c r="B901" i="14"/>
  <c r="C901" i="14" s="1"/>
  <c r="B904" i="14"/>
  <c r="C904" i="14" s="1"/>
  <c r="B907" i="14"/>
  <c r="C907" i="14" s="1"/>
  <c r="B908" i="14"/>
  <c r="C908" i="14" s="1"/>
  <c r="B910" i="14"/>
  <c r="C910" i="14" s="1"/>
  <c r="B913" i="14"/>
  <c r="C913" i="14" s="1"/>
  <c r="B915" i="14"/>
  <c r="C915" i="14" s="1"/>
  <c r="B917" i="14"/>
  <c r="C917" i="14" s="1"/>
  <c r="B921" i="14"/>
  <c r="C921" i="14" s="1"/>
  <c r="B924" i="14"/>
  <c r="C924" i="14" s="1"/>
  <c r="B927" i="14"/>
  <c r="C927" i="14" s="1"/>
  <c r="B928" i="14"/>
  <c r="C928" i="14" s="1"/>
  <c r="B931" i="14"/>
  <c r="C931" i="14" s="1"/>
  <c r="B933" i="14"/>
  <c r="C933" i="14" s="1"/>
  <c r="B935" i="14"/>
  <c r="C935" i="14" s="1"/>
  <c r="B937" i="14"/>
  <c r="C937" i="14" s="1"/>
  <c r="B940" i="14"/>
  <c r="C940" i="14" s="1"/>
  <c r="B942" i="14"/>
  <c r="C942" i="14" s="1"/>
  <c r="B632" i="14"/>
  <c r="C632" i="14" s="1"/>
  <c r="B633" i="14"/>
  <c r="C633" i="14" s="1"/>
  <c r="B634" i="14"/>
  <c r="C634" i="14" s="1"/>
  <c r="B635" i="14"/>
  <c r="C635" i="14" s="1"/>
  <c r="B636" i="14"/>
  <c r="C636" i="14" s="1"/>
  <c r="B637" i="14"/>
  <c r="C637" i="14" s="1"/>
  <c r="B638" i="14"/>
  <c r="C638" i="14" s="1"/>
  <c r="B639" i="14"/>
  <c r="C639" i="14" s="1"/>
  <c r="B640" i="14"/>
  <c r="C640" i="14" s="1"/>
  <c r="B641" i="14"/>
  <c r="C641" i="14" s="1"/>
  <c r="B642" i="14"/>
  <c r="C642" i="14" s="1"/>
  <c r="B645" i="14"/>
  <c r="C645" i="14" s="1"/>
  <c r="B646" i="14"/>
  <c r="C646" i="14" s="1"/>
  <c r="B647" i="14"/>
  <c r="C647" i="14" s="1"/>
  <c r="B240" i="14"/>
  <c r="C240" i="14" s="1"/>
  <c r="B244" i="14"/>
  <c r="C244" i="14" s="1"/>
  <c r="B944" i="14"/>
  <c r="C944" i="14" s="1"/>
  <c r="B945" i="14"/>
  <c r="C945" i="14" s="1"/>
  <c r="B946" i="14"/>
  <c r="C946" i="14" s="1"/>
  <c r="B947" i="14"/>
  <c r="C947" i="14" s="1"/>
  <c r="B948" i="14"/>
  <c r="C948" i="14" s="1"/>
  <c r="B949" i="14"/>
  <c r="C949" i="14" s="1"/>
  <c r="B950" i="14"/>
  <c r="C950" i="14" s="1"/>
  <c r="B951" i="14"/>
  <c r="C951" i="14" s="1"/>
  <c r="B952" i="14"/>
  <c r="C952" i="14" s="1"/>
  <c r="B953" i="14"/>
  <c r="C953" i="14" s="1"/>
  <c r="B954" i="14"/>
  <c r="C954" i="14" s="1"/>
  <c r="B955" i="14"/>
  <c r="C955" i="14" s="1"/>
  <c r="B956" i="14"/>
  <c r="C956" i="14" s="1"/>
  <c r="B957" i="14"/>
  <c r="C957" i="14" s="1"/>
  <c r="B958" i="14"/>
  <c r="C958" i="14" s="1"/>
  <c r="B959" i="14"/>
  <c r="C959" i="14" s="1"/>
  <c r="B960" i="14"/>
  <c r="C960" i="14" s="1"/>
  <c r="B961" i="14"/>
  <c r="C961" i="14" s="1"/>
  <c r="B962" i="14"/>
  <c r="C962" i="14" s="1"/>
  <c r="B963" i="14"/>
  <c r="C963" i="14" s="1"/>
  <c r="B964" i="14"/>
  <c r="C964" i="14" s="1"/>
  <c r="B965" i="14"/>
  <c r="C965" i="14" s="1"/>
  <c r="B966" i="14"/>
  <c r="C966" i="14" s="1"/>
  <c r="B967" i="14"/>
  <c r="C967" i="14" s="1"/>
  <c r="B968" i="14"/>
  <c r="C968" i="14" s="1"/>
  <c r="B969" i="14"/>
  <c r="C969" i="14" s="1"/>
  <c r="B970" i="14"/>
  <c r="C970" i="14" s="1"/>
  <c r="B971" i="14"/>
  <c r="C971" i="14" s="1"/>
  <c r="B972" i="14"/>
  <c r="C972" i="14" s="1"/>
  <c r="B973" i="14"/>
  <c r="C973" i="14" s="1"/>
  <c r="B974" i="14"/>
  <c r="C974" i="14" s="1"/>
  <c r="B975" i="14"/>
  <c r="C975" i="14" s="1"/>
  <c r="B976" i="14"/>
  <c r="C976" i="14" s="1"/>
  <c r="B977" i="14"/>
  <c r="C977" i="14" s="1"/>
  <c r="B978" i="14"/>
  <c r="C978" i="14" s="1"/>
  <c r="B979" i="14"/>
  <c r="C979" i="14" s="1"/>
  <c r="B980" i="14"/>
  <c r="C980" i="14" s="1"/>
  <c r="B981" i="14"/>
  <c r="C981" i="14" s="1"/>
  <c r="B982" i="14"/>
  <c r="C982" i="14" s="1"/>
  <c r="B983" i="14"/>
  <c r="C983" i="14" s="1"/>
  <c r="B984" i="14"/>
  <c r="C984" i="14" s="1"/>
  <c r="B985" i="14"/>
  <c r="C985" i="14" s="1"/>
  <c r="B986" i="14"/>
  <c r="C986" i="14" s="1"/>
  <c r="B987" i="14"/>
  <c r="C987" i="14" s="1"/>
  <c r="B988" i="14"/>
  <c r="C988" i="14" s="1"/>
  <c r="B989" i="14"/>
  <c r="C989" i="14" s="1"/>
  <c r="B990" i="14"/>
  <c r="C990" i="14" s="1"/>
  <c r="B991" i="14"/>
  <c r="C991" i="14" s="1"/>
  <c r="B992" i="14"/>
  <c r="C992" i="14" s="1"/>
  <c r="B994" i="14"/>
  <c r="C994" i="14" s="1"/>
  <c r="B995" i="14"/>
  <c r="C995" i="14" s="1"/>
  <c r="B996" i="14"/>
  <c r="C996" i="14" s="1"/>
  <c r="B997" i="14"/>
  <c r="C997" i="14" s="1"/>
  <c r="B998" i="14"/>
  <c r="C998" i="14" s="1"/>
  <c r="B999" i="14"/>
  <c r="C999" i="14" s="1"/>
  <c r="B1000" i="14"/>
  <c r="C1000" i="14" s="1"/>
  <c r="B1001" i="14"/>
  <c r="C1001" i="14" s="1"/>
  <c r="B502" i="14"/>
  <c r="C502" i="14" s="1"/>
  <c r="B503" i="14"/>
  <c r="C503" i="14" s="1"/>
  <c r="B504" i="14"/>
  <c r="C504" i="14" s="1"/>
  <c r="B505" i="14"/>
  <c r="C505" i="14" s="1"/>
  <c r="B506" i="14"/>
  <c r="C506" i="14" s="1"/>
  <c r="B507" i="14"/>
  <c r="C507" i="14" s="1"/>
  <c r="B508" i="14"/>
  <c r="C508" i="14" s="1"/>
  <c r="B509" i="14"/>
  <c r="C509" i="14" s="1"/>
  <c r="B510" i="14"/>
  <c r="C510" i="14" s="1"/>
  <c r="B511" i="14"/>
  <c r="C511" i="14" s="1"/>
  <c r="B512" i="14"/>
  <c r="C512" i="14" s="1"/>
  <c r="B513" i="14"/>
  <c r="C513" i="14" s="1"/>
  <c r="B514" i="14"/>
  <c r="C514" i="14" s="1"/>
  <c r="B515" i="14"/>
  <c r="C515" i="14" s="1"/>
  <c r="B516" i="14"/>
  <c r="C516" i="14" s="1"/>
  <c r="B517" i="14"/>
  <c r="C517" i="14" s="1"/>
  <c r="B518" i="14"/>
  <c r="C518" i="14" s="1"/>
  <c r="B519" i="14"/>
  <c r="C519" i="14" s="1"/>
  <c r="B520" i="14"/>
  <c r="C520" i="14" s="1"/>
  <c r="B521" i="14"/>
  <c r="C521" i="14" s="1"/>
  <c r="B522" i="14"/>
  <c r="C522" i="14" s="1"/>
  <c r="B523" i="14"/>
  <c r="C523" i="14" s="1"/>
  <c r="B524" i="14"/>
  <c r="C524" i="14" s="1"/>
  <c r="B525" i="14"/>
  <c r="C525" i="14" s="1"/>
  <c r="B526" i="14"/>
  <c r="C526" i="14" s="1"/>
  <c r="B527" i="14"/>
  <c r="C527" i="14" s="1"/>
  <c r="B528" i="14"/>
  <c r="C528" i="14" s="1"/>
  <c r="B529" i="14"/>
  <c r="C529" i="14" s="1"/>
  <c r="B530" i="14"/>
  <c r="C530" i="14" s="1"/>
  <c r="B531" i="14"/>
  <c r="C531" i="14" s="1"/>
  <c r="B532" i="14"/>
  <c r="C532" i="14" s="1"/>
  <c r="B533" i="14"/>
  <c r="C533" i="14" s="1"/>
  <c r="B534" i="14"/>
  <c r="C534" i="14" s="1"/>
  <c r="B535" i="14"/>
  <c r="C535" i="14" s="1"/>
  <c r="B536" i="14"/>
  <c r="C536" i="14" s="1"/>
  <c r="B537" i="14"/>
  <c r="C537" i="14" s="1"/>
  <c r="B538" i="14"/>
  <c r="C538" i="14" s="1"/>
  <c r="B539" i="14"/>
  <c r="C539" i="14" s="1"/>
  <c r="B540" i="14"/>
  <c r="C540" i="14" s="1"/>
  <c r="B541" i="14"/>
  <c r="C541" i="14" s="1"/>
  <c r="B542" i="14"/>
  <c r="C542" i="14" s="1"/>
  <c r="B543" i="14"/>
  <c r="C543" i="14" s="1"/>
  <c r="B544" i="14"/>
  <c r="C544" i="14" s="1"/>
  <c r="B545" i="14"/>
  <c r="C545" i="14" s="1"/>
  <c r="B546" i="14"/>
  <c r="C546" i="14" s="1"/>
  <c r="B547" i="14"/>
  <c r="C547" i="14" s="1"/>
  <c r="B548" i="14"/>
  <c r="C548" i="14" s="1"/>
  <c r="B549" i="14"/>
  <c r="C549" i="14" s="1"/>
  <c r="B550" i="14"/>
  <c r="C550" i="14" s="1"/>
  <c r="B551" i="14"/>
  <c r="C551" i="14" s="1"/>
  <c r="B552" i="14"/>
  <c r="C552" i="14" s="1"/>
  <c r="B553" i="14"/>
  <c r="C553" i="14" s="1"/>
  <c r="B554" i="14"/>
  <c r="C554" i="14" s="1"/>
  <c r="B555" i="14"/>
  <c r="C555" i="14" s="1"/>
  <c r="B556" i="14"/>
  <c r="C556" i="14" s="1"/>
  <c r="B557" i="14"/>
  <c r="C557" i="14" s="1"/>
  <c r="B558" i="14"/>
  <c r="C558" i="14" s="1"/>
  <c r="B559" i="14"/>
  <c r="C559" i="14" s="1"/>
  <c r="B560" i="14"/>
  <c r="C560" i="14" s="1"/>
  <c r="B561" i="14"/>
  <c r="C561" i="14" s="1"/>
  <c r="B562" i="14"/>
  <c r="C562" i="14" s="1"/>
  <c r="B563" i="14"/>
  <c r="C563" i="14" s="1"/>
  <c r="B564" i="14"/>
  <c r="C564" i="14" s="1"/>
  <c r="B565" i="14"/>
  <c r="C565" i="14" s="1"/>
  <c r="B566" i="14"/>
  <c r="C566" i="14" s="1"/>
  <c r="B567" i="14"/>
  <c r="C567" i="14" s="1"/>
  <c r="B568" i="14"/>
  <c r="C568" i="14" s="1"/>
  <c r="B569" i="14"/>
  <c r="C569" i="14" s="1"/>
  <c r="B570" i="14"/>
  <c r="C570" i="14" s="1"/>
  <c r="B571" i="14"/>
  <c r="C571" i="14" s="1"/>
  <c r="B572" i="14"/>
  <c r="C572" i="14" s="1"/>
  <c r="B573" i="14"/>
  <c r="C573" i="14" s="1"/>
  <c r="B574" i="14"/>
  <c r="C574" i="14" s="1"/>
  <c r="B575" i="14"/>
  <c r="C575" i="14" s="1"/>
  <c r="B576" i="14"/>
  <c r="C576" i="14" s="1"/>
  <c r="B577" i="14"/>
  <c r="C577" i="14" s="1"/>
  <c r="B578" i="14"/>
  <c r="C578" i="14" s="1"/>
  <c r="B579" i="14"/>
  <c r="C579" i="14" s="1"/>
  <c r="B580" i="14"/>
  <c r="C580" i="14" s="1"/>
  <c r="B581" i="14"/>
  <c r="C581" i="14" s="1"/>
  <c r="B582" i="14"/>
  <c r="C582" i="14" s="1"/>
  <c r="B583" i="14"/>
  <c r="C583" i="14" s="1"/>
  <c r="B584" i="14"/>
  <c r="C584" i="14" s="1"/>
  <c r="B585" i="14"/>
  <c r="C585" i="14" s="1"/>
  <c r="B586" i="14"/>
  <c r="C586" i="14" s="1"/>
  <c r="B587" i="14"/>
  <c r="C587" i="14" s="1"/>
  <c r="B588" i="14"/>
  <c r="C588" i="14" s="1"/>
  <c r="B589" i="14"/>
  <c r="C589" i="14" s="1"/>
  <c r="B590" i="14"/>
  <c r="C590" i="14" s="1"/>
  <c r="B591" i="14"/>
  <c r="C591" i="14" s="1"/>
  <c r="B592" i="14"/>
  <c r="C592" i="14" s="1"/>
  <c r="B593" i="14"/>
  <c r="C593" i="14" s="1"/>
  <c r="B594" i="14"/>
  <c r="C594" i="14" s="1"/>
  <c r="B595" i="14"/>
  <c r="C595" i="14" s="1"/>
  <c r="B596" i="14"/>
  <c r="C596" i="14" s="1"/>
  <c r="B597" i="14"/>
  <c r="C597" i="14" s="1"/>
  <c r="B598" i="14"/>
  <c r="C598" i="14" s="1"/>
  <c r="B599" i="14"/>
  <c r="C599" i="14" s="1"/>
  <c r="B600" i="14"/>
  <c r="C600" i="14" s="1"/>
  <c r="B601" i="14"/>
  <c r="C601" i="14" s="1"/>
  <c r="B602" i="14"/>
  <c r="C602" i="14" s="1"/>
  <c r="B603" i="14"/>
  <c r="C603" i="14" s="1"/>
  <c r="B604" i="14"/>
  <c r="C604" i="14" s="1"/>
  <c r="B605" i="14"/>
  <c r="C605" i="14" s="1"/>
  <c r="B606" i="14"/>
  <c r="C606" i="14" s="1"/>
  <c r="B607" i="14"/>
  <c r="C607" i="14" s="1"/>
  <c r="B608" i="14"/>
  <c r="C608" i="14" s="1"/>
  <c r="B609" i="14"/>
  <c r="C609" i="14" s="1"/>
  <c r="B610" i="14"/>
  <c r="C610" i="14" s="1"/>
  <c r="B611" i="14"/>
  <c r="C611" i="14" s="1"/>
  <c r="B612" i="14"/>
  <c r="C612" i="14" s="1"/>
  <c r="B613" i="14"/>
  <c r="C613" i="14" s="1"/>
  <c r="B614" i="14"/>
  <c r="C614" i="14" s="1"/>
  <c r="B615" i="14"/>
  <c r="C615" i="14" s="1"/>
  <c r="B616" i="14"/>
  <c r="C616" i="14" s="1"/>
  <c r="B617" i="14"/>
  <c r="C617" i="14" s="1"/>
  <c r="B618" i="14"/>
  <c r="C618" i="14" s="1"/>
  <c r="B619" i="14"/>
  <c r="C619" i="14" s="1"/>
  <c r="B620" i="14"/>
  <c r="C620" i="14" s="1"/>
  <c r="B621" i="14"/>
  <c r="C621" i="14" s="1"/>
  <c r="B622" i="14"/>
  <c r="C622" i="14" s="1"/>
  <c r="B623" i="14"/>
  <c r="C623" i="14" s="1"/>
  <c r="B624" i="14"/>
  <c r="C624" i="14" s="1"/>
  <c r="B625" i="14"/>
  <c r="C625" i="14" s="1"/>
  <c r="B626" i="14"/>
  <c r="C626" i="14" s="1"/>
  <c r="B627" i="14"/>
  <c r="C627" i="14" s="1"/>
  <c r="B628" i="14"/>
  <c r="C628" i="14" s="1"/>
  <c r="B629" i="14"/>
  <c r="C629" i="14" s="1"/>
  <c r="B237" i="14"/>
  <c r="C237" i="14" s="1"/>
  <c r="B239" i="14"/>
  <c r="C239" i="14" s="1"/>
  <c r="B241" i="14"/>
  <c r="C241" i="14" s="1"/>
  <c r="B243" i="14"/>
  <c r="C243" i="14" s="1"/>
  <c r="B246" i="14"/>
  <c r="C246" i="14" s="1"/>
  <c r="B993" i="14"/>
  <c r="C993" i="14" s="1"/>
  <c r="B1002" i="14"/>
  <c r="C1002" i="14" s="1"/>
  <c r="B1003" i="14"/>
  <c r="C1003" i="14" s="1"/>
  <c r="B1004" i="14"/>
  <c r="C1004" i="14" s="1"/>
  <c r="B1005" i="14"/>
  <c r="C1005" i="14" s="1"/>
  <c r="B1006" i="14"/>
  <c r="C1006" i="14" s="1"/>
  <c r="B1007" i="14"/>
  <c r="C1007" i="14" s="1"/>
  <c r="B1008" i="14"/>
  <c r="C1008" i="14" s="1"/>
  <c r="B1009" i="14"/>
  <c r="C1009" i="14" s="1"/>
  <c r="B1010" i="14"/>
  <c r="C1010" i="14" s="1"/>
  <c r="B1011" i="14"/>
  <c r="C1011" i="14" s="1"/>
  <c r="B1012" i="14"/>
  <c r="C1012" i="14" s="1"/>
  <c r="B1013" i="14"/>
  <c r="C1013" i="14" s="1"/>
  <c r="B1014" i="14"/>
  <c r="C1014" i="14" s="1"/>
  <c r="B1015" i="14"/>
  <c r="C1015" i="14" s="1"/>
  <c r="B1016" i="14"/>
  <c r="C1016" i="14" s="1"/>
  <c r="B648" i="14"/>
  <c r="C648" i="14" s="1"/>
  <c r="B649" i="14"/>
  <c r="C649" i="14" s="1"/>
  <c r="B650" i="14"/>
  <c r="C650" i="14" s="1"/>
  <c r="B651" i="14"/>
  <c r="C651" i="14" s="1"/>
  <c r="B652" i="14"/>
  <c r="C652" i="14" s="1"/>
  <c r="B653" i="14"/>
  <c r="C653" i="14" s="1"/>
  <c r="B654" i="14"/>
  <c r="C654" i="14" s="1"/>
  <c r="B655" i="14"/>
  <c r="C655" i="14" s="1"/>
  <c r="B656" i="14"/>
  <c r="C656" i="14" s="1"/>
  <c r="B657" i="14"/>
  <c r="C657" i="14" s="1"/>
  <c r="B658" i="14"/>
  <c r="C658" i="14" s="1"/>
  <c r="B659" i="14"/>
  <c r="C659" i="14" s="1"/>
  <c r="B660" i="14"/>
  <c r="C660" i="14" s="1"/>
  <c r="B661" i="14"/>
  <c r="C661" i="14" s="1"/>
  <c r="B662" i="14"/>
  <c r="C662" i="14" s="1"/>
  <c r="B663" i="14"/>
  <c r="C663" i="14" s="1"/>
  <c r="B664" i="14"/>
  <c r="C664" i="14" s="1"/>
  <c r="B665" i="14"/>
  <c r="C665" i="14" s="1"/>
  <c r="B666" i="14"/>
  <c r="C666" i="14" s="1"/>
  <c r="B667" i="14"/>
  <c r="C667" i="14" s="1"/>
  <c r="B668" i="14"/>
  <c r="C668" i="14" s="1"/>
  <c r="B669" i="14"/>
  <c r="C669" i="14" s="1"/>
  <c r="B670" i="14"/>
  <c r="C670" i="14" s="1"/>
  <c r="B671" i="14"/>
  <c r="C671" i="14" s="1"/>
  <c r="B672" i="14"/>
  <c r="C672" i="14" s="1"/>
  <c r="B673" i="14"/>
  <c r="C673" i="14" s="1"/>
  <c r="B674" i="14"/>
  <c r="C674" i="14" s="1"/>
  <c r="B675" i="14"/>
  <c r="C675" i="14" s="1"/>
  <c r="B676" i="14"/>
  <c r="C676" i="14" s="1"/>
  <c r="B677" i="14"/>
  <c r="C677" i="14" s="1"/>
  <c r="B678" i="14"/>
  <c r="C678" i="14" s="1"/>
  <c r="B679" i="14"/>
  <c r="C679" i="14" s="1"/>
  <c r="B680" i="14"/>
  <c r="C680" i="14" s="1"/>
  <c r="B681" i="14"/>
  <c r="C681" i="14" s="1"/>
  <c r="B682" i="14"/>
  <c r="C682" i="14" s="1"/>
  <c r="B683" i="14"/>
  <c r="C683" i="14" s="1"/>
  <c r="B684" i="14"/>
  <c r="C684" i="14" s="1"/>
  <c r="B685" i="14"/>
  <c r="C685" i="14" s="1"/>
  <c r="B686" i="14"/>
  <c r="C686" i="14" s="1"/>
  <c r="B687" i="14"/>
  <c r="C687" i="14" s="1"/>
  <c r="B688" i="14"/>
  <c r="C688" i="14" s="1"/>
  <c r="B689" i="14"/>
  <c r="C689" i="14" s="1"/>
  <c r="B690" i="14"/>
  <c r="C690" i="14" s="1"/>
  <c r="B691" i="14"/>
  <c r="C691" i="14" s="1"/>
  <c r="B692" i="14"/>
  <c r="C692" i="14" s="1"/>
  <c r="B693" i="14"/>
  <c r="C693" i="14" s="1"/>
  <c r="B694" i="14"/>
  <c r="C694" i="14" s="1"/>
  <c r="B695" i="14"/>
  <c r="C695" i="14" s="1"/>
  <c r="B696" i="14"/>
  <c r="C696" i="14" s="1"/>
  <c r="B697" i="14"/>
  <c r="C697" i="14" s="1"/>
  <c r="B698" i="14"/>
  <c r="C698" i="14" s="1"/>
  <c r="B699" i="14"/>
  <c r="C699" i="14" s="1"/>
  <c r="B700" i="14"/>
  <c r="C700" i="14" s="1"/>
  <c r="B701" i="14"/>
  <c r="C701" i="14" s="1"/>
  <c r="B702" i="14"/>
  <c r="C702" i="14" s="1"/>
  <c r="B703" i="14"/>
  <c r="C703" i="14" s="1"/>
  <c r="B704" i="14"/>
  <c r="C704" i="14" s="1"/>
  <c r="B705" i="14"/>
  <c r="C705" i="14" s="1"/>
  <c r="B706" i="14"/>
  <c r="C706" i="14" s="1"/>
  <c r="B707" i="14"/>
  <c r="C707" i="14" s="1"/>
  <c r="B708" i="14"/>
  <c r="C708" i="14" s="1"/>
  <c r="B709" i="14"/>
  <c r="C709" i="14" s="1"/>
  <c r="B710" i="14"/>
  <c r="C710" i="14" s="1"/>
  <c r="B711" i="14"/>
  <c r="C711" i="14" s="1"/>
  <c r="B712" i="14"/>
  <c r="C712" i="14" s="1"/>
  <c r="B713" i="14"/>
  <c r="C713" i="14" s="1"/>
  <c r="B714" i="14"/>
  <c r="C714" i="14" s="1"/>
  <c r="B715" i="14"/>
  <c r="C715" i="14" s="1"/>
  <c r="B716" i="14"/>
  <c r="C716" i="14" s="1"/>
  <c r="B717" i="14"/>
  <c r="C717" i="14" s="1"/>
  <c r="B718" i="14"/>
  <c r="C718" i="14" s="1"/>
  <c r="B719" i="14"/>
  <c r="C719" i="14" s="1"/>
  <c r="B720" i="14"/>
  <c r="C720" i="14" s="1"/>
  <c r="B721" i="14"/>
  <c r="C721" i="14" s="1"/>
  <c r="B722" i="14"/>
  <c r="C722" i="14" s="1"/>
  <c r="B723" i="14"/>
  <c r="C723" i="14" s="1"/>
  <c r="B724" i="14"/>
  <c r="C724" i="14" s="1"/>
  <c r="B725" i="14"/>
  <c r="C725" i="14" s="1"/>
  <c r="B726" i="14"/>
  <c r="C726" i="14" s="1"/>
  <c r="B727" i="14"/>
  <c r="C727" i="14" s="1"/>
  <c r="B728" i="14"/>
  <c r="C728" i="14" s="1"/>
  <c r="B729" i="14"/>
  <c r="C729" i="14" s="1"/>
  <c r="B730" i="14"/>
  <c r="C730" i="14" s="1"/>
  <c r="B731" i="14"/>
  <c r="C731" i="14" s="1"/>
  <c r="B732" i="14"/>
  <c r="C732" i="14" s="1"/>
  <c r="B733" i="14"/>
  <c r="C733" i="14" s="1"/>
  <c r="B734" i="14"/>
  <c r="C734" i="14" s="1"/>
  <c r="B735" i="14"/>
  <c r="C735" i="14" s="1"/>
  <c r="B736" i="14"/>
  <c r="C736" i="14" s="1"/>
  <c r="B737" i="14"/>
  <c r="C737" i="14" s="1"/>
  <c r="B738" i="14"/>
  <c r="C738" i="14" s="1"/>
  <c r="B739" i="14"/>
  <c r="C739" i="14" s="1"/>
  <c r="B740" i="14"/>
  <c r="C740" i="14" s="1"/>
  <c r="B741" i="14"/>
  <c r="C741" i="14" s="1"/>
  <c r="B742" i="14"/>
  <c r="C742" i="14" s="1"/>
  <c r="B743" i="14"/>
  <c r="C743" i="14" s="1"/>
  <c r="B744" i="14"/>
  <c r="C744" i="14" s="1"/>
  <c r="B745" i="14"/>
  <c r="C745" i="14" s="1"/>
  <c r="B746" i="14"/>
  <c r="C746" i="14" s="1"/>
  <c r="B747" i="14"/>
  <c r="C747" i="14" s="1"/>
  <c r="B748" i="14"/>
  <c r="C748" i="14" s="1"/>
  <c r="B749" i="14"/>
  <c r="C749" i="14" s="1"/>
  <c r="B750" i="14"/>
  <c r="C750" i="14" s="1"/>
  <c r="B751" i="14"/>
  <c r="C751" i="14" s="1"/>
  <c r="B252" i="14"/>
  <c r="C252" i="14" s="1"/>
  <c r="B253" i="14"/>
  <c r="C253" i="14" s="1"/>
  <c r="B254" i="14"/>
  <c r="C254" i="14" s="1"/>
  <c r="B255" i="14"/>
  <c r="C255" i="14" s="1"/>
  <c r="B256" i="14"/>
  <c r="C256" i="14" s="1"/>
  <c r="B257" i="14"/>
  <c r="C257" i="14" s="1"/>
  <c r="B258" i="14"/>
  <c r="C258" i="14" s="1"/>
  <c r="B259" i="14"/>
  <c r="C259" i="14" s="1"/>
  <c r="B260" i="14"/>
  <c r="C260" i="14" s="1"/>
  <c r="B261" i="14"/>
  <c r="C261" i="14" s="1"/>
  <c r="B262" i="14"/>
  <c r="C262" i="14" s="1"/>
  <c r="B263" i="14"/>
  <c r="C263" i="14" s="1"/>
  <c r="B264" i="14"/>
  <c r="C264" i="14" s="1"/>
  <c r="B265" i="14"/>
  <c r="C265" i="14" s="1"/>
  <c r="B266" i="14"/>
  <c r="C266" i="14" s="1"/>
  <c r="B267" i="14"/>
  <c r="C267" i="14" s="1"/>
  <c r="B268" i="14"/>
  <c r="C268" i="14" s="1"/>
  <c r="B269" i="14"/>
  <c r="C269" i="14" s="1"/>
  <c r="B270" i="14"/>
  <c r="C270" i="14" s="1"/>
  <c r="B271" i="14"/>
  <c r="C271" i="14" s="1"/>
  <c r="B272" i="14"/>
  <c r="C272" i="14" s="1"/>
  <c r="B273" i="14"/>
  <c r="C273" i="14" s="1"/>
  <c r="B274" i="14"/>
  <c r="C274" i="14" s="1"/>
  <c r="B275" i="14"/>
  <c r="C275" i="14" s="1"/>
  <c r="B276" i="14"/>
  <c r="C276" i="14" s="1"/>
  <c r="B277" i="14"/>
  <c r="C277" i="14" s="1"/>
  <c r="B278" i="14"/>
  <c r="C278" i="14" s="1"/>
  <c r="B279" i="14"/>
  <c r="C279" i="14" s="1"/>
  <c r="B280" i="14"/>
  <c r="C280" i="14" s="1"/>
  <c r="B281" i="14"/>
  <c r="C281" i="14" s="1"/>
  <c r="B282" i="14"/>
  <c r="C282" i="14" s="1"/>
  <c r="B283" i="14"/>
  <c r="C283" i="14" s="1"/>
  <c r="B284" i="14"/>
  <c r="C284" i="14" s="1"/>
  <c r="B285" i="14"/>
  <c r="C285" i="14" s="1"/>
  <c r="B286" i="14"/>
  <c r="C286" i="14" s="1"/>
  <c r="B287" i="14"/>
  <c r="C287" i="14" s="1"/>
  <c r="B288" i="14"/>
  <c r="C288" i="14" s="1"/>
  <c r="B289" i="14"/>
  <c r="C289" i="14" s="1"/>
  <c r="B290" i="14"/>
  <c r="C290" i="14" s="1"/>
  <c r="B291" i="14"/>
  <c r="C291" i="14" s="1"/>
  <c r="B292" i="14"/>
  <c r="C292" i="14" s="1"/>
  <c r="B293" i="14"/>
  <c r="C293" i="14" s="1"/>
  <c r="B294" i="14"/>
  <c r="C294" i="14" s="1"/>
  <c r="B295" i="14"/>
  <c r="C295" i="14" s="1"/>
  <c r="B296" i="14"/>
  <c r="C296" i="14" s="1"/>
  <c r="B297" i="14"/>
  <c r="C297" i="14" s="1"/>
  <c r="B298" i="14"/>
  <c r="C298" i="14" s="1"/>
  <c r="B299" i="14"/>
  <c r="C299" i="14" s="1"/>
  <c r="B300" i="14"/>
  <c r="C300" i="14" s="1"/>
  <c r="B301" i="14"/>
  <c r="C301" i="14" s="1"/>
  <c r="B302" i="14"/>
  <c r="C302" i="14" s="1"/>
  <c r="B303" i="14"/>
  <c r="C303" i="14" s="1"/>
  <c r="B304" i="14"/>
  <c r="C304" i="14" s="1"/>
  <c r="B305" i="14"/>
  <c r="C305" i="14" s="1"/>
  <c r="B306" i="14"/>
  <c r="C306" i="14" s="1"/>
  <c r="B307" i="14"/>
  <c r="C307" i="14" s="1"/>
  <c r="B308" i="14"/>
  <c r="C308" i="14" s="1"/>
  <c r="B309" i="14"/>
  <c r="C309" i="14" s="1"/>
  <c r="B310" i="14"/>
  <c r="C310" i="14" s="1"/>
  <c r="B311" i="14"/>
  <c r="C311" i="14" s="1"/>
  <c r="B312" i="14"/>
  <c r="C312" i="14" s="1"/>
  <c r="B313" i="14"/>
  <c r="C313" i="14" s="1"/>
  <c r="B314" i="14"/>
  <c r="C314" i="14" s="1"/>
  <c r="B315" i="14"/>
  <c r="C315" i="14" s="1"/>
  <c r="B316" i="14"/>
  <c r="C316" i="14" s="1"/>
  <c r="B317" i="14"/>
  <c r="C317" i="14" s="1"/>
  <c r="B318" i="14"/>
  <c r="C318" i="14" s="1"/>
  <c r="B319" i="14"/>
  <c r="C319" i="14" s="1"/>
  <c r="B320" i="14"/>
  <c r="C320" i="14" s="1"/>
  <c r="B321" i="14"/>
  <c r="C321" i="14" s="1"/>
  <c r="B322" i="14"/>
  <c r="C322" i="14" s="1"/>
  <c r="B323" i="14"/>
  <c r="C323" i="14" s="1"/>
  <c r="B324" i="14"/>
  <c r="C324" i="14" s="1"/>
  <c r="B325" i="14"/>
  <c r="C325" i="14" s="1"/>
  <c r="B326" i="14"/>
  <c r="C326" i="14" s="1"/>
  <c r="B327" i="14"/>
  <c r="C327" i="14" s="1"/>
  <c r="B328" i="14"/>
  <c r="C328" i="14" s="1"/>
  <c r="B329" i="14"/>
  <c r="C329" i="14" s="1"/>
  <c r="B330" i="14"/>
  <c r="C330" i="14" s="1"/>
  <c r="B331" i="14"/>
  <c r="C331" i="14" s="1"/>
  <c r="B332" i="14"/>
  <c r="C332" i="14" s="1"/>
  <c r="B333" i="14"/>
  <c r="C333" i="14" s="1"/>
  <c r="B334" i="14"/>
  <c r="C334" i="14" s="1"/>
  <c r="B335" i="14"/>
  <c r="C335" i="14" s="1"/>
  <c r="B336" i="14"/>
  <c r="C336" i="14" s="1"/>
  <c r="B337" i="14"/>
  <c r="C337" i="14" s="1"/>
  <c r="B338" i="14"/>
  <c r="C338" i="14" s="1"/>
  <c r="B339" i="14"/>
  <c r="C339" i="14" s="1"/>
  <c r="B340" i="14"/>
  <c r="C340" i="14" s="1"/>
  <c r="B341" i="14"/>
  <c r="C341" i="14" s="1"/>
  <c r="B342" i="14"/>
  <c r="C342" i="14" s="1"/>
  <c r="B343" i="14"/>
  <c r="C343" i="14" s="1"/>
  <c r="B344" i="14"/>
  <c r="C344" i="14" s="1"/>
  <c r="B345" i="14"/>
  <c r="C345" i="14" s="1"/>
  <c r="B346" i="14"/>
  <c r="C346" i="14" s="1"/>
  <c r="B347" i="14"/>
  <c r="C347" i="14" s="1"/>
  <c r="B348" i="14"/>
  <c r="C348" i="14" s="1"/>
  <c r="B349" i="14"/>
  <c r="C349" i="14" s="1"/>
  <c r="B350" i="14"/>
  <c r="C350" i="14" s="1"/>
  <c r="B351" i="14"/>
  <c r="C351" i="14" s="1"/>
  <c r="B352" i="14"/>
  <c r="C352" i="14" s="1"/>
  <c r="B82" i="14"/>
  <c r="C82" i="14" s="1"/>
  <c r="B84" i="14"/>
  <c r="C84" i="14" s="1"/>
  <c r="B85" i="14"/>
  <c r="C85" i="14" s="1"/>
  <c r="B87" i="14"/>
  <c r="C87" i="14" s="1"/>
  <c r="B88" i="14"/>
  <c r="C88" i="14" s="1"/>
  <c r="B89" i="14"/>
  <c r="C89" i="14" s="1"/>
  <c r="B94" i="14"/>
  <c r="C94" i="14" s="1"/>
  <c r="B95" i="14"/>
  <c r="C95" i="14" s="1"/>
  <c r="B97" i="14"/>
  <c r="C97" i="14" s="1"/>
  <c r="B102" i="14"/>
  <c r="C102" i="14" s="1"/>
  <c r="B103" i="14"/>
  <c r="C103" i="14" s="1"/>
  <c r="B104" i="14"/>
  <c r="C104" i="14" s="1"/>
  <c r="B107" i="14"/>
  <c r="C107" i="14" s="1"/>
  <c r="B108" i="14"/>
  <c r="C108" i="14" s="1"/>
  <c r="B114" i="14"/>
  <c r="C114" i="14" s="1"/>
  <c r="B119" i="14"/>
  <c r="C119" i="14" s="1"/>
  <c r="B120" i="14"/>
  <c r="C120" i="14" s="1"/>
  <c r="B122" i="14"/>
  <c r="C122" i="14" s="1"/>
  <c r="B126" i="14"/>
  <c r="C126" i="14" s="1"/>
  <c r="B131" i="14"/>
  <c r="C131" i="14" s="1"/>
  <c r="B132" i="14"/>
  <c r="C132" i="14" s="1"/>
  <c r="B134" i="14"/>
  <c r="C134" i="14" s="1"/>
  <c r="B138" i="14"/>
  <c r="C138" i="14" s="1"/>
  <c r="B143" i="14"/>
  <c r="C143" i="14" s="1"/>
  <c r="B145" i="14"/>
  <c r="C145" i="14" s="1"/>
  <c r="B146" i="14"/>
  <c r="C146" i="14" s="1"/>
  <c r="B147" i="14"/>
  <c r="C147" i="14" s="1"/>
  <c r="B148" i="14"/>
  <c r="C148" i="14" s="1"/>
  <c r="B154" i="14"/>
  <c r="C154" i="14" s="1"/>
  <c r="B155" i="14"/>
  <c r="C155" i="14" s="1"/>
  <c r="B156" i="14"/>
  <c r="C156" i="14" s="1"/>
  <c r="B159" i="14"/>
  <c r="C159" i="14" s="1"/>
  <c r="B163" i="14"/>
  <c r="C163" i="14" s="1"/>
  <c r="B165" i="14"/>
  <c r="C165" i="14" s="1"/>
  <c r="B166" i="14"/>
  <c r="C166" i="14" s="1"/>
  <c r="B167" i="14"/>
  <c r="C167" i="14" s="1"/>
  <c r="B168" i="14"/>
  <c r="C168" i="14" s="1"/>
  <c r="B173" i="14"/>
  <c r="C173" i="14" s="1"/>
  <c r="B174" i="14"/>
  <c r="C174" i="14" s="1"/>
  <c r="B175" i="14"/>
  <c r="C175" i="14" s="1"/>
  <c r="B176" i="14"/>
  <c r="C176" i="14" s="1"/>
  <c r="B178" i="14"/>
  <c r="C178" i="14" s="1"/>
  <c r="B182" i="14"/>
  <c r="C182" i="14" s="1"/>
  <c r="B183" i="14"/>
  <c r="C183" i="14" s="1"/>
  <c r="B184" i="14"/>
  <c r="C184" i="14" s="1"/>
  <c r="B189" i="14"/>
  <c r="C189" i="14" s="1"/>
  <c r="B190" i="14"/>
  <c r="C190" i="14" s="1"/>
  <c r="B193" i="14"/>
  <c r="C193" i="14" s="1"/>
  <c r="B197" i="14"/>
  <c r="C197" i="14" s="1"/>
  <c r="B201" i="14"/>
  <c r="C201" i="14" s="1"/>
  <c r="B202" i="14"/>
  <c r="C202" i="14" s="1"/>
  <c r="B204" i="14"/>
  <c r="C204" i="14" s="1"/>
  <c r="B211" i="14"/>
  <c r="C211" i="14" s="1"/>
  <c r="B212" i="14"/>
  <c r="C212" i="14" s="1"/>
  <c r="B213" i="14"/>
  <c r="C213" i="14" s="1"/>
  <c r="B220" i="14"/>
  <c r="C220" i="14" s="1"/>
  <c r="B225" i="14"/>
  <c r="C225" i="14" s="1"/>
  <c r="B226" i="14"/>
  <c r="C226" i="14" s="1"/>
  <c r="B227" i="14"/>
  <c r="C227" i="14" s="1"/>
  <c r="B233" i="14"/>
  <c r="C233" i="14" s="1"/>
  <c r="B235" i="14"/>
  <c r="C235" i="14" s="1"/>
  <c r="B238" i="14"/>
  <c r="C238" i="14" s="1"/>
  <c r="B245" i="14"/>
  <c r="C245" i="14" s="1"/>
  <c r="B248" i="14"/>
  <c r="C248" i="14" s="1"/>
  <c r="B250" i="14"/>
  <c r="C250" i="14" s="1"/>
  <c r="B1017" i="14"/>
  <c r="C1017" i="14" s="1"/>
  <c r="B1018" i="14"/>
  <c r="C1018" i="14" s="1"/>
  <c r="B1019" i="14"/>
  <c r="C1019" i="14" s="1"/>
  <c r="B1020" i="14"/>
  <c r="C1020" i="14" s="1"/>
  <c r="B1021" i="14"/>
  <c r="C1021" i="14" s="1"/>
  <c r="B1022" i="14"/>
  <c r="C1022" i="14" s="1"/>
  <c r="B1023" i="14"/>
  <c r="C1023" i="14" s="1"/>
  <c r="B1024" i="14"/>
  <c r="C1024" i="14" s="1"/>
  <c r="B1025" i="14"/>
  <c r="C1025" i="14" s="1"/>
  <c r="B1026" i="14"/>
  <c r="C1026" i="14" s="1"/>
  <c r="B1027" i="14"/>
  <c r="C1027" i="14" s="1"/>
  <c r="B1028" i="14"/>
  <c r="C1028" i="14" s="1"/>
  <c r="B1029" i="14"/>
  <c r="C1029" i="14" s="1"/>
  <c r="B1030" i="14"/>
  <c r="C1030" i="14" s="1"/>
  <c r="B1031" i="14"/>
  <c r="C1031" i="14" s="1"/>
  <c r="B1032" i="14"/>
  <c r="C1032" i="14" s="1"/>
  <c r="B1033" i="14"/>
  <c r="C1033" i="14" s="1"/>
  <c r="B1034" i="14"/>
  <c r="C1034" i="14" s="1"/>
  <c r="B1035" i="14"/>
  <c r="C1035" i="14" s="1"/>
  <c r="B1036" i="14"/>
  <c r="C1036" i="14" s="1"/>
  <c r="B1037" i="14"/>
  <c r="C1037" i="14" s="1"/>
  <c r="B1038" i="14"/>
  <c r="C1038" i="14" s="1"/>
  <c r="B1039" i="14"/>
  <c r="C1039" i="14" s="1"/>
  <c r="B1040" i="14"/>
  <c r="C1040" i="14" s="1"/>
  <c r="B1041" i="14"/>
  <c r="C1041" i="14" s="1"/>
  <c r="B1042" i="14"/>
  <c r="C1042" i="14" s="1"/>
  <c r="B1043" i="14"/>
  <c r="C1043" i="14" s="1"/>
  <c r="B1044" i="14"/>
  <c r="C1044" i="14" s="1"/>
  <c r="B1045" i="14"/>
  <c r="C1045" i="14" s="1"/>
  <c r="B1046" i="14"/>
  <c r="C1046" i="14" s="1"/>
  <c r="B1047" i="14"/>
  <c r="C1047" i="14" s="1"/>
  <c r="B1048" i="14"/>
  <c r="C1048" i="14" s="1"/>
  <c r="B1049" i="14"/>
  <c r="C1049" i="14" s="1"/>
  <c r="B1050" i="14"/>
  <c r="C1050" i="14" s="1"/>
  <c r="B1051" i="14"/>
  <c r="C1051" i="14" s="1"/>
  <c r="B1052" i="14"/>
  <c r="C1052" i="14" s="1"/>
  <c r="B1053" i="14"/>
  <c r="C1053" i="14" s="1"/>
  <c r="B1054" i="14"/>
  <c r="C1054" i="14" s="1"/>
  <c r="B1055" i="14"/>
  <c r="C1055" i="14" s="1"/>
  <c r="B1056" i="14"/>
  <c r="C1056" i="14" s="1"/>
  <c r="B1057" i="14"/>
  <c r="C1057" i="14" s="1"/>
  <c r="B1058" i="14"/>
  <c r="C1058" i="14" s="1"/>
  <c r="B1059" i="14"/>
  <c r="C1059" i="14" s="1"/>
  <c r="B1060" i="14"/>
  <c r="C1060" i="14" s="1"/>
  <c r="B1061" i="14"/>
  <c r="C1061" i="14" s="1"/>
  <c r="B1062" i="14"/>
  <c r="C1062" i="14" s="1"/>
  <c r="B1063" i="14"/>
  <c r="C1063" i="14" s="1"/>
  <c r="B1064" i="14"/>
  <c r="C1064" i="14" s="1"/>
  <c r="B1065" i="14"/>
  <c r="C1065" i="14" s="1"/>
  <c r="B1066" i="14"/>
  <c r="C1066" i="14" s="1"/>
  <c r="B1067" i="14"/>
  <c r="C1067" i="14" s="1"/>
  <c r="B1068" i="14"/>
  <c r="C1068" i="14" s="1"/>
  <c r="B1069" i="14"/>
  <c r="C1069" i="14" s="1"/>
  <c r="B1070" i="14"/>
  <c r="C1070" i="14" s="1"/>
  <c r="B1071" i="14"/>
  <c r="C1071" i="14" s="1"/>
  <c r="B1072" i="14"/>
  <c r="C1072" i="14" s="1"/>
  <c r="B1073" i="14"/>
  <c r="C1073" i="14" s="1"/>
  <c r="B1074" i="14"/>
  <c r="C1074" i="14" s="1"/>
  <c r="B1075" i="14"/>
  <c r="C1075" i="14" s="1"/>
  <c r="B1076" i="14"/>
  <c r="C1076" i="14" s="1"/>
  <c r="B1077" i="14"/>
  <c r="C1077" i="14" s="1"/>
  <c r="B1078" i="14"/>
  <c r="C1078" i="14" s="1"/>
  <c r="B1079" i="14"/>
  <c r="C1079" i="14" s="1"/>
  <c r="B1080" i="14"/>
  <c r="C1080" i="14" s="1"/>
  <c r="B1081" i="14"/>
  <c r="C1081" i="14" s="1"/>
  <c r="B1082" i="14"/>
  <c r="C1082" i="14" s="1"/>
  <c r="B1083" i="14"/>
  <c r="C1083" i="14" s="1"/>
  <c r="B1084" i="14"/>
  <c r="C1084" i="14" s="1"/>
  <c r="B1085" i="14"/>
  <c r="C1085" i="14" s="1"/>
  <c r="B1086" i="14"/>
  <c r="C1086" i="14" s="1"/>
  <c r="B1087" i="14"/>
  <c r="C1087" i="14" s="1"/>
  <c r="B1088" i="14"/>
  <c r="C1088" i="14" s="1"/>
  <c r="B1089" i="14"/>
  <c r="C1089" i="14" s="1"/>
  <c r="B1090" i="14"/>
  <c r="C1090" i="14" s="1"/>
  <c r="B1091" i="14"/>
  <c r="C1091" i="14" s="1"/>
  <c r="D236" i="9"/>
  <c r="B353" i="14"/>
  <c r="C353" i="14" s="1"/>
  <c r="B354" i="14"/>
  <c r="C354" i="14" s="1"/>
  <c r="B355" i="14"/>
  <c r="C355" i="14" s="1"/>
  <c r="B356" i="14"/>
  <c r="C356" i="14" s="1"/>
  <c r="B357" i="14"/>
  <c r="C357" i="14" s="1"/>
  <c r="B358" i="14"/>
  <c r="C358" i="14" s="1"/>
  <c r="B359" i="14"/>
  <c r="C359" i="14" s="1"/>
  <c r="B360" i="14"/>
  <c r="C360" i="14" s="1"/>
  <c r="B361" i="14"/>
  <c r="C361" i="14" s="1"/>
  <c r="B362" i="14"/>
  <c r="C362" i="14" s="1"/>
  <c r="B363" i="14"/>
  <c r="C363" i="14" s="1"/>
  <c r="B364" i="14"/>
  <c r="C364" i="14" s="1"/>
  <c r="B365" i="14"/>
  <c r="C365" i="14" s="1"/>
  <c r="B366" i="14"/>
  <c r="C366" i="14" s="1"/>
  <c r="B367" i="14"/>
  <c r="C367" i="14" s="1"/>
  <c r="B368" i="14"/>
  <c r="C368" i="14" s="1"/>
  <c r="B369" i="14"/>
  <c r="C369" i="14" s="1"/>
  <c r="B370" i="14"/>
  <c r="C370" i="14" s="1"/>
  <c r="B371" i="14"/>
  <c r="C371" i="14" s="1"/>
  <c r="B372" i="14"/>
  <c r="C372" i="14" s="1"/>
  <c r="B373" i="14"/>
  <c r="C373" i="14" s="1"/>
  <c r="B374" i="14"/>
  <c r="C374" i="14" s="1"/>
  <c r="B375" i="14"/>
  <c r="C375" i="14" s="1"/>
  <c r="B376" i="14"/>
  <c r="C376" i="14" s="1"/>
  <c r="B377" i="14"/>
  <c r="C377" i="14" s="1"/>
  <c r="B378" i="14"/>
  <c r="C378" i="14" s="1"/>
  <c r="B379" i="14"/>
  <c r="C379" i="14" s="1"/>
  <c r="B380" i="14"/>
  <c r="C380" i="14" s="1"/>
  <c r="B381" i="14"/>
  <c r="C381" i="14" s="1"/>
  <c r="B382" i="14"/>
  <c r="C382" i="14" s="1"/>
  <c r="B383" i="14"/>
  <c r="C383" i="14" s="1"/>
  <c r="B384" i="14"/>
  <c r="C384" i="14" s="1"/>
  <c r="B385" i="14"/>
  <c r="C385" i="14" s="1"/>
  <c r="B386" i="14"/>
  <c r="C386" i="14" s="1"/>
  <c r="B387" i="14"/>
  <c r="C387" i="14" s="1"/>
  <c r="B388" i="14"/>
  <c r="C388" i="14" s="1"/>
  <c r="B389" i="14"/>
  <c r="C389" i="14" s="1"/>
  <c r="B390" i="14"/>
  <c r="C390" i="14" s="1"/>
  <c r="B391" i="14"/>
  <c r="C391" i="14" s="1"/>
  <c r="B392" i="14"/>
  <c r="C392" i="14" s="1"/>
  <c r="B393" i="14"/>
  <c r="C393" i="14" s="1"/>
  <c r="B394" i="14"/>
  <c r="C394" i="14" s="1"/>
  <c r="B395" i="14"/>
  <c r="C395" i="14" s="1"/>
  <c r="B396" i="14"/>
  <c r="C396" i="14" s="1"/>
  <c r="B397" i="14"/>
  <c r="C397" i="14" s="1"/>
  <c r="B398" i="14"/>
  <c r="C398" i="14" s="1"/>
  <c r="B399" i="14"/>
  <c r="C399" i="14" s="1"/>
  <c r="B400" i="14"/>
  <c r="C400" i="14" s="1"/>
  <c r="B401" i="14"/>
  <c r="C401" i="14" s="1"/>
  <c r="B402" i="14"/>
  <c r="C402" i="14" s="1"/>
  <c r="B403" i="14"/>
  <c r="C403" i="14" s="1"/>
  <c r="B404" i="14"/>
  <c r="C404" i="14" s="1"/>
  <c r="B405" i="14"/>
  <c r="C405" i="14" s="1"/>
  <c r="B406" i="14"/>
  <c r="C406" i="14" s="1"/>
  <c r="B407" i="14"/>
  <c r="C407" i="14" s="1"/>
  <c r="B408" i="14"/>
  <c r="C408" i="14" s="1"/>
  <c r="B409" i="14"/>
  <c r="C409" i="14" s="1"/>
  <c r="B410" i="14"/>
  <c r="C410" i="14" s="1"/>
  <c r="B411" i="14"/>
  <c r="C411" i="14" s="1"/>
  <c r="B412" i="14"/>
  <c r="C412" i="14" s="1"/>
  <c r="B413" i="14"/>
  <c r="C413" i="14" s="1"/>
  <c r="B414" i="14"/>
  <c r="C414" i="14" s="1"/>
  <c r="B415" i="14"/>
  <c r="C415" i="14" s="1"/>
  <c r="B416" i="14"/>
  <c r="C416" i="14" s="1"/>
  <c r="B417" i="14"/>
  <c r="C417" i="14" s="1"/>
  <c r="B418" i="14"/>
  <c r="C418" i="14" s="1"/>
  <c r="B419" i="14"/>
  <c r="C419" i="14" s="1"/>
  <c r="B420" i="14"/>
  <c r="C420" i="14" s="1"/>
  <c r="B421" i="14"/>
  <c r="C421" i="14" s="1"/>
  <c r="B422" i="14"/>
  <c r="C422" i="14" s="1"/>
  <c r="B423" i="14"/>
  <c r="C423" i="14" s="1"/>
  <c r="B424" i="14"/>
  <c r="C424" i="14" s="1"/>
  <c r="B425" i="14"/>
  <c r="C425" i="14" s="1"/>
  <c r="B426" i="14"/>
  <c r="C426" i="14" s="1"/>
  <c r="B427" i="14"/>
  <c r="C427" i="14" s="1"/>
  <c r="B428" i="14"/>
  <c r="C428" i="14" s="1"/>
  <c r="B429" i="14"/>
  <c r="C429" i="14" s="1"/>
  <c r="B430" i="14"/>
  <c r="C430" i="14" s="1"/>
  <c r="B431" i="14"/>
  <c r="C431" i="14" s="1"/>
  <c r="B432" i="14"/>
  <c r="C432" i="14" s="1"/>
  <c r="B433" i="14"/>
  <c r="C433" i="14" s="1"/>
  <c r="B434" i="14"/>
  <c r="C434" i="14" s="1"/>
  <c r="B435" i="14"/>
  <c r="C435" i="14" s="1"/>
  <c r="B436" i="14"/>
  <c r="C436" i="14" s="1"/>
  <c r="B437" i="14"/>
  <c r="C437" i="14" s="1"/>
  <c r="B438" i="14"/>
  <c r="C438" i="14" s="1"/>
  <c r="B439" i="14"/>
  <c r="C439" i="14" s="1"/>
  <c r="B440" i="14"/>
  <c r="C440" i="14" s="1"/>
  <c r="B441" i="14"/>
  <c r="C441" i="14" s="1"/>
  <c r="B442" i="14"/>
  <c r="C442" i="14" s="1"/>
  <c r="B443" i="14"/>
  <c r="C443" i="14" s="1"/>
  <c r="B444" i="14"/>
  <c r="C444" i="14" s="1"/>
  <c r="B445" i="14"/>
  <c r="C445" i="14" s="1"/>
  <c r="B446" i="14"/>
  <c r="C446" i="14" s="1"/>
  <c r="B447" i="14"/>
  <c r="C447" i="14" s="1"/>
  <c r="B448" i="14"/>
  <c r="C448" i="14" s="1"/>
  <c r="B449" i="14"/>
  <c r="C449" i="14" s="1"/>
  <c r="B450" i="14"/>
  <c r="C450" i="14" s="1"/>
  <c r="B451" i="14"/>
  <c r="C451" i="14" s="1"/>
  <c r="B452" i="14"/>
  <c r="C452" i="14" s="1"/>
  <c r="B453" i="14"/>
  <c r="C453" i="14" s="1"/>
  <c r="B454" i="14"/>
  <c r="C454" i="14" s="1"/>
  <c r="B455" i="14"/>
  <c r="C455" i="14" s="1"/>
  <c r="B456" i="14"/>
  <c r="C456" i="14" s="1"/>
  <c r="B457" i="14"/>
  <c r="C457" i="14" s="1"/>
  <c r="B458" i="14"/>
  <c r="C458" i="14" s="1"/>
  <c r="B459" i="14"/>
  <c r="C459" i="14" s="1"/>
  <c r="B460" i="14"/>
  <c r="C460" i="14" s="1"/>
  <c r="B461" i="14"/>
  <c r="C461" i="14" s="1"/>
  <c r="B462" i="14"/>
  <c r="C462" i="14" s="1"/>
  <c r="B463" i="14"/>
  <c r="C463" i="14" s="1"/>
  <c r="B464" i="14"/>
  <c r="C464" i="14" s="1"/>
  <c r="B465" i="14"/>
  <c r="C465" i="14" s="1"/>
  <c r="B466" i="14"/>
  <c r="C466" i="14" s="1"/>
  <c r="B467" i="14"/>
  <c r="C467" i="14" s="1"/>
  <c r="B468" i="14"/>
  <c r="C468" i="14" s="1"/>
  <c r="B469" i="14"/>
  <c r="C469" i="14" s="1"/>
  <c r="B470" i="14"/>
  <c r="C470" i="14" s="1"/>
  <c r="B471" i="14"/>
  <c r="C471" i="14" s="1"/>
  <c r="B472" i="14"/>
  <c r="C472" i="14" s="1"/>
  <c r="B473" i="14"/>
  <c r="C473" i="14" s="1"/>
  <c r="B474" i="14"/>
  <c r="C474" i="14" s="1"/>
  <c r="B475" i="14"/>
  <c r="C475" i="14" s="1"/>
  <c r="B476" i="14"/>
  <c r="C476" i="14" s="1"/>
  <c r="B477" i="14"/>
  <c r="C477" i="14" s="1"/>
  <c r="B478" i="14"/>
  <c r="C478" i="14" s="1"/>
  <c r="B479" i="14"/>
  <c r="C479" i="14" s="1"/>
  <c r="B480" i="14"/>
  <c r="C480" i="14" s="1"/>
  <c r="B481" i="14"/>
  <c r="C481" i="14" s="1"/>
  <c r="B482" i="14"/>
  <c r="C482" i="14" s="1"/>
  <c r="B483" i="14"/>
  <c r="C483" i="14" s="1"/>
  <c r="B484" i="14"/>
  <c r="C484" i="14" s="1"/>
  <c r="B485" i="14"/>
  <c r="C485" i="14" s="1"/>
  <c r="B486" i="14"/>
  <c r="C486" i="14" s="1"/>
  <c r="B487" i="14"/>
  <c r="C487" i="14" s="1"/>
  <c r="B488" i="14"/>
  <c r="C488" i="14" s="1"/>
  <c r="B489" i="14"/>
  <c r="C489" i="14" s="1"/>
  <c r="B490" i="14"/>
  <c r="C490" i="14" s="1"/>
  <c r="B491" i="14"/>
  <c r="C491" i="14" s="1"/>
  <c r="B492" i="14"/>
  <c r="C492" i="14" s="1"/>
  <c r="B493" i="14"/>
  <c r="C493" i="14" s="1"/>
  <c r="B494" i="14"/>
  <c r="C494" i="14" s="1"/>
  <c r="B495" i="14"/>
  <c r="C495" i="14" s="1"/>
  <c r="B496" i="14"/>
  <c r="C496" i="14" s="1"/>
  <c r="B497" i="14"/>
  <c r="C497" i="14" s="1"/>
  <c r="B498" i="14"/>
  <c r="C498" i="14" s="1"/>
  <c r="B499" i="14"/>
  <c r="C499" i="14" s="1"/>
  <c r="B500" i="14"/>
  <c r="C500" i="14" s="1"/>
  <c r="B501" i="14"/>
  <c r="C501" i="14" s="1"/>
  <c r="B2" i="14"/>
  <c r="C2" i="14" s="1"/>
  <c r="B3" i="14"/>
  <c r="C3" i="14" s="1"/>
  <c r="B4" i="14"/>
  <c r="C4" i="14" s="1"/>
  <c r="B5" i="14"/>
  <c r="C5" i="14" s="1"/>
  <c r="B6" i="14"/>
  <c r="C6" i="14" s="1"/>
  <c r="B7" i="14"/>
  <c r="C7" i="14" s="1"/>
  <c r="B8" i="14"/>
  <c r="C8" i="14" s="1"/>
  <c r="B9" i="14"/>
  <c r="C9" i="14" s="1"/>
  <c r="B10" i="14"/>
  <c r="C10" i="14" s="1"/>
  <c r="B11" i="14"/>
  <c r="C11" i="14" s="1"/>
  <c r="B12" i="14"/>
  <c r="C12" i="14" s="1"/>
  <c r="B13" i="14"/>
  <c r="C13" i="14" s="1"/>
  <c r="B14" i="14"/>
  <c r="C14" i="14" s="1"/>
  <c r="B15" i="14"/>
  <c r="C15" i="14" s="1"/>
  <c r="B16" i="14"/>
  <c r="C16" i="14" s="1"/>
  <c r="B17" i="14"/>
  <c r="C17" i="14" s="1"/>
  <c r="B18" i="14"/>
  <c r="C18" i="14" s="1"/>
  <c r="B19" i="14"/>
  <c r="C19" i="14" s="1"/>
  <c r="B20" i="14"/>
  <c r="C20" i="14" s="1"/>
  <c r="B21" i="14"/>
  <c r="C21" i="14" s="1"/>
  <c r="B22" i="14"/>
  <c r="C22" i="14" s="1"/>
  <c r="B23" i="14"/>
  <c r="C23" i="14" s="1"/>
  <c r="B24" i="14"/>
  <c r="C24" i="14" s="1"/>
  <c r="B25" i="14"/>
  <c r="C25" i="14" s="1"/>
  <c r="B26" i="14"/>
  <c r="C26" i="14" s="1"/>
  <c r="B27" i="14"/>
  <c r="C27" i="14" s="1"/>
  <c r="B28" i="14"/>
  <c r="C28" i="14" s="1"/>
  <c r="B29" i="14"/>
  <c r="C29" i="14" s="1"/>
  <c r="B30" i="14"/>
  <c r="C30" i="14" s="1"/>
  <c r="B31" i="14"/>
  <c r="C31" i="14" s="1"/>
  <c r="B32" i="14"/>
  <c r="C32" i="14" s="1"/>
  <c r="B33" i="14"/>
  <c r="C33" i="14" s="1"/>
  <c r="B34" i="14"/>
  <c r="C34" i="14" s="1"/>
  <c r="B35" i="14"/>
  <c r="C35" i="14" s="1"/>
  <c r="B36" i="14"/>
  <c r="C36" i="14" s="1"/>
  <c r="B37" i="14"/>
  <c r="C37" i="14" s="1"/>
  <c r="B38" i="14"/>
  <c r="C38" i="14" s="1"/>
  <c r="B39" i="14"/>
  <c r="C39" i="14" s="1"/>
  <c r="B40" i="14"/>
  <c r="C40" i="14" s="1"/>
  <c r="B41" i="14"/>
  <c r="C41" i="14" s="1"/>
  <c r="B42" i="14"/>
  <c r="C42" i="14" s="1"/>
  <c r="B43" i="14"/>
  <c r="C43" i="14" s="1"/>
  <c r="B44" i="14"/>
  <c r="C44" i="14" s="1"/>
  <c r="B45" i="14"/>
  <c r="C45" i="14" s="1"/>
  <c r="B46" i="14"/>
  <c r="C46" i="14" s="1"/>
  <c r="B47" i="14"/>
  <c r="C47" i="14" s="1"/>
  <c r="B48" i="14"/>
  <c r="C48" i="14" s="1"/>
  <c r="B49" i="14"/>
  <c r="C49" i="14" s="1"/>
  <c r="B50" i="14"/>
  <c r="C50" i="14" s="1"/>
  <c r="B51" i="14"/>
  <c r="C51" i="14" s="1"/>
  <c r="B52" i="14"/>
  <c r="C52" i="14" s="1"/>
  <c r="B53" i="14"/>
  <c r="C53" i="14" s="1"/>
  <c r="B54" i="14"/>
  <c r="C54" i="14" s="1"/>
  <c r="B55" i="14"/>
  <c r="C55" i="14" s="1"/>
  <c r="B56" i="14"/>
  <c r="C56" i="14" s="1"/>
  <c r="B57" i="14"/>
  <c r="C57" i="14" s="1"/>
  <c r="B58" i="14"/>
  <c r="C58" i="14" s="1"/>
  <c r="B59" i="14"/>
  <c r="C59" i="14" s="1"/>
  <c r="B60" i="14"/>
  <c r="C60" i="14" s="1"/>
  <c r="B61" i="14"/>
  <c r="C61" i="14" s="1"/>
  <c r="B62" i="14"/>
  <c r="C62" i="14" s="1"/>
  <c r="B63" i="14"/>
  <c r="C63" i="14" s="1"/>
  <c r="B64" i="14"/>
  <c r="C64" i="14" s="1"/>
  <c r="B65" i="14"/>
  <c r="C65" i="14" s="1"/>
  <c r="B66" i="14"/>
  <c r="C66" i="14" s="1"/>
  <c r="B67" i="14"/>
  <c r="C67" i="14" s="1"/>
  <c r="B68" i="14"/>
  <c r="C68" i="14" s="1"/>
  <c r="B69" i="14"/>
  <c r="C69" i="14" s="1"/>
  <c r="B70" i="14"/>
  <c r="C70" i="14" s="1"/>
  <c r="B71" i="14"/>
  <c r="C71" i="14" s="1"/>
  <c r="B72" i="14"/>
  <c r="C72" i="14" s="1"/>
  <c r="B73" i="14"/>
  <c r="C73" i="14" s="1"/>
  <c r="B74" i="14"/>
  <c r="C74" i="14" s="1"/>
  <c r="B75" i="14"/>
  <c r="C75" i="14" s="1"/>
  <c r="B76" i="14"/>
  <c r="C76" i="14" s="1"/>
  <c r="B77" i="14"/>
  <c r="C77" i="14" s="1"/>
  <c r="B78" i="14"/>
  <c r="C78" i="14" s="1"/>
  <c r="B79" i="14"/>
  <c r="C79" i="14" s="1"/>
  <c r="B80" i="14"/>
  <c r="C80" i="14" s="1"/>
  <c r="B81" i="14"/>
  <c r="C81" i="14" s="1"/>
  <c r="B83" i="14"/>
  <c r="C83" i="14" s="1"/>
  <c r="B86" i="14"/>
  <c r="C86" i="14" s="1"/>
  <c r="B90" i="14"/>
  <c r="C90" i="14" s="1"/>
  <c r="B91" i="14"/>
  <c r="C91" i="14" s="1"/>
  <c r="B92" i="14"/>
  <c r="C92" i="14" s="1"/>
  <c r="B93" i="14"/>
  <c r="C93" i="14" s="1"/>
  <c r="B96" i="14"/>
  <c r="C96" i="14" s="1"/>
  <c r="B98" i="14"/>
  <c r="C98" i="14" s="1"/>
  <c r="B99" i="14"/>
  <c r="C99" i="14" s="1"/>
  <c r="B100" i="14"/>
  <c r="C100" i="14" s="1"/>
  <c r="B101" i="14"/>
  <c r="C101" i="14" s="1"/>
  <c r="B105" i="14"/>
  <c r="C105" i="14" s="1"/>
  <c r="B106" i="14"/>
  <c r="C106" i="14" s="1"/>
  <c r="B109" i="14"/>
  <c r="C109" i="14" s="1"/>
  <c r="B110" i="14"/>
  <c r="C110" i="14" s="1"/>
  <c r="B111" i="14"/>
  <c r="C111" i="14" s="1"/>
  <c r="B112" i="14"/>
  <c r="C112" i="14" s="1"/>
  <c r="B113" i="14"/>
  <c r="C113" i="14" s="1"/>
  <c r="B115" i="14"/>
  <c r="C115" i="14" s="1"/>
  <c r="B116" i="14"/>
  <c r="C116" i="14" s="1"/>
  <c r="B117" i="14"/>
  <c r="C117" i="14" s="1"/>
  <c r="B118" i="14"/>
  <c r="C118" i="14" s="1"/>
  <c r="B121" i="14"/>
  <c r="C121" i="14" s="1"/>
  <c r="B123" i="14"/>
  <c r="C123" i="14" s="1"/>
  <c r="B124" i="14"/>
  <c r="C124" i="14" s="1"/>
  <c r="B125" i="14"/>
  <c r="C125" i="14" s="1"/>
  <c r="B127" i="14"/>
  <c r="C127" i="14" s="1"/>
  <c r="B128" i="14"/>
  <c r="C128" i="14" s="1"/>
  <c r="B129" i="14"/>
  <c r="C129" i="14" s="1"/>
  <c r="B130" i="14"/>
  <c r="C130" i="14" s="1"/>
  <c r="B133" i="14"/>
  <c r="C133" i="14" s="1"/>
  <c r="B135" i="14"/>
  <c r="C135" i="14" s="1"/>
  <c r="B136" i="14"/>
  <c r="C136" i="14" s="1"/>
  <c r="B137" i="14"/>
  <c r="C137" i="14" s="1"/>
  <c r="B139" i="14"/>
  <c r="C139" i="14" s="1"/>
  <c r="B140" i="14"/>
  <c r="C140" i="14" s="1"/>
  <c r="B141" i="14"/>
  <c r="C141" i="14" s="1"/>
  <c r="B142" i="14"/>
  <c r="C142" i="14" s="1"/>
  <c r="B144" i="14"/>
  <c r="C144" i="14" s="1"/>
  <c r="B149" i="14"/>
  <c r="C149" i="14" s="1"/>
  <c r="B150" i="14"/>
  <c r="C150" i="14" s="1"/>
  <c r="B151" i="14"/>
  <c r="C151" i="14" s="1"/>
  <c r="B152" i="14"/>
  <c r="C152" i="14" s="1"/>
  <c r="B153" i="14"/>
  <c r="C153" i="14" s="1"/>
  <c r="B157" i="14"/>
  <c r="C157" i="14" s="1"/>
  <c r="B158" i="14"/>
  <c r="C158" i="14" s="1"/>
  <c r="B160" i="14"/>
  <c r="C160" i="14" s="1"/>
  <c r="B161" i="14"/>
  <c r="C161" i="14" s="1"/>
  <c r="B162" i="14"/>
  <c r="C162" i="14" s="1"/>
  <c r="B164" i="14"/>
  <c r="C164" i="14" s="1"/>
  <c r="B169" i="14"/>
  <c r="C169" i="14" s="1"/>
  <c r="B170" i="14"/>
  <c r="C170" i="14" s="1"/>
  <c r="B171" i="14"/>
  <c r="C171" i="14" s="1"/>
  <c r="B172" i="14"/>
  <c r="C172" i="14" s="1"/>
  <c r="B177" i="14"/>
  <c r="C177" i="14" s="1"/>
  <c r="B179" i="14"/>
  <c r="C179" i="14" s="1"/>
  <c r="B180" i="14"/>
  <c r="C180" i="14" s="1"/>
  <c r="B181" i="14"/>
  <c r="C181" i="14" s="1"/>
  <c r="B185" i="14"/>
  <c r="C185" i="14" s="1"/>
  <c r="B186" i="14"/>
  <c r="C186" i="14" s="1"/>
  <c r="B187" i="14"/>
  <c r="C187" i="14" s="1"/>
  <c r="B188" i="14"/>
  <c r="C188" i="14" s="1"/>
  <c r="B191" i="14"/>
  <c r="C191" i="14" s="1"/>
  <c r="B192" i="14"/>
  <c r="C192" i="14" s="1"/>
  <c r="B194" i="14"/>
  <c r="C194" i="14" s="1"/>
  <c r="B195" i="14"/>
  <c r="C195" i="14" s="1"/>
  <c r="B196" i="14"/>
  <c r="C196" i="14" s="1"/>
  <c r="B198" i="14"/>
  <c r="C198" i="14" s="1"/>
  <c r="B199" i="14"/>
  <c r="C199" i="14" s="1"/>
  <c r="B200" i="14"/>
  <c r="C200" i="14" s="1"/>
  <c r="B203" i="14"/>
  <c r="C203" i="14" s="1"/>
  <c r="B205" i="14"/>
  <c r="C205" i="14" s="1"/>
  <c r="B206" i="14"/>
  <c r="C206" i="14" s="1"/>
  <c r="B207" i="14"/>
  <c r="C207" i="14" s="1"/>
  <c r="B208" i="14"/>
  <c r="C208" i="14" s="1"/>
  <c r="B209" i="14"/>
  <c r="C209" i="14" s="1"/>
  <c r="B210" i="14"/>
  <c r="C210" i="14" s="1"/>
  <c r="B214" i="14"/>
  <c r="C214" i="14" s="1"/>
  <c r="B215" i="14"/>
  <c r="C215" i="14" s="1"/>
  <c r="B216" i="14"/>
  <c r="C216" i="14" s="1"/>
  <c r="B217" i="14"/>
  <c r="C217" i="14" s="1"/>
  <c r="B218" i="14"/>
  <c r="C218" i="14" s="1"/>
  <c r="B219" i="14"/>
  <c r="C219" i="14" s="1"/>
  <c r="B221" i="14"/>
  <c r="C221" i="14" s="1"/>
  <c r="B222" i="14"/>
  <c r="C222" i="14" s="1"/>
  <c r="B223" i="14"/>
  <c r="C223" i="14" s="1"/>
  <c r="B224" i="14"/>
  <c r="C224" i="14" s="1"/>
  <c r="B228" i="14"/>
  <c r="C228" i="14" s="1"/>
  <c r="B229" i="14"/>
  <c r="C229" i="14" s="1"/>
  <c r="B230" i="14"/>
  <c r="C230" i="14" s="1"/>
  <c r="B231" i="14"/>
  <c r="C231" i="14" s="1"/>
  <c r="B232" i="14"/>
  <c r="C232" i="14" s="1"/>
  <c r="B242" i="14"/>
  <c r="C242" i="14" s="1"/>
  <c r="B247" i="14"/>
  <c r="C247" i="14" s="1"/>
  <c r="B1092" i="14"/>
  <c r="C1092" i="14" s="1"/>
  <c r="B1093" i="14"/>
  <c r="C1093" i="14" s="1"/>
  <c r="B1094" i="14"/>
  <c r="C1094" i="14" s="1"/>
  <c r="B1095" i="14"/>
  <c r="C1095" i="14" s="1"/>
  <c r="B1096" i="14"/>
  <c r="C1096" i="14" s="1"/>
  <c r="B1097" i="14"/>
  <c r="C1097" i="14" s="1"/>
  <c r="B1098" i="14"/>
  <c r="C1098" i="14" s="1"/>
  <c r="B1099" i="14"/>
  <c r="C1099" i="14" s="1"/>
  <c r="B1100" i="14"/>
  <c r="C1100" i="14" s="1"/>
  <c r="B1101" i="14"/>
  <c r="C1101" i="14" s="1"/>
  <c r="B1102" i="14"/>
  <c r="C1102" i="14" s="1"/>
  <c r="B1103" i="14"/>
  <c r="C1103" i="14" s="1"/>
  <c r="B1104" i="14"/>
  <c r="C1104" i="14" s="1"/>
  <c r="B1105" i="14"/>
  <c r="C1105" i="14" s="1"/>
  <c r="B1106" i="14"/>
  <c r="C1106" i="14" s="1"/>
  <c r="B1107" i="14"/>
  <c r="C1107" i="14" s="1"/>
  <c r="B1108" i="14"/>
  <c r="C1108" i="14" s="1"/>
  <c r="B1109" i="14"/>
  <c r="C1109" i="14" s="1"/>
  <c r="B1110" i="14"/>
  <c r="C1110" i="14" s="1"/>
  <c r="B1111" i="14"/>
  <c r="C1111" i="14" s="1"/>
  <c r="B1112" i="14"/>
  <c r="C1112" i="14" s="1"/>
  <c r="B1113" i="14"/>
  <c r="C1113" i="14" s="1"/>
  <c r="B1114" i="14"/>
  <c r="C1114" i="14" s="1"/>
  <c r="B1115" i="14"/>
  <c r="C1115" i="14" s="1"/>
  <c r="B1116" i="14"/>
  <c r="C1116" i="14" s="1"/>
  <c r="B1117" i="14"/>
  <c r="C1117" i="14" s="1"/>
  <c r="B1118" i="14"/>
  <c r="C1118" i="14" s="1"/>
  <c r="B1119" i="14"/>
  <c r="C1119" i="14" s="1"/>
  <c r="B1120" i="14"/>
  <c r="C1120" i="14" s="1"/>
  <c r="B1121" i="14"/>
  <c r="C1121" i="14" s="1"/>
  <c r="B1122" i="14"/>
  <c r="C1122" i="14" s="1"/>
  <c r="B1123" i="14"/>
  <c r="C1123" i="14" s="1"/>
  <c r="B1124" i="14"/>
  <c r="C1124" i="14" s="1"/>
  <c r="B1125" i="14"/>
  <c r="C1125" i="14" s="1"/>
  <c r="B1126" i="14"/>
  <c r="C1126" i="14" s="1"/>
  <c r="B1127" i="14"/>
  <c r="C1127" i="14" s="1"/>
  <c r="B1128" i="14"/>
  <c r="C1128" i="14" s="1"/>
  <c r="B1129" i="14"/>
  <c r="C1129" i="14" s="1"/>
  <c r="B1130" i="14"/>
  <c r="C1130" i="14" s="1"/>
  <c r="B1131" i="14"/>
  <c r="C1131" i="14" s="1"/>
  <c r="B1132" i="14"/>
  <c r="C1132" i="14" s="1"/>
  <c r="B1133" i="14"/>
  <c r="C1133" i="14" s="1"/>
  <c r="B1134" i="14"/>
  <c r="C1134" i="14" s="1"/>
  <c r="B1135" i="14"/>
  <c r="C1135" i="14" s="1"/>
  <c r="B1136" i="14"/>
  <c r="C1136" i="14" s="1"/>
  <c r="B1137" i="14"/>
  <c r="C1137" i="14" s="1"/>
  <c r="B1138" i="14"/>
  <c r="C1138" i="14" s="1"/>
  <c r="B1139" i="14"/>
  <c r="C1139" i="14" s="1"/>
  <c r="B1140" i="14"/>
  <c r="C1140" i="14" s="1"/>
  <c r="E2" i="8"/>
  <c r="D41" i="9"/>
  <c r="D21" i="9"/>
  <c r="D9" i="9"/>
  <c r="D39" i="9"/>
  <c r="D31" i="9"/>
  <c r="D19" i="9"/>
  <c r="D8" i="9"/>
  <c r="D45" i="9"/>
  <c r="D16" i="9"/>
  <c r="D38" i="9"/>
  <c r="D29" i="9"/>
  <c r="D18" i="9"/>
  <c r="D4" i="9"/>
  <c r="D33" i="9"/>
  <c r="D23" i="9"/>
  <c r="D10" i="9"/>
  <c r="D43" i="9"/>
  <c r="D3" i="9"/>
  <c r="D56" i="9"/>
  <c r="D32" i="9"/>
  <c r="D22" i="9"/>
  <c r="D11" i="9"/>
  <c r="D40" i="9"/>
  <c r="D20" i="9"/>
  <c r="D35" i="9"/>
  <c r="D28" i="9"/>
  <c r="D44" i="9"/>
  <c r="D30" i="9"/>
  <c r="D17" i="9"/>
  <c r="D5" i="9"/>
  <c r="D36" i="9"/>
  <c r="D24" i="9"/>
  <c r="D7" i="9"/>
  <c r="D42" i="9"/>
  <c r="D27" i="9"/>
  <c r="D6" i="9"/>
  <c r="D34" i="9"/>
  <c r="D25" i="9"/>
  <c r="D14" i="9"/>
  <c r="D37" i="9"/>
  <c r="D26" i="9"/>
  <c r="D15" i="9"/>
  <c r="D372" i="9"/>
  <c r="E6" i="10" s="1"/>
  <c r="D298" i="9"/>
  <c r="D288" i="9"/>
  <c r="D276" i="9"/>
  <c r="D262" i="9"/>
  <c r="D246" i="9"/>
  <c r="D235" i="9"/>
  <c r="D222" i="9"/>
  <c r="D205" i="9"/>
  <c r="D145" i="9"/>
  <c r="D130" i="9"/>
  <c r="D378" i="9"/>
  <c r="D305" i="9"/>
  <c r="D286" i="9"/>
  <c r="D272" i="9"/>
  <c r="D258" i="9"/>
  <c r="D244" i="9"/>
  <c r="D230" i="9"/>
  <c r="D216" i="9"/>
  <c r="D148" i="9"/>
  <c r="D134" i="9"/>
  <c r="D90" i="9"/>
  <c r="D374" i="9"/>
  <c r="D304" i="9"/>
  <c r="D282" i="9"/>
  <c r="D268" i="9"/>
  <c r="D254" i="9"/>
  <c r="D240" i="9"/>
  <c r="D226" i="9"/>
  <c r="D210" i="9"/>
  <c r="D194" i="9"/>
  <c r="D133" i="9"/>
  <c r="D103" i="9"/>
  <c r="D68" i="9"/>
  <c r="D373" i="9"/>
  <c r="D303" i="9"/>
  <c r="D285" i="9"/>
  <c r="D273" i="9"/>
  <c r="D259" i="9"/>
  <c r="D245" i="9"/>
  <c r="D234" i="9"/>
  <c r="D220" i="9"/>
  <c r="D206" i="9"/>
  <c r="D146" i="9"/>
  <c r="D132" i="9"/>
  <c r="D89" i="9"/>
  <c r="D57" i="9"/>
  <c r="D371" i="9"/>
  <c r="D302" i="9"/>
  <c r="D290" i="9"/>
  <c r="D266" i="9"/>
  <c r="D252" i="9"/>
  <c r="D238" i="9"/>
  <c r="D224" i="9"/>
  <c r="D209" i="9"/>
  <c r="D195" i="9"/>
  <c r="D135" i="9"/>
  <c r="D98" i="9"/>
  <c r="D63" i="9"/>
  <c r="D375" i="9"/>
  <c r="D299" i="9"/>
  <c r="D287" i="9"/>
  <c r="D274" i="9"/>
  <c r="D260" i="9"/>
  <c r="D248" i="9"/>
  <c r="D233" i="9"/>
  <c r="D219" i="9"/>
  <c r="D207" i="9"/>
  <c r="D144" i="9"/>
  <c r="D129" i="9"/>
  <c r="D102" i="9"/>
  <c r="D88" i="9"/>
  <c r="D295" i="9"/>
  <c r="D281" i="9"/>
  <c r="D267" i="9"/>
  <c r="D253" i="9"/>
  <c r="D239" i="9"/>
  <c r="D225" i="9"/>
  <c r="D213" i="9"/>
  <c r="D197" i="9"/>
  <c r="D136" i="9"/>
  <c r="D101" i="9"/>
  <c r="D380" i="9"/>
  <c r="D296" i="9"/>
  <c r="D283" i="9"/>
  <c r="D270" i="9"/>
  <c r="D256" i="9"/>
  <c r="D242" i="9"/>
  <c r="D229" i="9"/>
  <c r="D215" i="9"/>
  <c r="D143" i="9"/>
  <c r="D128" i="9"/>
  <c r="D193" i="9"/>
  <c r="D192" i="9"/>
  <c r="D191" i="9"/>
  <c r="D190" i="9"/>
  <c r="D189" i="9"/>
  <c r="D188" i="9"/>
  <c r="D187" i="9"/>
  <c r="D186" i="9"/>
  <c r="D185" i="9"/>
  <c r="D184" i="9"/>
  <c r="D183"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1" i="9"/>
  <c r="D100" i="9"/>
  <c r="D2" i="9"/>
  <c r="D297" i="9"/>
  <c r="D284" i="9"/>
  <c r="D271" i="9"/>
  <c r="D257" i="9"/>
  <c r="D243" i="9"/>
  <c r="D228" i="9"/>
  <c r="D214" i="9"/>
  <c r="D198" i="9"/>
  <c r="D139" i="9"/>
  <c r="D97" i="9"/>
  <c r="D69" i="9"/>
  <c r="D379" i="9"/>
  <c r="D292" i="9"/>
  <c r="D279" i="9"/>
  <c r="D264" i="9"/>
  <c r="D250" i="9"/>
  <c r="D221" i="9"/>
  <c r="D204" i="9"/>
  <c r="D142" i="9"/>
  <c r="D127" i="9"/>
  <c r="D92" i="9"/>
  <c r="D67" i="9"/>
  <c r="D377" i="9"/>
  <c r="D294" i="9"/>
  <c r="D269" i="9"/>
  <c r="D255" i="9"/>
  <c r="D241" i="9"/>
  <c r="D227" i="9"/>
  <c r="D211" i="9"/>
  <c r="D149" i="9"/>
  <c r="D138" i="9"/>
  <c r="D99" i="9"/>
  <c r="D62" i="9"/>
  <c r="D376" i="9"/>
  <c r="D293" i="9"/>
  <c r="D280" i="9"/>
  <c r="D265" i="9"/>
  <c r="D251" i="9"/>
  <c r="D237" i="9"/>
  <c r="D223" i="9"/>
  <c r="D208" i="9"/>
  <c r="D147" i="9"/>
  <c r="D131" i="9"/>
  <c r="D369" i="9"/>
  <c r="D301" i="9"/>
  <c r="D289" i="9"/>
  <c r="D278" i="9"/>
  <c r="D263" i="9"/>
  <c r="D249" i="9"/>
  <c r="D231" i="9"/>
  <c r="D217" i="9"/>
  <c r="D203" i="9"/>
  <c r="D140" i="9"/>
  <c r="D126" i="9"/>
  <c r="D91" i="9"/>
  <c r="D66" i="9"/>
  <c r="D370" i="9"/>
  <c r="D300" i="9"/>
  <c r="D291" i="9"/>
  <c r="D275" i="9"/>
  <c r="D261" i="9"/>
  <c r="D247" i="9"/>
  <c r="D232" i="9"/>
  <c r="D212" i="9"/>
  <c r="D196" i="9"/>
  <c r="D137" i="9"/>
  <c r="D104" i="9"/>
  <c r="D122" i="9"/>
  <c r="D384" i="9"/>
  <c r="D400" i="9"/>
  <c r="D411" i="9"/>
  <c r="D425" i="9"/>
  <c r="D436" i="9"/>
  <c r="C8" i="9"/>
  <c r="I8" i="9" s="1"/>
  <c r="C16" i="9"/>
  <c r="I16" i="9" s="1"/>
  <c r="C22" i="9"/>
  <c r="I22" i="9" s="1"/>
  <c r="C40" i="9"/>
  <c r="I40" i="9" s="1"/>
  <c r="C49" i="9"/>
  <c r="I49" i="9" s="1"/>
  <c r="C58" i="9"/>
  <c r="I58" i="9" s="1"/>
  <c r="C75" i="9"/>
  <c r="I75" i="9" s="1"/>
  <c r="C87" i="9"/>
  <c r="I87" i="9" s="1"/>
  <c r="C97" i="9"/>
  <c r="I97" i="9" s="1"/>
  <c r="C103" i="9"/>
  <c r="I103" i="9" s="1"/>
  <c r="C109" i="9"/>
  <c r="I109" i="9" s="1"/>
  <c r="C120" i="9"/>
  <c r="I120" i="9" s="1"/>
  <c r="C129" i="9"/>
  <c r="I129" i="9" s="1"/>
  <c r="C140" i="9"/>
  <c r="I140" i="9" s="1"/>
  <c r="C207" i="9"/>
  <c r="I207" i="9" s="1"/>
  <c r="C218" i="9"/>
  <c r="I218" i="9" s="1"/>
  <c r="C228" i="9"/>
  <c r="I228" i="9" s="1"/>
  <c r="C242" i="9"/>
  <c r="I242" i="9" s="1"/>
  <c r="C253" i="9"/>
  <c r="I253" i="9" s="1"/>
  <c r="C261" i="9"/>
  <c r="I261" i="9" s="1"/>
  <c r="C273" i="9"/>
  <c r="I273" i="9" s="1"/>
  <c r="C284" i="9"/>
  <c r="I284" i="9" s="1"/>
  <c r="C294" i="9"/>
  <c r="I294" i="9" s="1"/>
  <c r="C305" i="9"/>
  <c r="I305" i="9" s="1"/>
  <c r="C316" i="9"/>
  <c r="I316" i="9" s="1"/>
  <c r="C361" i="9"/>
  <c r="I361" i="9" s="1"/>
  <c r="C372" i="9"/>
  <c r="I372" i="9" s="1"/>
  <c r="C387" i="9"/>
  <c r="I387" i="9" s="1"/>
  <c r="C398" i="9"/>
  <c r="I398" i="9" s="1"/>
  <c r="C409" i="9"/>
  <c r="I409" i="9" s="1"/>
  <c r="C421" i="9"/>
  <c r="I421" i="9" s="1"/>
  <c r="C434" i="9"/>
  <c r="I434" i="9" s="1"/>
  <c r="D107" i="9"/>
  <c r="D113" i="9"/>
  <c r="D121" i="9"/>
  <c r="D308" i="9"/>
  <c r="D313" i="9"/>
  <c r="D320" i="9"/>
  <c r="D325" i="9"/>
  <c r="D331" i="9"/>
  <c r="D337" i="9"/>
  <c r="D346" i="9"/>
  <c r="D353" i="9"/>
  <c r="D358" i="9"/>
  <c r="D363" i="9"/>
  <c r="D381" i="9"/>
  <c r="D386" i="9"/>
  <c r="D395" i="9"/>
  <c r="D402" i="9"/>
  <c r="D410" i="9"/>
  <c r="D416" i="9"/>
  <c r="D429" i="9"/>
  <c r="D435" i="9"/>
  <c r="C5" i="9"/>
  <c r="I5" i="9" s="1"/>
  <c r="C26" i="9"/>
  <c r="I26" i="9" s="1"/>
  <c r="C37" i="9"/>
  <c r="I37" i="9" s="1"/>
  <c r="C46" i="9"/>
  <c r="I46" i="9" s="1"/>
  <c r="C53" i="9"/>
  <c r="I53" i="9" s="1"/>
  <c r="C62" i="9"/>
  <c r="I62" i="9" s="1"/>
  <c r="C71" i="9"/>
  <c r="I71" i="9" s="1"/>
  <c r="C78" i="9"/>
  <c r="I78" i="9" s="1"/>
  <c r="C84" i="9"/>
  <c r="I84" i="9" s="1"/>
  <c r="C94" i="9"/>
  <c r="I94" i="9" s="1"/>
  <c r="C105" i="9"/>
  <c r="I105" i="9" s="1"/>
  <c r="C110" i="9"/>
  <c r="I110" i="9" s="1"/>
  <c r="C118" i="9"/>
  <c r="I118" i="9" s="1"/>
  <c r="C128" i="9"/>
  <c r="I128" i="9" s="1"/>
  <c r="C137" i="9"/>
  <c r="I137" i="9" s="1"/>
  <c r="C144" i="9"/>
  <c r="I144" i="9" s="1"/>
  <c r="C209" i="9"/>
  <c r="I209" i="9" s="1"/>
  <c r="C220" i="9"/>
  <c r="I220" i="9" s="1"/>
  <c r="C227" i="9"/>
  <c r="I227" i="9" s="1"/>
  <c r="C235" i="9"/>
  <c r="I235" i="9" s="1"/>
  <c r="C243" i="9"/>
  <c r="I243" i="9" s="1"/>
  <c r="C252" i="9"/>
  <c r="I252" i="9" s="1"/>
  <c r="C262" i="9"/>
  <c r="I262" i="9" s="1"/>
  <c r="C271" i="9"/>
  <c r="I271" i="9" s="1"/>
  <c r="C280" i="9"/>
  <c r="I280" i="9" s="1"/>
  <c r="C290" i="9"/>
  <c r="I290" i="9" s="1"/>
  <c r="C301" i="9"/>
  <c r="I301" i="9" s="1"/>
  <c r="C309" i="9"/>
  <c r="I309" i="9" s="1"/>
  <c r="C320" i="9"/>
  <c r="I320" i="9" s="1"/>
  <c r="C362" i="9"/>
  <c r="I362" i="9" s="1"/>
  <c r="C371" i="9"/>
  <c r="I371" i="9" s="1"/>
  <c r="C381" i="9"/>
  <c r="I381" i="9" s="1"/>
  <c r="C392" i="9"/>
  <c r="I392" i="9" s="1"/>
  <c r="C402" i="9"/>
  <c r="I402" i="9" s="1"/>
  <c r="C417" i="9"/>
  <c r="I417" i="9" s="1"/>
  <c r="C427" i="9"/>
  <c r="I427" i="9" s="1"/>
  <c r="C436" i="9"/>
  <c r="I436" i="9" s="1"/>
  <c r="D108" i="9"/>
  <c r="D115" i="9"/>
  <c r="D120" i="9"/>
  <c r="D307" i="9"/>
  <c r="E2" i="10" s="1"/>
  <c r="D314" i="9"/>
  <c r="D329" i="9"/>
  <c r="D335" i="9"/>
  <c r="D342" i="9"/>
  <c r="D347" i="9"/>
  <c r="D352" i="9"/>
  <c r="D357" i="9"/>
  <c r="D362" i="9"/>
  <c r="D368" i="9"/>
  <c r="D385" i="9"/>
  <c r="D392" i="9"/>
  <c r="D398" i="9"/>
  <c r="D405" i="9"/>
  <c r="D413" i="9"/>
  <c r="D424" i="9"/>
  <c r="D432" i="9"/>
  <c r="D439" i="9"/>
  <c r="C10" i="9"/>
  <c r="I10" i="9" s="1"/>
  <c r="C18" i="9"/>
  <c r="I18" i="9" s="1"/>
  <c r="C23" i="9"/>
  <c r="I23" i="9" s="1"/>
  <c r="C38" i="9"/>
  <c r="I38" i="9" s="1"/>
  <c r="C48" i="9"/>
  <c r="I48" i="9" s="1"/>
  <c r="C55" i="9"/>
  <c r="I55" i="9" s="1"/>
  <c r="C64" i="9"/>
  <c r="I64" i="9" s="1"/>
  <c r="C70" i="9"/>
  <c r="I70" i="9" s="1"/>
  <c r="C79" i="9"/>
  <c r="I79" i="9" s="1"/>
  <c r="C85" i="9"/>
  <c r="I85" i="9" s="1"/>
  <c r="C93" i="9"/>
  <c r="I93" i="9" s="1"/>
  <c r="C112" i="9"/>
  <c r="I112" i="9" s="1"/>
  <c r="C121" i="9"/>
  <c r="I121" i="9" s="1"/>
  <c r="C131" i="9"/>
  <c r="I131" i="9" s="1"/>
  <c r="C139" i="9"/>
  <c r="I139" i="9" s="1"/>
  <c r="C147" i="9"/>
  <c r="I147" i="9" s="1"/>
  <c r="C213" i="9"/>
  <c r="I213" i="9" s="1"/>
  <c r="C222" i="9"/>
  <c r="I222" i="9" s="1"/>
  <c r="C229" i="9"/>
  <c r="I229" i="9" s="1"/>
  <c r="C239" i="9"/>
  <c r="I239" i="9" s="1"/>
  <c r="C247" i="9"/>
  <c r="I247" i="9" s="1"/>
  <c r="C256" i="9"/>
  <c r="I256" i="9" s="1"/>
  <c r="C267" i="9"/>
  <c r="I267" i="9" s="1"/>
  <c r="C276" i="9"/>
  <c r="I276" i="9" s="1"/>
  <c r="C286" i="9"/>
  <c r="I286" i="9" s="1"/>
  <c r="C293" i="9"/>
  <c r="I293" i="9" s="1"/>
  <c r="C302" i="9"/>
  <c r="I302" i="9" s="1"/>
  <c r="C312" i="9"/>
  <c r="I312" i="9" s="1"/>
  <c r="C321" i="9"/>
  <c r="I321" i="9" s="1"/>
  <c r="C365" i="9"/>
  <c r="I365" i="9" s="1"/>
  <c r="C374" i="9"/>
  <c r="I374" i="9" s="1"/>
  <c r="C383" i="9"/>
  <c r="I383" i="9" s="1"/>
  <c r="C391" i="9"/>
  <c r="I391" i="9" s="1"/>
  <c r="C401" i="9"/>
  <c r="I401" i="9" s="1"/>
  <c r="C410" i="9"/>
  <c r="I410" i="9" s="1"/>
  <c r="C420" i="9"/>
  <c r="I420" i="9" s="1"/>
  <c r="C429" i="9"/>
  <c r="I429" i="9" s="1"/>
  <c r="D419" i="9"/>
  <c r="D420" i="9"/>
  <c r="D421" i="9"/>
  <c r="D422" i="9"/>
  <c r="D426" i="9"/>
  <c r="D438" i="9"/>
  <c r="C12" i="9"/>
  <c r="I12" i="9" s="1"/>
  <c r="C20" i="9"/>
  <c r="I20" i="9" s="1"/>
  <c r="C29" i="9"/>
  <c r="I29" i="9" s="1"/>
  <c r="C34" i="9"/>
  <c r="I34" i="9" s="1"/>
  <c r="C45" i="9"/>
  <c r="I45" i="9" s="1"/>
  <c r="C57" i="9"/>
  <c r="I57" i="9" s="1"/>
  <c r="C67" i="9"/>
  <c r="I67" i="9" s="1"/>
  <c r="C76" i="9"/>
  <c r="I76" i="9" s="1"/>
  <c r="C88" i="9"/>
  <c r="I88" i="9" s="1"/>
  <c r="C99" i="9"/>
  <c r="I99" i="9" s="1"/>
  <c r="C104" i="9"/>
  <c r="I104" i="9" s="1"/>
  <c r="C114" i="9"/>
  <c r="I114" i="9" s="1"/>
  <c r="C123" i="9"/>
  <c r="I123" i="9" s="1"/>
  <c r="C133" i="9"/>
  <c r="I133" i="9" s="1"/>
  <c r="C143" i="9"/>
  <c r="I143" i="9" s="1"/>
  <c r="C214" i="9"/>
  <c r="I214" i="9" s="1"/>
  <c r="C225" i="9"/>
  <c r="I225" i="9" s="1"/>
  <c r="C236" i="9"/>
  <c r="I236" i="9" s="1"/>
  <c r="C246" i="9"/>
  <c r="I246" i="9" s="1"/>
  <c r="C259" i="9"/>
  <c r="I259" i="9" s="1"/>
  <c r="C270" i="9"/>
  <c r="I270" i="9" s="1"/>
  <c r="C283" i="9"/>
  <c r="I283" i="9" s="1"/>
  <c r="C298" i="9"/>
  <c r="I298" i="9" s="1"/>
  <c r="C313" i="9"/>
  <c r="I313" i="9" s="1"/>
  <c r="C324" i="9"/>
  <c r="I324" i="9" s="1"/>
  <c r="C368" i="9"/>
  <c r="I368" i="9" s="1"/>
  <c r="C380" i="9"/>
  <c r="I380" i="9" s="1"/>
  <c r="C390" i="9"/>
  <c r="I390" i="9" s="1"/>
  <c r="C403" i="9"/>
  <c r="I403" i="9" s="1"/>
  <c r="C416" i="9"/>
  <c r="I416" i="9" s="1"/>
  <c r="C428" i="9"/>
  <c r="I428" i="9" s="1"/>
  <c r="C150" i="9"/>
  <c r="I150" i="9" s="1"/>
  <c r="C151" i="9"/>
  <c r="I151" i="9" s="1"/>
  <c r="C152" i="9"/>
  <c r="I152" i="9" s="1"/>
  <c r="C153" i="9"/>
  <c r="I153" i="9" s="1"/>
  <c r="C154" i="9"/>
  <c r="I154" i="9" s="1"/>
  <c r="C155" i="9"/>
  <c r="I155" i="9" s="1"/>
  <c r="C156" i="9"/>
  <c r="I156" i="9" s="1"/>
  <c r="C157" i="9"/>
  <c r="I157" i="9" s="1"/>
  <c r="C158" i="9"/>
  <c r="I158" i="9" s="1"/>
  <c r="C159" i="9"/>
  <c r="I159" i="9" s="1"/>
  <c r="C160" i="9"/>
  <c r="I160" i="9" s="1"/>
  <c r="C161" i="9"/>
  <c r="I161" i="9" s="1"/>
  <c r="C162" i="9"/>
  <c r="I162" i="9" s="1"/>
  <c r="C163" i="9"/>
  <c r="I163" i="9" s="1"/>
  <c r="C164" i="9"/>
  <c r="I164" i="9" s="1"/>
  <c r="C165" i="9"/>
  <c r="I165" i="9" s="1"/>
  <c r="C166" i="9"/>
  <c r="I166" i="9" s="1"/>
  <c r="C167" i="9"/>
  <c r="I167" i="9" s="1"/>
  <c r="C168" i="9"/>
  <c r="I168" i="9" s="1"/>
  <c r="C169" i="9"/>
  <c r="I169" i="9" s="1"/>
  <c r="C170" i="9"/>
  <c r="I170" i="9" s="1"/>
  <c r="C171" i="9"/>
  <c r="I171" i="9" s="1"/>
  <c r="C172" i="9"/>
  <c r="I172" i="9" s="1"/>
  <c r="C173" i="9"/>
  <c r="I173" i="9" s="1"/>
  <c r="C174" i="9"/>
  <c r="I174" i="9" s="1"/>
  <c r="C175" i="9"/>
  <c r="I175" i="9" s="1"/>
  <c r="C176" i="9"/>
  <c r="I176" i="9" s="1"/>
  <c r="C177" i="9"/>
  <c r="I177" i="9" s="1"/>
  <c r="C178" i="9"/>
  <c r="I178" i="9" s="1"/>
  <c r="C179" i="9"/>
  <c r="I179" i="9" s="1"/>
  <c r="C180" i="9"/>
  <c r="I180" i="9" s="1"/>
  <c r="C181" i="9"/>
  <c r="I181" i="9" s="1"/>
  <c r="C182" i="9"/>
  <c r="I182" i="9" s="1"/>
  <c r="C183" i="9"/>
  <c r="I183" i="9" s="1"/>
  <c r="C184" i="9"/>
  <c r="I184" i="9" s="1"/>
  <c r="C185" i="9"/>
  <c r="I185" i="9" s="1"/>
  <c r="C186" i="9"/>
  <c r="I186" i="9" s="1"/>
  <c r="C187" i="9"/>
  <c r="I187" i="9" s="1"/>
  <c r="C188" i="9"/>
  <c r="I188" i="9" s="1"/>
  <c r="C189" i="9"/>
  <c r="I189" i="9" s="1"/>
  <c r="C190" i="9"/>
  <c r="I190" i="9" s="1"/>
  <c r="C191" i="9"/>
  <c r="I191" i="9" s="1"/>
  <c r="C192" i="9"/>
  <c r="I192" i="9" s="1"/>
  <c r="C193" i="9"/>
  <c r="I193" i="9" s="1"/>
  <c r="C194" i="9"/>
  <c r="I194" i="9" s="1"/>
  <c r="C195" i="9"/>
  <c r="I195" i="9" s="1"/>
  <c r="C196" i="9"/>
  <c r="I196" i="9" s="1"/>
  <c r="C197" i="9"/>
  <c r="I197" i="9" s="1"/>
  <c r="C198" i="9"/>
  <c r="I198" i="9" s="1"/>
  <c r="C199" i="9"/>
  <c r="I199" i="9" s="1"/>
  <c r="C200" i="9"/>
  <c r="I200" i="9" s="1"/>
  <c r="C201" i="9"/>
  <c r="I201" i="9" s="1"/>
  <c r="C202" i="9"/>
  <c r="I202" i="9" s="1"/>
  <c r="C203" i="9"/>
  <c r="I203" i="9" s="1"/>
  <c r="C204" i="9"/>
  <c r="I204" i="9" s="1"/>
  <c r="C205" i="9"/>
  <c r="I205" i="9" s="1"/>
  <c r="C206" i="9"/>
  <c r="I206" i="9" s="1"/>
  <c r="C211" i="9"/>
  <c r="I211" i="9" s="1"/>
  <c r="C224" i="9"/>
  <c r="I224" i="9" s="1"/>
  <c r="C234" i="9"/>
  <c r="I234" i="9" s="1"/>
  <c r="C245" i="9"/>
  <c r="I245" i="9" s="1"/>
  <c r="C255" i="9"/>
  <c r="I255" i="9" s="1"/>
  <c r="C268" i="9"/>
  <c r="I268" i="9" s="1"/>
  <c r="C278" i="9"/>
  <c r="I278" i="9" s="1"/>
  <c r="C292" i="9"/>
  <c r="I292" i="9" s="1"/>
  <c r="C304" i="9"/>
  <c r="I304" i="9" s="1"/>
  <c r="C315" i="9"/>
  <c r="I315" i="9" s="1"/>
  <c r="C364" i="9"/>
  <c r="I364" i="9" s="1"/>
  <c r="C376" i="9"/>
  <c r="I376" i="9" s="1"/>
  <c r="C389" i="9"/>
  <c r="I389" i="9" s="1"/>
  <c r="C400" i="9"/>
  <c r="I400" i="9" s="1"/>
  <c r="C414" i="9"/>
  <c r="I414" i="9" s="1"/>
  <c r="C430" i="9"/>
  <c r="I430" i="9" s="1"/>
  <c r="C325" i="9"/>
  <c r="I325" i="9" s="1"/>
  <c r="C326" i="9"/>
  <c r="I326" i="9" s="1"/>
  <c r="C327" i="9"/>
  <c r="I327" i="9" s="1"/>
  <c r="C328" i="9"/>
  <c r="I328" i="9" s="1"/>
  <c r="C329" i="9"/>
  <c r="I329" i="9" s="1"/>
  <c r="C330" i="9"/>
  <c r="I330" i="9" s="1"/>
  <c r="C331" i="9"/>
  <c r="I331" i="9" s="1"/>
  <c r="C332" i="9"/>
  <c r="I332" i="9" s="1"/>
  <c r="C333" i="9"/>
  <c r="I333" i="9" s="1"/>
  <c r="C334" i="9"/>
  <c r="I334" i="9" s="1"/>
  <c r="C335" i="9"/>
  <c r="I335" i="9" s="1"/>
  <c r="C336" i="9"/>
  <c r="I336" i="9" s="1"/>
  <c r="C337" i="9"/>
  <c r="I337" i="9" s="1"/>
  <c r="C338" i="9"/>
  <c r="I338" i="9" s="1"/>
  <c r="C339" i="9"/>
  <c r="I339" i="9" s="1"/>
  <c r="C340" i="9"/>
  <c r="I340" i="9" s="1"/>
  <c r="C341" i="9"/>
  <c r="I341" i="9" s="1"/>
  <c r="C342" i="9"/>
  <c r="I342" i="9" s="1"/>
  <c r="C343" i="9"/>
  <c r="I343" i="9" s="1"/>
  <c r="C344" i="9"/>
  <c r="I344" i="9" s="1"/>
  <c r="C345" i="9"/>
  <c r="I345" i="9" s="1"/>
  <c r="C346" i="9"/>
  <c r="I346" i="9" s="1"/>
  <c r="C347" i="9"/>
  <c r="I347" i="9" s="1"/>
  <c r="C348" i="9"/>
  <c r="I348" i="9" s="1"/>
  <c r="C349" i="9"/>
  <c r="I349" i="9" s="1"/>
  <c r="C350" i="9"/>
  <c r="I350" i="9" s="1"/>
  <c r="C351" i="9"/>
  <c r="I351" i="9" s="1"/>
  <c r="C352" i="9"/>
  <c r="I352" i="9" s="1"/>
  <c r="C353" i="9"/>
  <c r="I353" i="9" s="1"/>
  <c r="C354" i="9"/>
  <c r="I354" i="9" s="1"/>
  <c r="C355" i="9"/>
  <c r="I355" i="9" s="1"/>
  <c r="C356" i="9"/>
  <c r="I356" i="9" s="1"/>
  <c r="C357" i="9"/>
  <c r="I357" i="9" s="1"/>
  <c r="C358" i="9"/>
  <c r="I358" i="9" s="1"/>
  <c r="C359" i="9"/>
  <c r="I359" i="9" s="1"/>
  <c r="C367" i="9"/>
  <c r="I367" i="9" s="1"/>
  <c r="C379" i="9"/>
  <c r="I379" i="9" s="1"/>
  <c r="C395" i="9"/>
  <c r="I395" i="9" s="1"/>
  <c r="C407" i="9"/>
  <c r="I407" i="9" s="1"/>
  <c r="C425" i="9"/>
  <c r="I425" i="9" s="1"/>
  <c r="C437" i="9"/>
  <c r="I437" i="9" s="1"/>
  <c r="C2" i="9"/>
  <c r="I2" i="9" s="1"/>
  <c r="D105" i="9"/>
  <c r="D109" i="9"/>
  <c r="D114" i="9"/>
  <c r="D119" i="9"/>
  <c r="D125" i="9"/>
  <c r="D309" i="9"/>
  <c r="E3" i="10" s="1"/>
  <c r="D316" i="9"/>
  <c r="D322" i="9"/>
  <c r="D327" i="9"/>
  <c r="D333" i="9"/>
  <c r="D338" i="9"/>
  <c r="D344" i="9"/>
  <c r="D382" i="9"/>
  <c r="D389" i="9"/>
  <c r="D394" i="9"/>
  <c r="D403" i="9"/>
  <c r="D409" i="9"/>
  <c r="D415" i="9"/>
  <c r="D427" i="9"/>
  <c r="D434" i="9"/>
  <c r="C4" i="9"/>
  <c r="I4" i="9" s="1"/>
  <c r="C13" i="9"/>
  <c r="I13" i="9" s="1"/>
  <c r="C19" i="9"/>
  <c r="I19" i="9" s="1"/>
  <c r="C25" i="9"/>
  <c r="I25" i="9" s="1"/>
  <c r="C36" i="9"/>
  <c r="I36" i="9" s="1"/>
  <c r="C44" i="9"/>
  <c r="I44" i="9" s="1"/>
  <c r="C52" i="9"/>
  <c r="I52" i="9" s="1"/>
  <c r="C59" i="9"/>
  <c r="I59" i="9" s="1"/>
  <c r="C66" i="9"/>
  <c r="I66" i="9" s="1"/>
  <c r="C69" i="9"/>
  <c r="I69" i="9" s="1"/>
  <c r="C77" i="9"/>
  <c r="I77" i="9" s="1"/>
  <c r="C83" i="9"/>
  <c r="I83" i="9" s="1"/>
  <c r="C91" i="9"/>
  <c r="I91" i="9" s="1"/>
  <c r="C96" i="9"/>
  <c r="I96" i="9" s="1"/>
  <c r="C107" i="9"/>
  <c r="I107" i="9" s="1"/>
  <c r="C111" i="9"/>
  <c r="I111" i="9" s="1"/>
  <c r="C119" i="9"/>
  <c r="I119" i="9" s="1"/>
  <c r="C125" i="9"/>
  <c r="I125" i="9" s="1"/>
  <c r="C134" i="9"/>
  <c r="I134" i="9" s="1"/>
  <c r="C141" i="9"/>
  <c r="I141" i="9" s="1"/>
  <c r="C149" i="9"/>
  <c r="I149" i="9" s="1"/>
  <c r="C212" i="9"/>
  <c r="I212" i="9" s="1"/>
  <c r="C221" i="9"/>
  <c r="I221" i="9" s="1"/>
  <c r="C233" i="9"/>
  <c r="I233" i="9" s="1"/>
  <c r="C240" i="9"/>
  <c r="I240" i="9" s="1"/>
  <c r="C248" i="9"/>
  <c r="I248" i="9" s="1"/>
  <c r="C258" i="9"/>
  <c r="I258" i="9" s="1"/>
  <c r="C266" i="9"/>
  <c r="I266" i="9" s="1"/>
  <c r="C274" i="9"/>
  <c r="I274" i="9" s="1"/>
  <c r="C282" i="9"/>
  <c r="I282" i="9" s="1"/>
  <c r="C289" i="9"/>
  <c r="I289" i="9" s="1"/>
  <c r="C295" i="9"/>
  <c r="I295" i="9" s="1"/>
  <c r="C303" i="9"/>
  <c r="I303" i="9" s="1"/>
  <c r="C310" i="9"/>
  <c r="I310" i="9" s="1"/>
  <c r="C319" i="9"/>
  <c r="I319" i="9" s="1"/>
  <c r="C360" i="9"/>
  <c r="I360" i="9" s="1"/>
  <c r="C369" i="9"/>
  <c r="I369" i="9" s="1"/>
  <c r="C378" i="9"/>
  <c r="I378" i="9" s="1"/>
  <c r="C385" i="9"/>
  <c r="I385" i="9" s="1"/>
  <c r="C394" i="9"/>
  <c r="I394" i="9" s="1"/>
  <c r="C404" i="9"/>
  <c r="I404" i="9" s="1"/>
  <c r="C411" i="9"/>
  <c r="I411" i="9" s="1"/>
  <c r="C418" i="9"/>
  <c r="I418" i="9" s="1"/>
  <c r="C426" i="9"/>
  <c r="I426" i="9" s="1"/>
  <c r="C435" i="9"/>
  <c r="I435" i="9" s="1"/>
  <c r="D106" i="9"/>
  <c r="D110" i="9"/>
  <c r="D117" i="9"/>
  <c r="D306" i="9"/>
  <c r="D312" i="9"/>
  <c r="D318" i="9"/>
  <c r="D324" i="9"/>
  <c r="D332" i="9"/>
  <c r="D341" i="9"/>
  <c r="D348" i="9"/>
  <c r="D354" i="9"/>
  <c r="D360" i="9"/>
  <c r="D365" i="9"/>
  <c r="D383" i="9"/>
  <c r="D391" i="9"/>
  <c r="D396" i="9"/>
  <c r="D404" i="9"/>
  <c r="D412" i="9"/>
  <c r="D423" i="9"/>
  <c r="D431" i="9"/>
  <c r="C3" i="9"/>
  <c r="I3" i="9" s="1"/>
  <c r="C11" i="9"/>
  <c r="I11" i="9" s="1"/>
  <c r="C17" i="9"/>
  <c r="I17" i="9" s="1"/>
  <c r="C24" i="9"/>
  <c r="I24" i="9" s="1"/>
  <c r="C31" i="9"/>
  <c r="I31" i="9" s="1"/>
  <c r="C35" i="9"/>
  <c r="I35" i="9" s="1"/>
  <c r="C43" i="9"/>
  <c r="I43" i="9" s="1"/>
  <c r="C51" i="9"/>
  <c r="I51" i="9" s="1"/>
  <c r="C60" i="9"/>
  <c r="I60" i="9" s="1"/>
  <c r="C68" i="9"/>
  <c r="I68" i="9" s="1"/>
  <c r="C72" i="9"/>
  <c r="I72" i="9" s="1"/>
  <c r="C82" i="9"/>
  <c r="I82" i="9" s="1"/>
  <c r="C92" i="9"/>
  <c r="I92" i="9" s="1"/>
  <c r="C100" i="9"/>
  <c r="I100" i="9" s="1"/>
  <c r="C108" i="9"/>
  <c r="I108" i="9" s="1"/>
  <c r="C116" i="9"/>
  <c r="I116" i="9" s="1"/>
  <c r="C124" i="9"/>
  <c r="I124" i="9" s="1"/>
  <c r="C132" i="9"/>
  <c r="I132" i="9" s="1"/>
  <c r="C142" i="9"/>
  <c r="I142" i="9" s="1"/>
  <c r="C208" i="9"/>
  <c r="I208" i="9" s="1"/>
  <c r="C215" i="9"/>
  <c r="I215" i="9" s="1"/>
  <c r="C223" i="9"/>
  <c r="I223" i="9" s="1"/>
  <c r="C230" i="9"/>
  <c r="I230" i="9" s="1"/>
  <c r="C238" i="9"/>
  <c r="I238" i="9" s="1"/>
  <c r="C251" i="9"/>
  <c r="I251" i="9" s="1"/>
  <c r="C260" i="9"/>
  <c r="I260" i="9" s="1"/>
  <c r="C269" i="9"/>
  <c r="I269" i="9" s="1"/>
  <c r="C281" i="9"/>
  <c r="I281" i="9" s="1"/>
  <c r="C291" i="9"/>
  <c r="I291" i="9" s="1"/>
  <c r="C300" i="9"/>
  <c r="I300" i="9" s="1"/>
  <c r="C308" i="9"/>
  <c r="I308" i="9" s="1"/>
  <c r="C317" i="9"/>
  <c r="I317" i="9" s="1"/>
  <c r="C363" i="9"/>
  <c r="I363" i="9" s="1"/>
  <c r="C373" i="9"/>
  <c r="I373" i="9" s="1"/>
  <c r="C382" i="9"/>
  <c r="I382" i="9" s="1"/>
  <c r="C393" i="9"/>
  <c r="I393" i="9" s="1"/>
  <c r="C406" i="9"/>
  <c r="I406" i="9" s="1"/>
  <c r="C415" i="9"/>
  <c r="I415" i="9" s="1"/>
  <c r="C424" i="9"/>
  <c r="I424" i="9" s="1"/>
  <c r="C433" i="9"/>
  <c r="I433" i="9" s="1"/>
  <c r="D218" i="9"/>
  <c r="D112" i="9"/>
  <c r="D118" i="9"/>
  <c r="D277" i="9"/>
  <c r="D311" i="9"/>
  <c r="D317" i="9"/>
  <c r="D323" i="9"/>
  <c r="D328" i="9"/>
  <c r="D334" i="9"/>
  <c r="D339" i="9"/>
  <c r="D345" i="9"/>
  <c r="D351" i="9"/>
  <c r="D355" i="9"/>
  <c r="D361" i="9"/>
  <c r="D367" i="9"/>
  <c r="D387" i="9"/>
  <c r="D393" i="9"/>
  <c r="D401" i="9"/>
  <c r="D408" i="9"/>
  <c r="D414" i="9"/>
  <c r="D428" i="9"/>
  <c r="D437" i="9"/>
  <c r="C7" i="9"/>
  <c r="I7" i="9" s="1"/>
  <c r="C14" i="9"/>
  <c r="I14" i="9" s="1"/>
  <c r="C27" i="9"/>
  <c r="I27" i="9" s="1"/>
  <c r="C32" i="9"/>
  <c r="I32" i="9" s="1"/>
  <c r="C39" i="9"/>
  <c r="I39" i="9" s="1"/>
  <c r="C47" i="9"/>
  <c r="I47" i="9" s="1"/>
  <c r="C56" i="9"/>
  <c r="I56" i="9" s="1"/>
  <c r="C63" i="9"/>
  <c r="I63" i="9" s="1"/>
  <c r="C74" i="9"/>
  <c r="I74" i="9" s="1"/>
  <c r="C81" i="9"/>
  <c r="I81" i="9" s="1"/>
  <c r="C90" i="9"/>
  <c r="I90" i="9" s="1"/>
  <c r="C98" i="9"/>
  <c r="I98" i="9" s="1"/>
  <c r="C102" i="9"/>
  <c r="I102" i="9" s="1"/>
  <c r="C113" i="9"/>
  <c r="I113" i="9" s="1"/>
  <c r="C122" i="9"/>
  <c r="I122" i="9" s="1"/>
  <c r="C130" i="9"/>
  <c r="I130" i="9" s="1"/>
  <c r="C136" i="9"/>
  <c r="I136" i="9" s="1"/>
  <c r="C145" i="9"/>
  <c r="I145" i="9" s="1"/>
  <c r="C210" i="9"/>
  <c r="I210" i="9" s="1"/>
  <c r="C219" i="9"/>
  <c r="I219" i="9" s="1"/>
  <c r="C231" i="9"/>
  <c r="I231" i="9" s="1"/>
  <c r="C241" i="9"/>
  <c r="I241" i="9" s="1"/>
  <c r="C249" i="9"/>
  <c r="I249" i="9" s="1"/>
  <c r="C257" i="9"/>
  <c r="I257" i="9" s="1"/>
  <c r="C264" i="9"/>
  <c r="I264" i="9" s="1"/>
  <c r="C272" i="9"/>
  <c r="I272" i="9" s="1"/>
  <c r="C279" i="9"/>
  <c r="I279" i="9" s="1"/>
  <c r="C288" i="9"/>
  <c r="I288" i="9" s="1"/>
  <c r="C297" i="9"/>
  <c r="I297" i="9" s="1"/>
  <c r="C306" i="9"/>
  <c r="I306" i="9" s="1"/>
  <c r="C314" i="9"/>
  <c r="I314" i="9" s="1"/>
  <c r="C323" i="9"/>
  <c r="I323" i="9" s="1"/>
  <c r="C366" i="9"/>
  <c r="I366" i="9" s="1"/>
  <c r="C375" i="9"/>
  <c r="I375" i="9" s="1"/>
  <c r="C384" i="9"/>
  <c r="I384" i="9" s="1"/>
  <c r="C396" i="9"/>
  <c r="I396" i="9" s="1"/>
  <c r="C405" i="9"/>
  <c r="I405" i="9" s="1"/>
  <c r="C413" i="9"/>
  <c r="I413" i="9" s="1"/>
  <c r="C422" i="9"/>
  <c r="I422" i="9" s="1"/>
  <c r="C431" i="9"/>
  <c r="I431" i="9" s="1"/>
  <c r="C439" i="9"/>
  <c r="I439" i="9" s="1"/>
  <c r="D116" i="9"/>
  <c r="D124" i="9"/>
  <c r="D310" i="9"/>
  <c r="D319" i="9"/>
  <c r="D326" i="9"/>
  <c r="D336" i="9"/>
  <c r="D343" i="9"/>
  <c r="D350" i="9"/>
  <c r="D359" i="9"/>
  <c r="D366" i="9"/>
  <c r="D390" i="9"/>
  <c r="D399" i="9"/>
  <c r="D407" i="9"/>
  <c r="D418" i="9"/>
  <c r="D430" i="9"/>
  <c r="C6" i="9"/>
  <c r="I6" i="9" s="1"/>
  <c r="C28" i="9"/>
  <c r="I28" i="9" s="1"/>
  <c r="C33" i="9"/>
  <c r="I33" i="9" s="1"/>
  <c r="C42" i="9"/>
  <c r="I42" i="9" s="1"/>
  <c r="C50" i="9"/>
  <c r="I50" i="9" s="1"/>
  <c r="C61" i="9"/>
  <c r="I61" i="9" s="1"/>
  <c r="C80" i="9"/>
  <c r="I80" i="9" s="1"/>
  <c r="C89" i="9"/>
  <c r="I89" i="9" s="1"/>
  <c r="C101" i="9"/>
  <c r="I101" i="9" s="1"/>
  <c r="C106" i="9"/>
  <c r="I106" i="9" s="1"/>
  <c r="C115" i="9"/>
  <c r="I115" i="9" s="1"/>
  <c r="C126" i="9"/>
  <c r="I126" i="9" s="1"/>
  <c r="C135" i="9"/>
  <c r="I135" i="9" s="1"/>
  <c r="C146" i="9"/>
  <c r="I146" i="9" s="1"/>
  <c r="C217" i="9"/>
  <c r="I217" i="9" s="1"/>
  <c r="C232" i="9"/>
  <c r="I232" i="9" s="1"/>
  <c r="C244" i="9"/>
  <c r="I244" i="9" s="1"/>
  <c r="C254" i="9"/>
  <c r="I254" i="9" s="1"/>
  <c r="C265" i="9"/>
  <c r="I265" i="9" s="1"/>
  <c r="C277" i="9"/>
  <c r="I277" i="9" s="1"/>
  <c r="C287" i="9"/>
  <c r="I287" i="9" s="1"/>
  <c r="C299" i="9"/>
  <c r="I299" i="9" s="1"/>
  <c r="C311" i="9"/>
  <c r="I311" i="9" s="1"/>
  <c r="C322" i="9"/>
  <c r="I322" i="9" s="1"/>
  <c r="C370" i="9"/>
  <c r="I370" i="9" s="1"/>
  <c r="C386" i="9"/>
  <c r="I386" i="9" s="1"/>
  <c r="C397" i="9"/>
  <c r="I397" i="9" s="1"/>
  <c r="C408" i="9"/>
  <c r="I408" i="9" s="1"/>
  <c r="C419" i="9"/>
  <c r="I419" i="9" s="1"/>
  <c r="C432" i="9"/>
  <c r="I432" i="9" s="1"/>
  <c r="D111" i="9"/>
  <c r="D123" i="9"/>
  <c r="D315" i="9"/>
  <c r="D321" i="9"/>
  <c r="D330" i="9"/>
  <c r="D340" i="9"/>
  <c r="D349" i="9"/>
  <c r="D356" i="9"/>
  <c r="D364" i="9"/>
  <c r="D388" i="9"/>
  <c r="D397" i="9"/>
  <c r="D406" i="9"/>
  <c r="D417" i="9"/>
  <c r="D433" i="9"/>
  <c r="C9" i="9"/>
  <c r="I9" i="9" s="1"/>
  <c r="C15" i="9"/>
  <c r="I15" i="9" s="1"/>
  <c r="C21" i="9"/>
  <c r="I21" i="9" s="1"/>
  <c r="C30" i="9"/>
  <c r="I30" i="9" s="1"/>
  <c r="C41" i="9"/>
  <c r="I41" i="9" s="1"/>
  <c r="C54" i="9"/>
  <c r="I54" i="9" s="1"/>
  <c r="C65" i="9"/>
  <c r="I65" i="9" s="1"/>
  <c r="C73" i="9"/>
  <c r="I73" i="9" s="1"/>
  <c r="C86" i="9"/>
  <c r="I86" i="9" s="1"/>
  <c r="C95" i="9"/>
  <c r="I95" i="9" s="1"/>
  <c r="C117" i="9"/>
  <c r="I117" i="9" s="1"/>
  <c r="C127" i="9"/>
  <c r="I127" i="9" s="1"/>
  <c r="C138" i="9"/>
  <c r="I138" i="9" s="1"/>
  <c r="C148" i="9"/>
  <c r="I148" i="9" s="1"/>
  <c r="C216" i="9"/>
  <c r="I216" i="9" s="1"/>
  <c r="C226" i="9"/>
  <c r="I226" i="9" s="1"/>
  <c r="C237" i="9"/>
  <c r="I237" i="9" s="1"/>
  <c r="C250" i="9"/>
  <c r="I250" i="9" s="1"/>
  <c r="C263" i="9"/>
  <c r="I263" i="9" s="1"/>
  <c r="C275" i="9"/>
  <c r="I275" i="9" s="1"/>
  <c r="C285" i="9"/>
  <c r="I285" i="9" s="1"/>
  <c r="C296" i="9"/>
  <c r="I296" i="9" s="1"/>
  <c r="C307" i="9"/>
  <c r="I307" i="9" s="1"/>
  <c r="C318" i="9"/>
  <c r="I318" i="9" s="1"/>
  <c r="C377" i="9"/>
  <c r="I377" i="9" s="1"/>
  <c r="C388" i="9"/>
  <c r="I388" i="9" s="1"/>
  <c r="C399" i="9"/>
  <c r="I399" i="9" s="1"/>
  <c r="C412" i="9"/>
  <c r="I412" i="9" s="1"/>
  <c r="C423" i="9"/>
  <c r="I423" i="9" s="1"/>
  <c r="C438" i="9"/>
  <c r="I438" i="9" s="1"/>
  <c r="D201" i="9"/>
  <c r="D202" i="9"/>
  <c r="D200" i="9"/>
  <c r="D199" i="9"/>
  <c r="D181" i="9"/>
  <c r="D182" i="9"/>
  <c r="D96" i="9"/>
  <c r="D95" i="9"/>
  <c r="D93" i="9"/>
  <c r="D94" i="9"/>
  <c r="D86" i="9"/>
  <c r="D87" i="9"/>
  <c r="D85" i="9"/>
  <c r="D84" i="9"/>
  <c r="D82" i="9"/>
  <c r="D83" i="9"/>
  <c r="D81" i="9"/>
  <c r="D80" i="9"/>
  <c r="D78" i="9"/>
  <c r="D79" i="9"/>
  <c r="D76" i="9"/>
  <c r="D77" i="9"/>
  <c r="D75" i="9"/>
  <c r="D74" i="9"/>
  <c r="D73" i="9"/>
  <c r="D72" i="9"/>
  <c r="D70" i="9"/>
  <c r="D71" i="9"/>
  <c r="D65" i="9"/>
  <c r="D64" i="9"/>
  <c r="D61" i="9"/>
  <c r="D60" i="9"/>
  <c r="D59" i="9"/>
  <c r="D58" i="9"/>
  <c r="D55" i="9"/>
  <c r="D54" i="9"/>
  <c r="D53" i="9"/>
  <c r="D52" i="9"/>
  <c r="D50" i="9"/>
  <c r="D51" i="9"/>
  <c r="D49" i="9"/>
  <c r="D48" i="9"/>
  <c r="D46" i="9"/>
  <c r="D47" i="9"/>
  <c r="D13" i="9"/>
  <c r="E8" i="10" s="1"/>
  <c r="D12" i="9"/>
  <c r="E7" i="10" s="1"/>
  <c r="E4" i="10" l="1"/>
  <c r="E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C8" authorId="0" shapeId="0" xr:uid="{4D539979-8D3D-4A56-B57A-768F41E5BA53}">
      <text>
        <r>
          <rPr>
            <b/>
            <sz val="9"/>
            <color indexed="81"/>
            <rFont val="Tahoma"/>
            <charset val="1"/>
          </rPr>
          <t>Administrator:</t>
        </r>
        <r>
          <rPr>
            <sz val="9"/>
            <color indexed="81"/>
            <rFont val="Tahoma"/>
            <charset val="1"/>
          </rPr>
          <t xml:space="preserve">
Source: Jiangsu Bornsun Medical Instrument Co., Ltd (Wuxi, China), https://www.made-in-china.com/showroom/bornsun001/</t>
        </r>
      </text>
    </comment>
    <comment ref="C23" authorId="0" shapeId="0" xr:uid="{D953BA49-0747-487F-B703-04DEDDED0C22}">
      <text>
        <r>
          <rPr>
            <b/>
            <sz val="9"/>
            <color indexed="81"/>
            <rFont val="Tahoma"/>
            <charset val="1"/>
          </rPr>
          <t>Administrator:</t>
        </r>
        <r>
          <rPr>
            <sz val="9"/>
            <color indexed="81"/>
            <rFont val="Tahoma"/>
            <charset val="1"/>
          </rPr>
          <t xml:space="preserve">
Source: Hapaku official site, https://hapaku.vn/</t>
        </r>
      </text>
    </comment>
    <comment ref="C30" authorId="0" shapeId="0" xr:uid="{73240159-B815-4D9C-BC4D-30AB92510B4D}">
      <text>
        <r>
          <rPr>
            <b/>
            <sz val="9"/>
            <color indexed="81"/>
            <rFont val="Tahoma"/>
            <charset val="1"/>
          </rPr>
          <t>Administrator:</t>
        </r>
        <r>
          <rPr>
            <sz val="9"/>
            <color indexed="81"/>
            <rFont val="Tahoma"/>
            <charset val="1"/>
          </rPr>
          <t xml:space="preserve">
IN4 Technology Corporation, https://www.in4care.com/ — country (Taiwan) from general knowledge; site did not state it. Please verify.</t>
        </r>
      </text>
    </comment>
    <comment ref="C36" authorId="0" shapeId="0" xr:uid="{C7D618BD-3498-4897-98AE-DD5341D6AB89}">
      <text>
        <r>
          <rPr>
            <b/>
            <sz val="9"/>
            <color indexed="81"/>
            <rFont val="Tahoma"/>
            <charset val="1"/>
          </rPr>
          <t>Administrator:</t>
        </r>
        <r>
          <rPr>
            <sz val="9"/>
            <color indexed="81"/>
            <rFont val="Tahoma"/>
            <charset val="1"/>
          </rPr>
          <t xml:space="preserve">
Brand origin USA (products made in China). Source: https://bachhoayte.com/lucass-b77398.html</t>
        </r>
      </text>
    </comment>
    <comment ref="C38" authorId="0" shapeId="0" xr:uid="{5985D7AA-99DF-4444-A985-EF0E925F61C3}">
      <text>
        <r>
          <rPr>
            <b/>
            <sz val="9"/>
            <color indexed="81"/>
            <rFont val="Tahoma"/>
            <charset val="1"/>
          </rPr>
          <t>Administrator:</t>
        </r>
        <r>
          <rPr>
            <sz val="9"/>
            <color indexed="81"/>
            <rFont val="Tahoma"/>
            <charset val="1"/>
          </rPr>
          <t xml:space="preserve">
Meditera Tıbbi Malzeme (Izmir, Turkey) — from general knowledge, not web-verified. Please verify.</t>
        </r>
      </text>
    </comment>
    <comment ref="C40" authorId="0" shapeId="0" xr:uid="{74660E52-6152-44B3-BF70-5F4BE1CEB090}">
      <text>
        <r>
          <rPr>
            <b/>
            <sz val="9"/>
            <color indexed="81"/>
            <rFont val="Tahoma"/>
            <charset val="1"/>
          </rPr>
          <t>Administrator:</t>
        </r>
        <r>
          <rPr>
            <sz val="9"/>
            <color indexed="81"/>
            <rFont val="Tahoma"/>
            <charset val="1"/>
          </rPr>
          <t xml:space="preserve">
Source: Mepro Medical Tech Co., Ltd (Ansan, South Korea; factory near Qingdao, China), https://www.mepromedical.com/</t>
        </r>
      </text>
    </comment>
    <comment ref="C43" authorId="0" shapeId="0" xr:uid="{DAA6FBA3-A406-4C18-95E9-F6ED3C9CA6EC}">
      <text>
        <r>
          <rPr>
            <b/>
            <sz val="9"/>
            <color indexed="81"/>
            <rFont val="Tahoma"/>
            <charset val="1"/>
          </rPr>
          <t>Administrator:</t>
        </r>
        <r>
          <rPr>
            <sz val="9"/>
            <color indexed="81"/>
            <rFont val="Tahoma"/>
            <charset val="1"/>
          </rPr>
          <t xml:space="preserve">
Made by IIDA Hosiery Co., Ltd (Japan). Source: https://merinco.com.vn/blogs/huong-dan-su-dung-san-pham/huong-dan-su-dung-vo-y-khoa-chong-gian-tinh-mach-meri-socks</t>
        </r>
      </text>
    </comment>
    <comment ref="C44" authorId="0" shapeId="0" xr:uid="{0C766706-04AB-43C9-BFA0-2E64F0FC1AC9}">
      <text>
        <r>
          <rPr>
            <b/>
            <sz val="9"/>
            <color indexed="81"/>
            <rFont val="Tahoma"/>
            <charset val="1"/>
          </rPr>
          <t>Administrator:</t>
        </r>
        <r>
          <rPr>
            <sz val="9"/>
            <color indexed="81"/>
            <rFont val="Tahoma"/>
            <charset val="1"/>
          </rPr>
          <t xml:space="preserve">
Brand of D2 Group (Hanoi). Source: https://mikido.vn/lien-he/</t>
        </r>
      </text>
    </comment>
    <comment ref="C47" authorId="0" shapeId="0" xr:uid="{7FF8FEA0-A423-4BAC-8C22-89B445CBF256}">
      <text>
        <r>
          <rPr>
            <b/>
            <sz val="9"/>
            <color indexed="81"/>
            <rFont val="Tahoma"/>
            <charset val="1"/>
          </rPr>
          <t>Administrator:</t>
        </r>
        <r>
          <rPr>
            <sz val="9"/>
            <color indexed="81"/>
            <rFont val="Tahoma"/>
            <charset val="1"/>
          </rPr>
          <t xml:space="preserve">
Orbe = brand of Hameco (Vietnam). Source: https://medifa.vn/goi-co-orbe</t>
        </r>
      </text>
    </comment>
    <comment ref="C49" authorId="0" shapeId="0" xr:uid="{0094D8E6-6708-4E3A-89A8-30A44D2285D2}">
      <text>
        <r>
          <rPr>
            <b/>
            <sz val="9"/>
            <color indexed="81"/>
            <rFont val="Tahoma"/>
            <charset val="1"/>
          </rPr>
          <t>Administrator:</t>
        </r>
        <r>
          <rPr>
            <sz val="9"/>
            <color indexed="81"/>
            <rFont val="Tahoma"/>
            <charset val="1"/>
          </rPr>
          <t xml:space="preserve">
Conflicting sources: marketed as a German brand, but brand origin listed as China and manufactured in China. Source: https://meta.vn/may-tao-oxy-owgels-oz-5-01tw0-co-xong-mui-p52990</t>
        </r>
      </text>
    </comment>
    <comment ref="C62" authorId="0" shapeId="0" xr:uid="{9BD3D7FA-96CB-4C17-ACAB-FAEC079747E6}">
      <text>
        <r>
          <rPr>
            <b/>
            <sz val="9"/>
            <color indexed="81"/>
            <rFont val="Tahoma"/>
            <charset val="1"/>
          </rPr>
          <t>Administrator:</t>
        </r>
        <r>
          <rPr>
            <sz val="9"/>
            <color indexed="81"/>
            <rFont val="Tahoma"/>
            <charset val="1"/>
          </rPr>
          <t xml:space="preserve">
Source: Terrapharm Việt Nam (Hanoi), https://terrapharm.vn/</t>
        </r>
      </text>
    </comment>
    <comment ref="C70" authorId="0" shapeId="0" xr:uid="{7738BC94-AC53-487F-B67E-08B2E0D92A4B}">
      <text>
        <r>
          <rPr>
            <b/>
            <sz val="9"/>
            <color indexed="81"/>
            <rFont val="Tahoma"/>
            <charset val="1"/>
          </rPr>
          <t>Administrator:</t>
        </r>
        <r>
          <rPr>
            <sz val="9"/>
            <color indexed="81"/>
            <rFont val="Tahoma"/>
            <charset val="1"/>
          </rPr>
          <t xml:space="preserve">
US brand, assembled in China. Source: https://ytesaigon.com/may-tam-nuoc-waterjet-ultra/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tc={841B532B-D67F-44E4-B268-1B9E13782313}</author>
  </authors>
  <commentList>
    <comment ref="G1" authorId="0" shapeId="0" xr:uid="{841B532B-D67F-44E4-B268-1B9E13782313}">
      <text>
        <t>[Threaded comment]
Your version of Excel allows you to read this threaded comment; however, any edits to it will get removed if the file is opened in a newer version of Excel. Learn more: https://go.microsoft.com/fwlink/?linkid=870924
Comment:
    UOM = base unit the product is counted in (used by 'Sellable Unit' Quy cách, e.g. Hộp 10 miếng → 10 × miếng). Derived 2026-09-30 from the most common unit in each product's packaging spec on 'Sellable Unit' (source: Merinco-Product - Draft.xlsx). Yellow = inferred from product type because the source had no count unit or only a weight/volume (g, ml) — please confirm.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tc={5EAE1409-46FA-4E34-9187-E1E7571B1440}</author>
  </authors>
  <commentList>
    <comment ref="A1" authorId="0" shapeId="0" xr:uid="{5EAE1409-46FA-4E34-9187-E1E7571B1440}">
      <text>
        <t>[Threaded comment]
Your version of Excel allows you to read this threaded comment; however, any edits to it will get removed if the file is opened in a newer version of Excel. Learn more: https://go.microsoft.com/fwlink/?linkid=870924
Comment:
    Source: Merinco-Product - Draft.xlsx, sheet 'Product-Basic Info' A1:L556 (name col A, short name B, Phân loại E), 555 rows, shared by the Draft workbook's Excel session on 2026-09-30. Mã sản phẩm assigned by matching product names (no shared code). Kích cỡ / Màu sắc / Dung tích-Khối lượng / Quy cách were split out of Phân loại (gốc) by Claude; colors 'xanh đậm/xanh nhạt' taken from the source name. Yellow Mã sản phẩm = duplicate product names in Product tab or weak match — review. Changes 2026-09-30: removed Quy cách column; deduplicated on Mã sản phẩm + Kích cỡ + Màu sắc + Dung tích (555→430 rows; merged source rows listed in Dòng nguồn); dropped pack-only blank rows for products with real variants; trimmed extra spaces. Standardized 2026-09-30: dimensions without spaces and with units on every side (e.g. 3mmx75mm, 10cmx10cmx0.5cm); bare catheter/Silbroncho sizes → Fr, other bare sizes → 'Số N'; ∅→Ø; volume units ml/g/L (cc→ml, lít→L); new column Kiểu/Mẫu for style/side/model (Vớ gối/đùi, Bên phải/trái, Mẫu 7805/7806, Hỗn hợp 4 size).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tc={F26F9F79-970F-47BE-9E1B-A9B6E5807E38}</author>
    <author>tc={2F5D94EA-6A60-474B-B6BA-2BF10AE3C954}</author>
    <author>Administrator</author>
  </authors>
  <commentList>
    <comment ref="A1" authorId="0" shapeId="0" xr:uid="{F26F9F79-970F-47BE-9E1B-A9B6E5807E38}">
      <text>
        <t>[Threaded comment]
Your version of Excel allows you to read this threaded comment; however, any edits to it will get removed if the file is opened in a newer version of Excel. Learn more: https://go.microsoft.com/fwlink/?linkid=870924
Comment:
    Source: Merinco-Product - Draft.xlsx, sheet 'Product-Basic Info' (retail_units.csv shared by the Draft workbook's Excel session), 555 rows, retrieved 2026-09-30. Uploaded file / shared file; not a query. One row per sellable unit = variant + packaging; duplicates (same Mã biến thể + Quy cách + Đơn vị bán lẻ) merged → 457 rows, merged source rows listed in Dòng nguồn. Mã biến thể assigned by matching Dòng nguồn to 'Product Variant'. Yellow = unit/packaging missing in source.</t>
      </text>
    </comment>
    <comment ref="J1" authorId="1" shapeId="0" xr:uid="{2F5D94EA-6A60-474B-B6BA-2BF10AE3C954}">
      <text>
        <t>[Threaded comment]
Your version of Excel allows you to read this threaded comment; however, any edits to it will get removed if the file is opened in a newer version of Excel. Learn more: https://go.microsoft.com/fwlink/?linkid=870924
Comment:
    Source: Merinco-Product - Draft.xlsx, sheet 'Product' A2:Y559 (col G 'Giá', col E 'Giá sản phẩm'), 558 rows, shared as prices.csv by the Draft workbook's Excel session, 2026-09-30. Matched to Sellable Unit through 'Product-Basic Info' row (Dòng nguồn). Rule: use Giá (variant price) if present, else Giá sản phẩm (product price). Yellow = no price, or several different prices in merged source rows — please check. 'khớp theo tên' = matched on unique product name only.</t>
      </text>
    </comment>
    <comment ref="J437" authorId="2" shapeId="0" xr:uid="{9DFD20B8-7B11-45CE-9A26-8281A4276524}">
      <text>
        <r>
          <rPr>
            <b/>
            <sz val="9"/>
            <color indexed="81"/>
            <rFont val="Tahoma"/>
          </rPr>
          <t>Administrator:</t>
        </r>
        <r>
          <rPr>
            <sz val="9"/>
            <color indexed="81"/>
            <rFont val="Tahoma"/>
          </rPr>
          <t xml:space="preserve">
Source: Merinco website (official), retrieved 2026-09-30, listing 'Băng keo cố định kim luồn không thấm nước không gạc Adflex - IV 5.1cmx6cm' 5,000₫, https://merinco.com.vn/collections/dung-cu-so-cuu?page=4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tc={79951791-E147-4BD5-B15A-C851B23A27D6}</author>
  </authors>
  <commentList>
    <comment ref="A1" authorId="0" shapeId="0" xr:uid="{79951791-E147-4BD5-B15A-C851B23A27D6}">
      <text>
        <t>[Threaded comment]
Your version of Excel allows you to read this threaded comment; however, any edits to it will get removed if the file is opened in a newer version of Excel. Learn more: https://go.microsoft.com/fwlink/?linkid=870924
Comment:
    Source: gift/“tặng kèm” text found in 'Sellable Unit' Quy cách and Tên sản phẩm (nguồn) (from Merinco-Product - Draft.xlsx), extracted 2026-09-30; row numbers in column O. One row per gift line; CAMP-003 has 2 gift lines. Yellow: H2 (SPO2 meter — 00178 iMedicare or 00184 Jumper?), H3 (Mặt nạ thở oxy assumed PRODUCT-00114 Bornsun), L:M dates to fill.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tc={8C78694C-5479-435A-A547-54E70460DA92}</author>
    <author>tc={3530838E-0362-4C8E-B9DF-8F35AD736D64}</author>
    <author>tc={1259B1D4-C491-4CFA-96D5-B79FBD7C8BB4}</author>
    <author>tc={AB29BE5A-5A42-47EB-9630-C285015F2CD4}</author>
    <author>tc={9DFCD1CF-6195-4CB8-B7C5-2E2C936A4524}</author>
    <author>tc={991CA1EF-81E5-4556-8236-B46C6F924A37}</author>
    <author>tc={0AEA4D66-9531-46A6-AF0D-39DECF666F6C}</author>
    <author>tc={005EC4A4-1933-45CD-AF0E-30E86DE9D5B4}</author>
    <author>tc={ABF313FC-369E-435C-9FE2-1FEB794B96C4}</author>
    <author>tc={EB79278F-1B94-4470-B053-C43E21538975}</author>
    <author>tc={2B97D785-A7FC-4B2D-8D7A-76B80A1C17E4}</author>
    <author>tc={B661E62A-113B-423C-81B2-7DB66352BEFE}</author>
    <author>tc={CFE7FCCA-42D3-419B-903E-0A7378941E0C}</author>
    <author>tc={8317EB04-53E4-4C7F-B3BD-F154088E31EC}</author>
    <author>tc={65106869-57A9-4831-B43D-0B0185519640}</author>
    <author>tc={DC1A8988-E455-4BDB-88C1-64F976D96978}</author>
    <author>tc={4EC594C7-78F0-46C4-8800-87E6E09B9B72}</author>
    <author>tc={144E7316-F75A-4BE0-B518-D504BCDFD451}</author>
    <author>tc={42527FF3-9BDD-4BB9-90A5-85944229F867}</author>
    <author>tc={3FA422F7-E6CA-4DCA-9329-21CB911B4703}</author>
    <author>tc={F2C49C78-0F31-44BF-B8DB-885E2503CBCC}</author>
    <author>tc={382F3B3E-45FF-46CB-8C51-0D3282C5E4F7}</author>
    <author>tc={0C6501F1-A416-4AAF-890C-A0588E0CC6B9}</author>
    <author>tc={B5C5A55B-61F1-4EBD-9E6A-F0481117F057}</author>
    <author>tc={06403664-207F-4DEE-A58F-F3E21AF0154D}</author>
    <author>tc={606F97CE-45B7-46F4-9A65-7C1E7486B180}</author>
    <author>tc={2F81D823-73BE-4F59-9D81-64F64B176137}</author>
    <author>tc={1E575930-F987-4D8F-8F8A-F843ECAE5411}</author>
    <author>tc={0C943626-7CAA-4B04-A640-B715CF9F74D8}</author>
    <author>tc={B1275FDE-2EBA-4FF4-AD79-943A60F3033F}</author>
    <author>tc={A07FF739-5BBE-44ED-9869-FFE72479039D}</author>
    <author>tc={CFC17D60-14A7-4F6F-837B-2583EFD3F8A3}</author>
    <author>tc={BE71D2B4-448B-41E0-942B-E5762D50FF24}</author>
    <author>tc={ED002C91-21BC-4D0F-A26E-7AA8163C1FF0}</author>
    <author>tc={052C0EDA-C3D7-4473-9748-B471837100E6}</author>
    <author>tc={2D84B106-F2B3-49B5-801D-0719301D1F28}</author>
    <author>tc={C41ADB2C-142A-48ED-9AE3-15B7333FD238}</author>
    <author>tc={73975BEF-A427-495C-B793-52E6AF076812}</author>
    <author>tc={3D41DA7E-05B3-42C4-8E5E-503E65496E81}</author>
    <author>tc={8F170DA5-ABD1-484E-B7EE-70B2FA21EB4C}</author>
    <author>tc={4EE31996-4E36-4F56-99C3-A56AB78A9548}</author>
    <author>tc={39D5B964-AE06-4920-B9C5-9126AD3E51CB}</author>
    <author>tc={BFF82937-320B-47DB-ADD4-34FA2F520DD0}</author>
    <author>tc={7326296D-B490-400F-86B8-3B235BD1EE22}</author>
    <author>tc={D75D1B83-B74E-4D89-A5EB-82AA7F514621}</author>
    <author>tc={7073BB20-46F4-4BA4-A2BD-46F3CA2F9127}</author>
    <author>tc={625E654E-E57F-4348-BF00-CFE1EDFDED34}</author>
    <author>tc={ABBADFFA-8998-45B9-82DC-C6F9137F46F6}</author>
    <author>tc={EC712125-CBB1-4B38-A907-1BCA8F400349}</author>
    <author>tc={A5868653-E1E5-4B2A-8449-F3C236645257}</author>
    <author>tc={A254601D-1870-4AFF-B8AC-9F4BB847CD3C}</author>
    <author>tc={8AE94DC3-76EE-4D9B-BBD5-CA5BA7170439}</author>
    <author>tc={FC90EBC2-6D58-41D5-B332-2225B13BF18B}</author>
    <author>tc={1E3F880D-AE0A-41C2-ACA4-B72D994C036B}</author>
    <author>tc={71E76C96-2407-4E27-B60B-3C9B9C71E4F2}</author>
    <author>tc={F88A32D1-7784-4064-84EF-45B9CC10D8F5}</author>
  </authors>
  <commentList>
    <comment ref="I1" authorId="0" shapeId="0" xr:uid="{8C78694C-5479-435A-A547-54E70460DA92}">
      <text>
        <t>[Threaded comment]
Your version of Excel allows you to read this threaded comment; however, any edits to it will get removed if the file is opened in a newer version of Excel. Learn more: https://go.microsoft.com/fwlink/?linkid=870924
Comment:
    Nguồn: kiến thức lâm sàng/sản phẩm phổ biến, tổng hợp bởi Claude – cần dược sĩ/bác sĩ xác nhận trước khi công bố.</t>
      </text>
    </comment>
    <comment ref="H153" authorId="1" shapeId="0" xr:uid="{3530838E-0362-4C8E-B9DF-8F35AD736D64}">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157" authorId="2" shapeId="0" xr:uid="{1259B1D4-C491-4CFA-96D5-B79FBD7C8BB4}">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160" authorId="3" shapeId="0" xr:uid="{AB29BE5A-5A42-47EB-9630-C285015F2CD4}">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163" authorId="4" shapeId="0" xr:uid="{9DFCD1CF-6195-4CB8-B7C5-2E2C936A4524}">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188" authorId="5" shapeId="0" xr:uid="{991CA1EF-81E5-4556-8236-B46C6F924A37}">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192" authorId="6" shapeId="0" xr:uid="{0AEA4D66-9531-46A6-AF0D-39DECF666F6C}">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199" authorId="7" shapeId="0" xr:uid="{005EC4A4-1933-45CD-AF0E-30E86DE9D5B4}">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202" authorId="8" shapeId="0" xr:uid="{ABF313FC-369E-435C-9FE2-1FEB794B96C4}">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206" authorId="9" shapeId="0" xr:uid="{EB79278F-1B94-4470-B053-C43E21538975}">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208" authorId="10" shapeId="0" xr:uid="{2B97D785-A7FC-4B2D-8D7A-76B80A1C17E4}">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06" authorId="11" shapeId="0" xr:uid="{B661E62A-113B-423C-81B2-7DB66352BEFE}">
      <text>
        <t>[Threaded comment]
Your version of Excel allows you to read this threaded comment; however, any edits to it will get removed if the file is opened in a newer version of Excel. Learn more: https://go.microsoft.com/fwlink/?linkid=870924
Comment:
    Source: Laryngeal mask sizing by weight (manufacturer recommendation cited in), https://www.sciencedirect.com/science/article/pii/S1726490114001312 ; https://clinicaltrials.gov/study/NCT04618926</t>
      </text>
    </comment>
    <comment ref="H310" authorId="12" shapeId="0" xr:uid="{CFE7FCCA-42D3-419B-903E-0A7378941E0C}">
      <text>
        <t>[Threaded comment]
Your version of Excel allows you to read this threaded comment; however, any edits to it will get removed if the file is opened in a newer version of Excel. Learn more: https://go.microsoft.com/fwlink/?linkid=870924
Comment:
    Source: Laryngeal mask sizing by weight (manufacturer recommendation cited in), https://www.sciencedirect.com/science/article/pii/S1726490114001312 ; https://clinicaltrials.gov/study/NCT04618926</t>
      </text>
    </comment>
    <comment ref="H314" authorId="13" shapeId="0" xr:uid="{8317EB04-53E4-4C7F-B3BD-F154088E31EC}">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17" authorId="14" shapeId="0" xr:uid="{65106869-57A9-4831-B43D-0B0185519640}">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20" authorId="15" shapeId="0" xr:uid="{DC1A8988-E455-4BDB-88C1-64F976D96978}">
      <text>
        <t>[Threaded comment]
Your version of Excel allows you to read this threaded comment; however, any edits to it will get removed if the file is opened in a newer version of Excel. Learn more: https://go.microsoft.com/fwlink/?linkid=870924
Comment:
    Source: Suction catheter sizing, https://edaochi.com/en/blog/suction-catheter-sizes-types-guide/ ; https://respiratory-therapy.com/department-management/clinical/10-considerations-for-endotracheal-suctioning/</t>
      </text>
    </comment>
    <comment ref="H322" authorId="16" shapeId="0" xr:uid="{4EC594C7-78F0-46C4-8800-87E6E09B9B72}">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326" authorId="17" shapeId="0" xr:uid="{144E7316-F75A-4BE0-B518-D504BCDFD451}">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31" authorId="18" shapeId="0" xr:uid="{42527FF3-9BDD-4BB9-90A5-85944229F867}">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36" authorId="19" shapeId="0" xr:uid="{3FA422F7-E6CA-4DCA-9329-21CB911B4703}">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38" authorId="20" shapeId="0" xr:uid="{F2C49C78-0F31-44BF-B8DB-885E2503CBCC}">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42" authorId="21" shapeId="0" xr:uid="{382F3B3E-45FF-46CB-8C51-0D3282C5E4F7}">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347" authorId="22" shapeId="0" xr:uid="{0C6501F1-A416-4AAF-890C-A0588E0CC6B9}">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49" authorId="23" shapeId="0" xr:uid="{B5C5A55B-61F1-4EBD-9E6A-F0481117F057}">
      <text>
        <t>[Threaded comment]
Your version of Excel allows you to read this threaded comment; however, any edits to it will get removed if the file is opened in a newer version of Excel. Learn more: https://go.microsoft.com/fwlink/?linkid=870924
Comment:
    Source: Suction catheter sizing, https://edaochi.com/en/blog/suction-catheter-sizes-types-guide/ ; https://respiratory-therapy.com/department-management/clinical/10-considerations-for-endotracheal-suctioning/</t>
      </text>
    </comment>
    <comment ref="H351" authorId="24" shapeId="0" xr:uid="{06403664-207F-4DEE-A58F-F3E21AF0154D}">
      <text>
        <t>[Threaded comment]
Your version of Excel allows you to read this threaded comment; however, any edits to it will get removed if the file is opened in a newer version of Excel. Learn more: https://go.microsoft.com/fwlink/?linkid=870924
Comment:
    Source: Suction catheter sizing, https://edaochi.com/en/blog/suction-catheter-sizes-types-guide/ ; https://respiratory-therapy.com/department-management/clinical/10-considerations-for-endotracheal-suctioning/</t>
      </text>
    </comment>
    <comment ref="H356" authorId="25" shapeId="0" xr:uid="{606F97CE-45B7-46F4-9A65-7C1E7486B180}">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72" authorId="26" shapeId="0" xr:uid="{2F81D823-73BE-4F59-9D81-64F64B176137}">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75" authorId="27" shapeId="0" xr:uid="{1E575930-F987-4D8F-8F8A-F843ECAE5411}">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378" authorId="28" shapeId="0" xr:uid="{0C943626-7CAA-4B04-A640-B715CF9F74D8}">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382" authorId="29" shapeId="0" xr:uid="{B1275FDE-2EBA-4FF4-AD79-943A60F3033F}">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87" authorId="30" shapeId="0" xr:uid="{A07FF739-5BBE-44ED-9869-FFE72479039D}">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92" authorId="31" shapeId="0" xr:uid="{CFC17D60-14A7-4F6F-837B-2583EFD3F8A3}">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398" authorId="32" shapeId="0" xr:uid="{BE71D2B4-448B-41E0-942B-E5762D50FF24}">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402" authorId="33" shapeId="0" xr:uid="{ED002C91-21BC-4D0F-A26E-7AA8163C1FF0}">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407" authorId="34" shapeId="0" xr:uid="{052C0EDA-C3D7-4473-9748-B471837100E6}">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430" authorId="35" shapeId="0" xr:uid="{2D84B106-F2B3-49B5-801D-0719301D1F28}">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437" authorId="36" shapeId="0" xr:uid="{C41ADB2C-142A-48ED-9AE3-15B7333FD238}">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442" authorId="37" shapeId="0" xr:uid="{73975BEF-A427-495C-B793-52E6AF076812}">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447" authorId="38" shapeId="0" xr:uid="{3D41DA7E-05B3-42C4-8E5E-503E65496E81}">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452" authorId="39" shapeId="0" xr:uid="{8F170DA5-ABD1-484E-B7EE-70B2FA21EB4C}">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541" authorId="40" shapeId="0" xr:uid="{4EE31996-4E36-4F56-99C3-A56AB78A9548}">
      <text>
        <t>[Threaded comment]
Your version of Excel allows you to read this threaded comment; however, any edits to it will get removed if the file is opened in a newer version of Excel. Learn more: https://go.microsoft.com/fwlink/?linkid=870924
Comment:
    Source: Foley catheter size guide, https://www.backtable.com/shows/urology/tools/foley-catheter-size-guide ; https://www.liberatormedical.com/catheters/catheter-tips-and-guides/intermittent-catheter-sizing-guide/</t>
      </text>
    </comment>
    <comment ref="H548" authorId="41" shapeId="0" xr:uid="{39D5B964-AE06-4920-B9C5-9126AD3E51CB}">
      <text>
        <t>[Threaded comment]
Your version of Excel allows you to read this threaded comment; however, any edits to it will get removed if the file is opened in a newer version of Excel. Learn more: https://go.microsoft.com/fwlink/?linkid=870924
Comment:
    Source: Foley catheter size guide, https://www.backtable.com/shows/urology/tools/foley-catheter-size-guide ; https://www.liberatormedical.com/catheters/catheter-tips-and-guides/intermittent-catheter-sizing-guide/</t>
      </text>
    </comment>
    <comment ref="H553" authorId="42" shapeId="0" xr:uid="{BFF82937-320B-47DB-ADD4-34FA2F520DD0}">
      <text>
        <t>[Threaded comment]
Your version of Excel allows you to read this threaded comment; however, any edits to it will get removed if the file is opened in a newer version of Excel. Learn more: https://go.microsoft.com/fwlink/?linkid=870924
Comment:
    Source: Foley catheter size guide, https://www.backtable.com/shows/urology/tools/foley-catheter-size-guide ; https://www.liberatormedical.com/catheters/catheter-tips-and-guides/intermittent-catheter-sizing-guide/</t>
      </text>
    </comment>
    <comment ref="H558" authorId="43" shapeId="0" xr:uid="{7326296D-B490-400F-86B8-3B235BD1EE22}">
      <text>
        <t>[Threaded comment]
Your version of Excel allows you to read this threaded comment; however, any edits to it will get removed if the file is opened in a newer version of Excel. Learn more: https://go.microsoft.com/fwlink/?linkid=870924
Comment:
    Source: Foley catheter size guide, https://www.backtable.com/shows/urology/tools/foley-catheter-size-guide ; https://www.liberatormedical.com/catheters/catheter-tips-and-guides/intermittent-catheter-sizing-guide/</t>
      </text>
    </comment>
    <comment ref="H566" authorId="44" shapeId="0" xr:uid="{D75D1B83-B74E-4D89-A5EB-82AA7F514621}">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571" authorId="45" shapeId="0" xr:uid="{7073BB20-46F4-4BA4-A2BD-46F3CA2F9127}">
      <text>
        <t>[Threaded comment]
Your version of Excel allows you to read this threaded comment; however, any edits to it will get removed if the file is opened in a newer version of Excel. Learn more: https://go.microsoft.com/fwlink/?linkid=870924
Comment:
    Source: Foley catheter size guide, https://www.backtable.com/shows/urology/tools/foley-catheter-size-guide ; https://www.liberatormedical.com/catheters/catheter-tips-and-guides/intermittent-catheter-sizing-guide/</t>
      </text>
    </comment>
    <comment ref="H574" authorId="46" shapeId="0" xr:uid="{625E654E-E57F-4348-BF00-CFE1EDFDED34}">
      <text>
        <t>[Threaded comment]
Your version of Excel allows you to read this threaded comment; however, any edits to it will get removed if the file is opened in a newer version of Excel. Learn more: https://go.microsoft.com/fwlink/?linkid=870924
Comment:
    Source: Foley catheter size guide, https://www.backtable.com/shows/urology/tools/foley-catheter-size-guide ; https://www.liberatormedical.com/catheters/catheter-tips-and-guides/intermittent-catheter-sizing-guide/</t>
      </text>
    </comment>
    <comment ref="H583" authorId="47" shapeId="0" xr:uid="{ABBADFFA-8998-45B9-82DC-C6F9137F46F6}">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589" authorId="48" shapeId="0" xr:uid="{EC712125-CBB1-4B38-A907-1BCA8F400349}">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594" authorId="49" shapeId="0" xr:uid="{A5868653-E1E5-4B2A-8449-F3C236645257}">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599" authorId="50" shapeId="0" xr:uid="{A254601D-1870-4AFF-B8AC-9F4BB847CD3C}">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609" authorId="51" shapeId="0" xr:uid="{8AE94DC3-76EE-4D9B-BBD5-CA5BA7170439}">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614" authorId="52" shapeId="0" xr:uid="{FC90EBC2-6D58-41D5-B332-2225B13BF18B}">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623" authorId="53" shapeId="0" xr:uid="{1E3F880D-AE0A-41C2-ACA4-B72D994C036B}">
      <text>
        <t>[Threaded comment]
Your version of Excel allows you to read this threaded comment; however, any edits to it will get removed if the file is opened in a newer version of Excel. Learn more: https://go.microsoft.com/fwlink/?linkid=870924
Comment:
    Hướng dẫn chung (kiến thức lâm sàng phổ biến) – cần bác sĩ xác nhận</t>
      </text>
    </comment>
    <comment ref="H806" authorId="54" shapeId="0" xr:uid="{71E76C96-2407-4E27-B60B-3C9B9C71E4F2}">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 ref="H810" authorId="55" shapeId="0" xr:uid="{F88A32D1-7784-4064-84EF-45B9CC10D8F5}">
      <text>
        <t>[Threaded comment]
Your version of Excel allows you to read this threaded comment; however, any edits to it will get removed if the file is opened in a newer version of Excel. Learn more: https://go.microsoft.com/fwlink/?linkid=870924
Comment:
    Nguồn: dữ liệu 'Thông tin bổ sung' trên sheet Product Variant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<sst xmlns="http://schemas.openxmlformats.org/spreadsheetml/2006/main" count="11725" uniqueCount="2769">
  <si>
    <t>GE Healthcare</t>
  </si>
  <si>
    <t>Smiths Medical</t>
  </si>
  <si>
    <t>Anh Quốc</t>
  </si>
  <si>
    <t>MERA</t>
  </si>
  <si>
    <t>Nhật Bản</t>
  </si>
  <si>
    <t>Omron</t>
  </si>
  <si>
    <t>CODY</t>
  </si>
  <si>
    <t>Hàn Quốc</t>
  </si>
  <si>
    <t>iMedicare</t>
  </si>
  <si>
    <t>Frewi</t>
  </si>
  <si>
    <t>Đức</t>
  </si>
  <si>
    <t>3M™</t>
  </si>
  <si>
    <t>Hollister</t>
  </si>
  <si>
    <t>Mỹ</t>
  </si>
  <si>
    <t>Coloplast</t>
  </si>
  <si>
    <t>Đan Mạch</t>
  </si>
  <si>
    <t>Abbott</t>
  </si>
  <si>
    <t>Acon</t>
  </si>
  <si>
    <t>Aveflor</t>
  </si>
  <si>
    <t>Bicakcilar</t>
  </si>
  <si>
    <t>Biotek</t>
  </si>
  <si>
    <t>Bornsun</t>
  </si>
  <si>
    <t>CODY Health</t>
  </si>
  <si>
    <t>ConvaTec</t>
  </si>
  <si>
    <t>Covidien</t>
  </si>
  <si>
    <t>Create Medic</t>
  </si>
  <si>
    <t>Daesang Wellife</t>
  </si>
  <si>
    <t>Dr.Muller Pharma</t>
  </si>
  <si>
    <t>Fortune</t>
  </si>
  <si>
    <t>Fuji System</t>
  </si>
  <si>
    <t>Greetmed</t>
  </si>
  <si>
    <t>HangZhou</t>
  </si>
  <si>
    <t>Hapaku</t>
  </si>
  <si>
    <t>Hoàng Sơn</t>
  </si>
  <si>
    <t>ICM</t>
  </si>
  <si>
    <t>ICU Medical</t>
  </si>
  <si>
    <t>IN4 Care</t>
  </si>
  <si>
    <t>Idealcare</t>
  </si>
  <si>
    <t>Jumper</t>
  </si>
  <si>
    <t>Khác</t>
  </si>
  <si>
    <t>Lepu Medical</t>
  </si>
  <si>
    <t>Lohmann-Rauscher</t>
  </si>
  <si>
    <t>Long-term Health</t>
  </si>
  <si>
    <t>Lucass</t>
  </si>
  <si>
    <t>Medis Medical</t>
  </si>
  <si>
    <t>Meditera</t>
  </si>
  <si>
    <t>Medtronic</t>
  </si>
  <si>
    <t>Mepro</t>
  </si>
  <si>
    <t>Mera Senko</t>
  </si>
  <si>
    <t>Merisocks</t>
  </si>
  <si>
    <t>MiKiDo</t>
  </si>
  <si>
    <t>Nutricia</t>
  </si>
  <si>
    <t>Orbe</t>
  </si>
  <si>
    <t>Ostomy Care</t>
  </si>
  <si>
    <t>Owgels</t>
  </si>
  <si>
    <t>Pharma</t>
  </si>
  <si>
    <t>Pitr Med</t>
  </si>
  <si>
    <t>Profit Royal</t>
  </si>
  <si>
    <t>Rionet</t>
  </si>
  <si>
    <t>Roche</t>
  </si>
  <si>
    <t>SeaSight</t>
  </si>
  <si>
    <t>Sinocare</t>
  </si>
  <si>
    <t>Smiths</t>
  </si>
  <si>
    <t>SungShim</t>
  </si>
  <si>
    <t>Tanaphar</t>
  </si>
  <si>
    <t>Teleflex</t>
  </si>
  <si>
    <t>Terrapharm</t>
  </si>
  <si>
    <t>Timelock</t>
  </si>
  <si>
    <t>Urgo</t>
  </si>
  <si>
    <t>VBM</t>
  </si>
  <si>
    <t>VH Pharma</t>
  </si>
  <si>
    <t>Venosan</t>
  </si>
  <si>
    <t>Vinahankook</t>
  </si>
  <si>
    <t>Vitaltec</t>
  </si>
  <si>
    <t>WaterJet</t>
  </si>
  <si>
    <t>Welford</t>
  </si>
  <si>
    <t>Wonbiogen</t>
  </si>
  <si>
    <t>Yafho</t>
  </si>
  <si>
    <t>Young Chemical Vina</t>
  </si>
  <si>
    <t>Yushin</t>
  </si>
  <si>
    <t>Yuwell</t>
  </si>
  <si>
    <t>Brand Name</t>
  </si>
  <si>
    <t>Country</t>
  </si>
  <si>
    <t>Cộng hòa Séc</t>
  </si>
  <si>
    <t>Thổ Nhĩ Kỳ</t>
  </si>
  <si>
    <t>Trung Quốc</t>
  </si>
  <si>
    <t>Việt Nam</t>
  </si>
  <si>
    <t>Hà Lan</t>
  </si>
  <si>
    <t>Thụy Sĩ</t>
  </si>
  <si>
    <t>Pháp</t>
  </si>
  <si>
    <t>Malaysia</t>
  </si>
  <si>
    <t>Đài Loan</t>
  </si>
  <si>
    <t>Mask thanh quản</t>
  </si>
  <si>
    <t>Máy đo huyết áp</t>
  </si>
  <si>
    <t>Nhiệt kế điện tử</t>
  </si>
  <si>
    <t>Đệm chống lở loét</t>
  </si>
  <si>
    <t>Máy tạo oxy</t>
  </si>
  <si>
    <t>Khẩu trang y tế</t>
  </si>
  <si>
    <t>Máy xông khí dung</t>
  </si>
  <si>
    <t>Máy massage xung điện</t>
  </si>
  <si>
    <t>Ống chẹn thực quản dạ dày</t>
  </si>
  <si>
    <t>Bộ mở thông dạ dày qua da</t>
  </si>
  <si>
    <t>Máy tăm nước</t>
  </si>
  <si>
    <t>Đai lưng cột sống</t>
  </si>
  <si>
    <t>Máy trợ thính</t>
  </si>
  <si>
    <t>Đai chườm thảo dược</t>
  </si>
  <si>
    <t>Sữa dinh dưỡng</t>
  </si>
  <si>
    <t>Túi đựng nước tiểu cột chân có van khóa</t>
  </si>
  <si>
    <t>Bộ mở bàng quang qua da</t>
  </si>
  <si>
    <t>Túi hậu môn nhân tạo 1 mảnh loại trong</t>
  </si>
  <si>
    <t>Dây nuôi ăn đầu nặng silicon</t>
  </si>
  <si>
    <t>Túi hậu môn nhân tạo 1 mảnh loại đục</t>
  </si>
  <si>
    <t>Túi hậu môn nhân tạo 2 mảnh</t>
  </si>
  <si>
    <t>Thụy Điển</t>
  </si>
  <si>
    <t>Singapore</t>
  </si>
  <si>
    <t>Cộng hòa Dominica</t>
  </si>
  <si>
    <t>Mexico</t>
  </si>
  <si>
    <t>Thương hiệu</t>
  </si>
  <si>
    <t>Danh mục</t>
  </si>
  <si>
    <t>Giới thiệu</t>
  </si>
  <si>
    <t>Dây đai cố định ống mở khí quản</t>
  </si>
  <si>
    <t>Làm ẩm mở khí quản (mũi nhân tạo)</t>
  </si>
  <si>
    <t>Tên sản phẩm (rút gọn)</t>
  </si>
  <si>
    <t>[Young Chemical Vina] Băng keo cá nhân màu da - Ace-band ∅22mm</t>
  </si>
  <si>
    <t>[Young Chemical Vina] Băng keo cá nhân hộp thiếc - Pororo</t>
  </si>
  <si>
    <t>[CODY Health] Băng thun bảo vệ đầu gối</t>
  </si>
  <si>
    <t>[Abbott] Bộ cảm biến đo đường huyết - FreeStyle Libre Flash Glucose Monitoring Sensor</t>
  </si>
  <si>
    <t>[Medtronic] Bộ dụng cụ gắn cảm biến đo đường huyết liên tục - One-Press Serter</t>
  </si>
  <si>
    <t>[Medtronic] Bộ dụng cụ gắn cổng tiêm insulin - Quick-Serter</t>
  </si>
  <si>
    <t>Bộ gạc xốp phủ vết thương điều trị áp lực âm kèm chức năng rửa - MJ-03</t>
  </si>
  <si>
    <t>[3M™] Bộ gạc xốp phủ vết thương điều trị áp lực âm VAC kèm chức năng rửa - Veraflo™</t>
  </si>
  <si>
    <t>[Yushin] Bộ mở bàng quang qua da - Suprapubic Catheter Set</t>
  </si>
  <si>
    <t>[SeaSight] Bộ mở dạ dày qua da</t>
  </si>
  <si>
    <t>[Smiths] Bộ mở khí quản cấp cứu - PCK</t>
  </si>
  <si>
    <t>[Smiths] Bộ mở khí quản nhanh - Portex® Mini-Trach® II</t>
  </si>
  <si>
    <t>[ICU Medical] Bộ mở khí quản nhanh qua da - PORTEX Percutaneous Dilation Tracheostomy Kit</t>
  </si>
  <si>
    <t>[Create Medic] Bộ mở thông dạ dày qua da - Cliny</t>
  </si>
  <si>
    <t>[Fortune] Bộ mở thông dạ dày qua da</t>
  </si>
  <si>
    <t>[Create Medic] Bộ ống thông tiểu ngắt quãng silicon - Cliny</t>
  </si>
  <si>
    <t>[Hollister] Bộ túi hậu môn nhân tạo 2 mảnh - Kẹp rời</t>
  </si>
  <si>
    <t>[Hollister] Bộ túi hậu môn nhân tạo 2 mảnh - Khóa cuộn</t>
  </si>
  <si>
    <t>[Mepro] Bộ túi hậu môn nhân tạo 2 mảnh - Kẹp rời</t>
  </si>
  <si>
    <t>[Mepro] Bộ túi hậu môn nhân tạo 2 mảnh - Khóa cuộn</t>
  </si>
  <si>
    <t>[Ostomy Care] Bộ túi hậu môn nhân tạo 2 mảnh - Khóa cuộn</t>
  </si>
  <si>
    <t>[Vinahankook] Bơm tiêm insulin sử dụng 1 lần - 1ml U100</t>
  </si>
  <si>
    <t>[Mepro] Bông tẩm cồn sát trùng - Alcohol Swab</t>
  </si>
  <si>
    <t>[Tanaphar] Bông tẩm cồn tiệt trùng - Alcohol Swab</t>
  </si>
  <si>
    <t>[Medtronic] Cảm biến hệ thống đo đường huyết liên tục CGM - Guardian™ Sensor 3</t>
  </si>
  <si>
    <t>[Omron] Cân sức khỏe điện tử - HN-289</t>
  </si>
  <si>
    <t>[Lepu Medical] Catheter chạy thận nhân tạo 2 nòng, đầu thẳng</t>
  </si>
  <si>
    <t>[Lepu Medical] Catheter chạy thận nhân tạo 3 nòng, đầu thẳng</t>
  </si>
  <si>
    <t>[Smiths] Cây nòng đặt nội khí quản khó - Bougie</t>
  </si>
  <si>
    <t>[Idealcare] Cây nòng đặt nội khí quản thường - Stylet</t>
  </si>
  <si>
    <t>[Hollister] Chai xịt tẩy chất keo - 7737</t>
  </si>
  <si>
    <t>[Orbe] Đai chống gù lưng</t>
  </si>
  <si>
    <t>[Hapaku] Đai chườm thảo dược bàn chân làm nóng bằng điện</t>
  </si>
  <si>
    <t>[Hapaku] Đai chườm thảo dược lưng bụng làm nóng bằng điện</t>
  </si>
  <si>
    <t>[CODY Health] Đai đầu gối tập luyện thể thao</t>
  </si>
  <si>
    <t>[Merisocks] Đai hỗ trợ đầu gối</t>
  </si>
  <si>
    <t>[CODY Health] Đai lưng cố định cột sống</t>
  </si>
  <si>
    <t>[Orbe] Đai thắt lưng cột sống cao cấp - Olumba</t>
  </si>
  <si>
    <t>[Hoàng Sơn] Dây hút đàm nhớt có kiểm soát</t>
  </si>
  <si>
    <t>[Hoàng Sơn] Dây hút đàm nhớt không kiểm soát</t>
  </si>
  <si>
    <t>[Hollister] Dây nịt đeo túi hậu môn nhân tạo - 7300</t>
  </si>
  <si>
    <t>[SeaSight] Dây nuôi ăn mũi - dạ dày silicone dài ngày</t>
  </si>
  <si>
    <t>[Bornsun] Dây thở oxy 2 nhánh</t>
  </si>
  <si>
    <t>[Welford] Dây truyền dịch đếm giọt - WELCARE IF6006</t>
  </si>
  <si>
    <t>[Medtronic] Dây truyền insulin - Paradigm Quick Set Infusion</t>
  </si>
  <si>
    <t>[Mepro] Dây xông dạ dày nuôi ăn silicone 30 ngày</t>
  </si>
  <si>
    <t>[Hollister] Đế lồi túi hậu môn nhân tạo 2 mảnh</t>
  </si>
  <si>
    <t>[Hollister] Đế rời túi hậu môn nhân tạo 2 mảnh</t>
  </si>
  <si>
    <t>[SeaSight] Đế rời túi hậu môn nhân tạo 2 mảnh không viền vải</t>
  </si>
  <si>
    <t>[Mepro] Đế rời túi hậu môn nhân tạo 2 mảnh viền vải không dệt</t>
  </si>
  <si>
    <t>[Ostomy Care] Đế rời túi hậu môn nhân tạo 2 mảnh viền vải không dệt</t>
  </si>
  <si>
    <t>[iMedicare] Đệm hơi chống lở loét - iAM-8P</t>
  </si>
  <si>
    <t>[Lucass] Đệm hơi chống lở loét - LC-389</t>
  </si>
  <si>
    <t>[Smiths] Đồng hồ đo áp lực bóng</t>
  </si>
  <si>
    <t>[Hollister] Dụng cụ cố định ống nội khí quản chống cắn - AnchorFast 9800</t>
  </si>
  <si>
    <t>[Yafho] Dụng cụ cố định ống nội khí quản chống cắn</t>
  </si>
  <si>
    <t>[Yafho] Dụng cụ cố định ống nội khí quản</t>
  </si>
  <si>
    <t>[Pitr Med] Dụng cụ hỗ trợ đi tiểu nam (bộ chụp tiểu silicon)</t>
  </si>
  <si>
    <t>[SeaSight] Dụng cụ tập thở phế dung kế - 5000ml</t>
  </si>
  <si>
    <t>[Bicakcilar] Dụng cụ tập thở phế dung kế - B-SPIRO 5000</t>
  </si>
  <si>
    <t>[Wonbiogen] Gel kháng khuẩn vết thương - SurgiGel</t>
  </si>
  <si>
    <t>[Bornsun] Hệ thống dẫn lưu phân</t>
  </si>
  <si>
    <t>[Sinocare] Hệ thống đo đường huyết liên tục CGM - iCan i3</t>
  </si>
  <si>
    <t>[Medtronic] Hệ thống đo đường huyết liên tục CGM - GUARDIAN™ CONNECT</t>
  </si>
  <si>
    <t>Keo cong cắt đế hậu môn nhân tạo</t>
  </si>
  <si>
    <t>[Profit Royal] Khẩu trang y tế N95 sợi Nanofiber - Nask</t>
  </si>
  <si>
    <t>[Hollister] Khóa kẹp túi hậu môn nhân tạo - 8770</t>
  </si>
  <si>
    <t>[Sinocare] Kim chích máu - Sinodraw</t>
  </si>
  <si>
    <t>[Pharma] Làm ẩm mở khí quản (mũi nhân tạo)</t>
  </si>
  <si>
    <t>[Meditera] Làm ẩm mở khí quản (mũi nhân tạo)</t>
  </si>
  <si>
    <t>[Biotek] Mask thanh quản 1 nòng - Laryngeal Mask Airway</t>
  </si>
  <si>
    <t>[HangZhou] Mask thanh quản 1 nòng dùng 1 lần</t>
  </si>
  <si>
    <t>[Biotek] Mask thanh quản 2 nòng - Laryngeal Mask Airway</t>
  </si>
  <si>
    <t>[Bornsun] Mặt nạ thở oxy</t>
  </si>
  <si>
    <t>Mặt nạ xông hơi mắt ngải cứu - Mugwort Steam Eyes Mask</t>
  </si>
  <si>
    <t>[Bornsun] Mặt nạ xông khí dung</t>
  </si>
  <si>
    <t>[Medtronic] Máy bơm insulin tự động - MiniMed 640G Black MMOL</t>
  </si>
  <si>
    <t>[Medtronic] Máy bơm insulin tự động - MiniMed Paradigm 715</t>
  </si>
  <si>
    <t>[Covidien] Máy bơm thức ăn - Kangaroo ePump™</t>
  </si>
  <si>
    <t>[Omron] Máy cân đo chỉ số cơ thể - BodySCAN™ HBF-224</t>
  </si>
  <si>
    <t>[Roche] Máy đo đường huyết - Accu-Chek Instant</t>
  </si>
  <si>
    <t>[Abbott] Máy đo đường huyết liên tục - FreeStyle Libre 2</t>
  </si>
  <si>
    <t>[Acon] Máy đo đường huyết - On Call Plus</t>
  </si>
  <si>
    <t>[Sinocare] Máy đo đường huyết - Safe-Accu</t>
  </si>
  <si>
    <t>[IN4 Care] Máy đo đường huyết, mỡ máu, gút 3 trong 1 - GlucoAlpha</t>
  </si>
  <si>
    <t>[iMedicare] Máy đo huyết áp bắp tay - iBPM-6S</t>
  </si>
  <si>
    <t>[Omron] Máy đo huyết áp bắp tay kết nối Bluetooth - HEM-7156T</t>
  </si>
  <si>
    <t>[Omron] Máy đo huyết áp bắp tay - JPN600</t>
  </si>
  <si>
    <t>[Omron] Máy đo huyết áp bắp tay - JPN750</t>
  </si>
  <si>
    <t>[Omron] Máy đo huyết áp bắp tay tự động - HEM-7156</t>
  </si>
  <si>
    <t>[Omron] Máy đo huyết áp tự động - HEM-7180 (EZ Lite)</t>
  </si>
  <si>
    <t>[Omron] Máy đo huyết áp tự động kết nối Bluetooth - HEM-7142T1</t>
  </si>
  <si>
    <t>[Omron] Máy đo huyết áp tự động kết nối Bluetooth - HEM-7142T2</t>
  </si>
  <si>
    <t>[Omron] Máy đo huyết áp tự động kết nối Bluetooth - HEM-7143T1</t>
  </si>
  <si>
    <t>[Jumper] Máy đo nồng độ oxy trong máu và nhịp tim SPO2 - JPD-500D</t>
  </si>
  <si>
    <t>[iMedicare] Máy đo SPO2 - iOM-A6</t>
  </si>
  <si>
    <t>[Omron] Máy đo thành phần cơ thể - HBF-375</t>
  </si>
  <si>
    <t>[Jumper] Máy đo tim thai cá nhân - Cody Health JPD-100E</t>
  </si>
  <si>
    <t>[Yuwell] Máy hút dịch 1 bình - 7E-A</t>
  </si>
  <si>
    <t>Máy hút dịch áp lực âm VAC - MJ-100</t>
  </si>
  <si>
    <t>[Omron] Máy massage xung điện trị liệu - HV-F013</t>
  </si>
  <si>
    <t>[Omron] Máy massage xung điện trị liệu - HV-F127</t>
  </si>
  <si>
    <t>[Omron] Máy massage xung điện trị liệu - HV-F128</t>
  </si>
  <si>
    <t>[WaterJet] Máy tăm nước - Cordless Maxi</t>
  </si>
  <si>
    <t>[iMedicare] Máy tạo oxy 5 lít - OC-5LH</t>
  </si>
  <si>
    <t>[Owgels] Máy tạo oxy 10 lít có xông khí dung - OZ-5-01GW0-10L</t>
  </si>
  <si>
    <t>[Owgels] Máy tạo oxy 5 lít có xông khí dung - OZ-501PW0</t>
  </si>
  <si>
    <t>[Owgels] Máy tạo oxy 5 lít có xông khí dung - OZ-501TW0</t>
  </si>
  <si>
    <t>[Rionet] Máy trợ thính có dây đeo - HA-20DX</t>
  </si>
  <si>
    <t>[Rionet] Máy trợ thính không dây - HB-23P</t>
  </si>
  <si>
    <t>[Rionet] Máy trợ thính không dây thông minh - HM-06</t>
  </si>
  <si>
    <t>[Owgels] Máy trợ thở 2 chiều BiPAP - OGH-520C</t>
  </si>
  <si>
    <t>[Owgels] Máy trợ thở Auto CPAP - OGH-520A</t>
  </si>
  <si>
    <t>[Omron] Máy xông khí dung - NE-C101</t>
  </si>
  <si>
    <t>[Omron] Máy xông khí dung - NE-C106</t>
  </si>
  <si>
    <t>[Omron] Máy xông khí dung - NE-C28</t>
  </si>
  <si>
    <t>[Omron] Miếng dán điện cực máy massage xung điện - Long Life Pad HV-LLPAD-C1</t>
  </si>
  <si>
    <t>[Omron] Nhiệt kế điện tử đo trán - MC-720</t>
  </si>
  <si>
    <t>[Omron] Nhiệt kế điện tử - MC-246</t>
  </si>
  <si>
    <t>[iMedicare] Nhiệt kế hồng ngoại - iTM-32A</t>
  </si>
  <si>
    <t>[Mera Senko] Nòng trong ống mở khí quản không cửa sổ - Sofit Canula</t>
  </si>
  <si>
    <t>[Mera Senko] Nòng trong ống mở khí quản có cửa sổ - Sofit Canula</t>
  </si>
  <si>
    <t>[Covidien] Nòng trong ống mở khí quản - Shiley SIC</t>
  </si>
  <si>
    <t>[Fuji System] Ống chẹn phế quản cô lập phổi - Uniblocker</t>
  </si>
  <si>
    <t>[Teleflex] Ống chẹn thực quản, dạ dày - Sengstaken-Blakemore Tube</t>
  </si>
  <si>
    <t>[Mera Senko] Ống mở khí quản 2 nòng có bóng kèm ống hút trên bóng - Sofit D-CS</t>
  </si>
  <si>
    <t>[Mera Senko] Ống mở khí quản 2 nòng có bóng - Sofit D-C</t>
  </si>
  <si>
    <t>[Covidien] Ống mở khí quản 2 nòng có bóng - Shiley LPC</t>
  </si>
  <si>
    <t>[Mera Senko] Ống mở khí quản 2 nòng có bóng, có cửa sổ kèm ống hút trên bóng - Sofit D-CFS</t>
  </si>
  <si>
    <t>[Mera Senko] Ống mở khí quản 2 nòng có bóng, có cửa sổ - Sofit D-CF</t>
  </si>
  <si>
    <t>[Vitaltec] Ống mở khí quản 2 nòng có bóng, có cửa sổ - Rota-Trach</t>
  </si>
  <si>
    <t>[Covidien] Ống mở khí quản 2 nòng có bóng, có cửa sổ - Shiley FEN</t>
  </si>
  <si>
    <t>[Vitaltec] Ống mở khí quản 2 nòng có bóng, không cửa sổ - Rota-Trach</t>
  </si>
  <si>
    <t>[Mera Senko] Ống mở khí quản 2 nòng không bóng - Sofit D-NC</t>
  </si>
  <si>
    <t>[Mera Senko] Ống mở khí quản 2 nòng không bóng, có cửa sổ - Sofit D-F</t>
  </si>
  <si>
    <t>[Vitaltec] Ống mở khí quản 2 nòng không bóng, có cửa sổ - Rota-Trach</t>
  </si>
  <si>
    <t>[Covidien] Ống mở khí quản 2 nòng không bóng, có cửa sổ - Shiley CFN</t>
  </si>
  <si>
    <t>[Vitaltec] Ống mở khí quản 2 nòng không bóng, không cửa sổ - Rota-Trach</t>
  </si>
  <si>
    <t>[Fuji System] Ống nội khí quản 2 nòng - Silbroncho (Carlens)</t>
  </si>
  <si>
    <t>[Medis Medical] Ống nội khí quản có bóng kèm van đo áp lực bóng - Cuff-Safe® AccuCuff</t>
  </si>
  <si>
    <t>[Medis Medical] Ống nội khí quản có hút trên bóng kèm van đo áp lực bóng - AccuCuff</t>
  </si>
  <si>
    <t>[Smiths] Ống nội khí quản có ống hút trên bóng - Portex SACETT</t>
  </si>
  <si>
    <t>[Fuji System] Ống nội khí quản tích hợp sẵn ống chặn phổi - Univent™</t>
  </si>
  <si>
    <t>[Covidien] Ống thông dạ dày nuôi ăn 29 ngày - Kangaroo</t>
  </si>
  <si>
    <t>[Yushin] Ống thông tiểu ngắt quãng silicon</t>
  </si>
  <si>
    <t>[Fuji System] Ống thông tiểu ngắt quãng silicone - Selfcath</t>
  </si>
  <si>
    <t>[Idealcare] Ống thông tiểu Foley silicon 2 nhánh dài ngày</t>
  </si>
  <si>
    <t>[Mepro] Ống thông tiểu Foley silicon 2 nhánh dài ngày</t>
  </si>
  <si>
    <t>[Yushin] Ống thông tiểu Foley silicon 2 nhánh dài ngày</t>
  </si>
  <si>
    <t>[Idealcare] Ống thông tiểu Foley silicon 3 nhánh dài ngày</t>
  </si>
  <si>
    <t>[Greetmed] Phao chống loét cao su</t>
  </si>
  <si>
    <t>[Meditera] Phin lọc máy thở 3 chức năng - HME</t>
  </si>
  <si>
    <t>[Roche] Que thử đường huyết - Accu-Chek Instant</t>
  </si>
  <si>
    <t>[IN4 Care] Que thử axit uric (gút) cho máy 3 trong 1 - GlucoAlpha</t>
  </si>
  <si>
    <t>[IN4 Care] Que thử cholesterol cho máy 3 trong 1 - GlucoAlpha</t>
  </si>
  <si>
    <t>[IN4 Care] Que thử đường huyết cho máy 3 trong 1 - GlucoAlpha</t>
  </si>
  <si>
    <t>[Acon] Que thử đường huyết - On Call Plus</t>
  </si>
  <si>
    <t>[Sinocare] Que thử đường huyết - Safe-Accu</t>
  </si>
  <si>
    <t>[Welford] Túi đựng nước tiểu có van khóa - i-CARE</t>
  </si>
  <si>
    <t>[MiKiDo] Túi hậu môn nhân tạo 1 mảnh cho trẻ em</t>
  </si>
  <si>
    <t>[Mepro] Túi hậu môn nhân tạo 1 mảnh - Kẹp rời</t>
  </si>
  <si>
    <t>[Ostomy Care] Túi hậu môn nhân tạo 1 mảnh - Khóa kẹp</t>
  </si>
  <si>
    <t>[Mepro] Túi hậu môn nhân tạo 2 mảnh - Kẹp rời</t>
  </si>
  <si>
    <t>[Mepro] Túi hậu môn nhân tạo 2 mảnh - Khóa cuộn</t>
  </si>
  <si>
    <t>[Hollister] Túi hậu môn nhân tạo cho trẻ sơ sinh - 3778</t>
  </si>
  <si>
    <t>[Hollister] Túi hậu môn nhân tạo 1 mảnh - 8631</t>
  </si>
  <si>
    <t>[Ostomy Care] Túi hậu môn nhân tạo 1 mảnh - Khóa dán liền</t>
  </si>
  <si>
    <t>[ConvaTec] Túi hậu môn nhân tạo 1 mảnh trong suốt - ActiveLife 22771</t>
  </si>
  <si>
    <t>[ConvaTec] Túi hậu môn nhân tạo 1 mảnh loại đục</t>
  </si>
  <si>
    <t>[ConvaTec] Túi hậu môn nhân tạo 1 mảnh trong suốt</t>
  </si>
  <si>
    <t>[Hollister] Túi hậu môn nhân tạo 2 mảnh có bộ lọc khử mùi xả khí</t>
  </si>
  <si>
    <t>[Hollister] Túi hậu môn nhân tạo 2 mảnh dùng kèm đế rời</t>
  </si>
  <si>
    <t>[Ostomy Care] Túi hậu môn nhân tạo 2 mảnh - Khóa dán liền</t>
  </si>
  <si>
    <t>[Hollister] Túi nước tiểu nhân tạo 1 mảnh - 8460</t>
  </si>
  <si>
    <t>[SeaSight] Túi nước tiểu nhân tạo 1 mảnh</t>
  </si>
  <si>
    <t>[Mera Senko] Van tập nói - Sofit</t>
  </si>
  <si>
    <t>[CODY Health] Vớ đùi y khoa giãn tĩnh mạch có silicone chống trượt</t>
  </si>
  <si>
    <t>[CODY Health] Vớ gối y khoa giãn tĩnh mạch</t>
  </si>
  <si>
    <t>[Merisocks] Vớ nén bắp chân chống suy giãn tĩnh mạch</t>
  </si>
  <si>
    <t>[Venosan] Vớ y khoa hỗ trợ điều trị suy giãn tĩnh mạch - Venosan 6000</t>
  </si>
  <si>
    <t>[Bornsun] Xông hút đờm kín</t>
  </si>
  <si>
    <t>[Fortune] Xông nuôi ăn silicone dài ngày</t>
  </si>
  <si>
    <t>Túi nước tiểu nhân tạo</t>
  </si>
  <si>
    <t>Hậu môn nhân tạo</t>
  </si>
  <si>
    <t>Miếng dán khép miệng vết thương</t>
  </si>
  <si>
    <t>Thiết bị theo dõi sức khỏe</t>
  </si>
  <si>
    <t>Xịt lạnh giảm đau</t>
  </si>
  <si>
    <t>Máy bơm thức ăn</t>
  </si>
  <si>
    <t>Máy đo tim thai</t>
  </si>
  <si>
    <t>Catheter chạy thận</t>
  </si>
  <si>
    <t>Phao chống loét cao su Greetmed (Ø30cm, van đồng) nâng đỡ và phân tán áp lực lên vùng mông, hông, lưng, giúp phòng ngừa và hỗ trợ điều trị loét tì đè. Phù hợp cho người phải nằm hoặc ngồi lâu, dùng tại nhà hoặc cơ sở y tế.</t>
  </si>
  <si>
    <t>Đệm hơi chống lở loét iMedicare iAM-8P giúp phòng ngừa và hỗ trợ điều trị lở loét cho người nằm lâu như bệnh nhân liệt, bỏng, gãy xương, sau phẫu thuật, người cao tuổi. Bơm điện chạy êm, đệm dễ gấp gọn, vệ sinh; đạt tiêu chuẩn CE.</t>
  </si>
  <si>
    <t>Đệm hơi chống lở loét Lucass LC-389 giúp phòng ngừa và hỗ trợ điều trị lở loét cho người nằm lâu như bệnh nhân liệt, bỏng, gãy xương, sau phẫu thuật, người cao tuổi. Bơm điện chạy êm, đệm dễ di chuyển, gấp gọn và vệ sinh.</t>
  </si>
  <si>
    <t>Máy trợ thính có dây Rionet HA-20DX khuếch đại âm thanh cho người nghe kém, lãng tai, đặc biệt là người cao tuổi. Nút bấm lớn dễ dùng, 10 mức âm lượng, 3 chế độ âm thanh có lọc tạp âm, dùng pin AA.</t>
  </si>
  <si>
    <t>Máy trợ thính không dây Rionet HB-23P dạng móc vành tai, màu da kín đáo, hỗ trợ người lãng tai, nghe kém ở mọi lứa tuổi. Âm thanh rõ, có lọc ồn, chỉ 2 nút điều khiển nên dễ sử dụng.</t>
  </si>
  <si>
    <t>Máy trợ thính kỹ thuật số Rionet HM-06 siêu nhỏ, đeo trong tai kín đáo và thoải mái khi đeo lâu. Lọc âm và giảm ồn hiệu quả, âm thanh tự nhiên; phù hợp người trẻ, trung niên, dân văn phòng.</t>
  </si>
  <si>
    <t>Máy tăm nước không dây WaterJet Cordless Maxi làm sạch kẽ răng, khe nướu và vùng khó chải, giúp ngừa viêm nướu. Áp lực 40–90 PSI với 4 chế độ, bình chứa lớn; phù hợp người niềng răng, implant, bọc sứ, nướu nhạy cảm.</t>
  </si>
  <si>
    <t>Miếng dán mụn Somaderm Spot chứa hydrocolloid giúp hút dịch mủ, nhân mụn, kháng khuẩn và hạn chế sẹo thâm. Miếng tròn nhỏ, cùng màu da, chống nước, dùng được cho mọi loại da.</t>
  </si>
  <si>
    <t>Miếng dán mụn Somaderm-Thin chứa hydrocolloid giúp hút dịch mủ, nhân mụn, giữ ẩm và hạn chế thâm sẹo. Miếng tròn siêu mỏng, cùng màu da, ít kích ứng, dùng được cho da nhạy cảm.</t>
  </si>
  <si>
    <t>Mặt nạ xông hơi mắt ngải cứu tự sinh nhiệt khoảng 40°C khi mở, giúp thư giãn mắt, giảm mỏi mắt và quầng thâm, hỗ trợ ngủ ngon. Phù hợp người thường dùng máy tính, đọc sách, thức khuya, mất ngủ.</t>
  </si>
  <si>
    <t>Bộ gạc xốp 3M™ Veraflo™ dùng kèm máy hút áp lực âm VAC có chức năng rửa, điều trị vết thương mạn tính, khó lành. Hệ thống khép kín giúp rửa, dẫn lưu dịch, giữ ẩm và kích thích mô hạt phát triển.</t>
  </si>
  <si>
    <t>Miếng dán 3M™ Steri-Strip™ thay chỉ khâu hoặc kim bấm da, giúp khép miệng vết thương sau phẫu thuật, tiểu phẫu hoặc vết rách do chấn thương. Không xâm lấn, thao tác dễ, hạn chế giãn sẹo.</t>
  </si>
  <si>
    <t>Xịt 3M™ Cavilon tạo màng phim bán thấm bảo vệ da khỏi nước tiểu, phân và dịch tiết, giúp ngừa hăm, loét da. Dùng cho người bài tiết không tự chủ, loét tì đè, vùng da quanh hậu môn nhân tạo; tác dụng đến 72 giờ.</t>
  </si>
  <si>
    <t>Băng dán hydrocolloid DuoDerm Extra Thin (10x10cm) cho vết thương tiết dịch ít đến trung bình, tạo môi trường ẩm giúp mau lành và hạn chế sẹo. Không dính vết thương khi tháo, chống nước tốt, lưu băng đến 7 ngày.</t>
  </si>
  <si>
    <t>Gel Okuskin (Cộng hòa Séc) giúp vết thương hở mau lành, tái tạo da, hạn chế sẹo và thâm. Dùng cho bỏng, trầy xước, nứt da, vết mổ; chiết xuất thảo dược, được nhiều bệnh viện lớn sử dụng.</t>
  </si>
  <si>
    <t>Dung dịch sát khuẩn Berbemed 150ml kết hợp Berberin và Nano bạc, làm sạch và kháng khuẩn nhanh cho vết thương, vết loét, vết bỏng, trầy xước. Không đau xót, giúp vết thương giảm tiết dịch, mau lành và hạn chế sẹo.</t>
  </si>
  <si>
    <t>Bông tẩm cồn Mepro Alcohol Swab dùng sát khuẩn da trước khi tiêm hoặc thử đường huyết, giúp giảm nguy cơ nhiễm khuẩn. Tiện lợi cho bệnh viện, phòng khám và tủ thuốc gia đình.</t>
  </si>
  <si>
    <t>Gạc xốp polyurethane Seasight viền silicone giúp phòng ngừa và hỗ trợ điều trị loét tì đè ở gót chân, mông, khuỷu tay, xương cụt. Thấm hút dịch tốt, giữ ẩm cho vết thương, không dính và không đau khi thay băng.</t>
  </si>
  <si>
    <t>Miếng dán Seasight thay chỉ khâu hoặc kim bấm da, giúp khép miệng vết thương sau phẫu thuật, tiểu phẫu hoặc vết rách do chấn thương. Không xâm lấn, thao tác dễ, hạn chế giãn sẹo.</t>
  </si>
  <si>
    <t>Bông tẩm cồn tiệt trùng Tanaphar Alcohol Swab dùng sát khuẩn da trước khi tiêm hoặc đo đường huyết, giúp giảm nguy cơ nhiễm khuẩn. Tiện lợi cho bệnh viện, phòng khám và tủ thuốc gia đình.</t>
  </si>
  <si>
    <t>Dung dịch Dizigone 300ml ứng dụng công nghệ EMWE® (Châu Âu), diệt vi khuẩn, vi nấm trong 30 giây mà không làm tổn thương tế bào. Rửa vết thương không đau xót, giúp mau lành và hạn chế sẹo.</t>
  </si>
  <si>
    <t>Xịt kháng khuẩn Dizigone Spray 100ml ứng dụng công nghệ EMWE® (Châu Âu), diệt vi khuẩn, vi nấm trong 30 giây mà không làm tổn thương tế bào. Dạng xịt tiện lợi, không đau xót, giúp vết thương mau lành và hạn chế sẹo.</t>
  </si>
  <si>
    <t>Gạc lưới chống dính UrgoTul (10x10cm) với công nghệ TLC độc quyền, tạo môi trường ẩm giúp vết thương mau lành. Không dính vết thương nên thay băng không đau; dùng cho vết bỏng, trầy xước, vết loét giai đoạn lên mô hạt.</t>
  </si>
  <si>
    <t>Gạc lưới tẩm bạc UrgoTul Ag/Silver kết hợp công nghệ TLC và bạc sulfate, kháng khuẩn cho vết thương nhiễm trùng hoặc có nguy cơ nhiễm trùng cao. Không dính vết thương, thay băng không đau, rút ngắn thời gian lành thương.</t>
  </si>
  <si>
    <t>Gel Healit (công nghệ Séc) giúp tái tạo mô và làm lành vết thương hở cấp tính, mạn tính như trầy xước, nứt da, bỏng, loét tì đè, vết mổ. Giữ ẩm, ổn định pH và bảo vệ vết thương khỏi vi khuẩn.</t>
  </si>
  <si>
    <t>Băng dán hydrocolloid Renoderm cho vết thương tiết dịch ít đến trung bình như trầy xước, vết mổ, bỏng, mụn, vết loét. Tạo môi trường ẩm giúp mau lành, hạn chế sẹo; không dính vết thương khi tháo, chống nước tốt.</t>
  </si>
  <si>
    <t>Băng gạc xốp Therasorb® Algi Plus Adhesive có viền dính, dùng cho vết thương, vết loét tiết dịch trung bình đến nhiều. Chứa Sodium Alginate thấm hút gấp 15–20 lần trọng lượng, không dính và không đau khi thay băng.</t>
  </si>
  <si>
    <t>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t>
  </si>
  <si>
    <t>Gạc xốp tẩm bạc Therasorb® Ag Plus chứa Sodium Alginate và bạc nitrat 1%, kháng khuẩn và thấm hút dịch mạnh. Dùng cho vết thương nhiễm trùng như loét tì đè, loét tiểu đường, bỏng; không dính và không đau khi thay băng.</t>
  </si>
  <si>
    <t>Gel SurgiGel chứa bạc nitrat, vừa kháng khuẩn vừa giữ ẩm giúp vết thương mau lành, hạn chế sẹo lồi. Dùng cho vết thương cấp và mạn tính như trầy xước, bỏng, nhiễm trùng, loét tì đè, hoại tử; giúp làm mềm mô hoại tử và khử mùi.</t>
  </si>
  <si>
    <t>Gel silicone trị sẹo RemScar® chứa silicone y tế và vitamin E, giúp làm mềm, làm phẳng và mờ sẹo lồi, sẹo phì đại, sẹo bỏng, sẹo thâm. Phù hợp vị trí nhỏ hoặc khó dán miếng silicone; thấy hiệu quả sau 1–2 tháng dùng đều.</t>
  </si>
  <si>
    <t>Miếng dán silicone RemScar® TR giúp làm phẳng và mờ sẹo lồi, sẹo thâm sau phẫu thuật, bỏng, tai nạn, mụn. Silicone y tế trong suốt, không bí da; giặt và tái sử dụng được trong 30 ngày.</t>
  </si>
  <si>
    <t>Gạc xốp polyurethane Yafho viền silicone, chuyên phòng ngừa và hỗ trợ điều trị loét tì đè vùng cùng cụt. Thấm hút dịch tốt, giữ ẩm cho vết thương, không dính và không đau khi thay băng.</t>
  </si>
  <si>
    <t>Băng gạc vô trùng Young Wound Dressing (Hàn Quốc) dùng băng vết thương, vết mổ; gạc thấm hút tốt, êm với da mỏng và da nhạy cảm. Tiệt trùng EO, đóng gói từng miếng, nhiều kích thước.</t>
  </si>
  <si>
    <t>Băng gạc vô trùng Sterile Adflex (With-Pad) chống nước, giữ vết thương khô thoáng trong quá trình hồi phục. Co giãn tốt, dán được ở vai, khuỷu tay, đầu gối; tiệt trùng EO, đóng gói từng miếng.</t>
  </si>
  <si>
    <t>Băng keo cá nhân Pororo hộp thiếc chứa chất sát khuẩn Benzalkonium Chloride, bảo vệ vết cắt, trầy xước nhỏ. Hình hoạt hình dễ thương cho trẻ, thoáng khí, keo ít kích ứng, không dính vết thương.</t>
  </si>
  <si>
    <t>Băng keo cá nhân in hình Pororo chứa chất sát khuẩn Benzalkonium Chloride, bảo vệ vết cắt, trầy xước nhỏ. Hình hoạt hình dễ thương cho trẻ, thoáng khí, keo ít kích ứng, không dính vết thương.</t>
  </si>
  <si>
    <t>Băng keo cá nhân tròn màu da Ace-band Ø22mm chứa chất sát khuẩn Benzalkonium Chloride, dùng cho vết tiêm và vết thương nhỏ. Mềm mại, an toàn cho cả da nhạy cảm.</t>
  </si>
  <si>
    <t>Băng keo cá nhân màu da Ace-band Sheer (72x18mm) chứa chất sát khuẩn Benzalkonium Chloride, bảo vệ vết cắt, trầy xước nhỏ. Keo không chứa cao su, an toàn cho da nhạy cảm.</t>
  </si>
  <si>
    <t>Băng keo cá nhân trong suốt Ace-band Transparent (72x18mm) chứa chất sát khuẩn Benzalkonium Chloride, bảo vệ vết cắt, trầy xước nhỏ. Keo không chứa cao su, an toàn cho da nhạy cảm.</t>
  </si>
  <si>
    <t>Băng keo cá nhân vải Ace-band (60x19mm) chứa chất sát khuẩn Benzalkonium Chloride, bảo vệ vết cắt, trầy xước nhỏ. Keo không chứa cao su, an toàn cho da nhạy cảm.</t>
  </si>
  <si>
    <t>Băng keo cuộn co giãn Fix Roll (10cm x 2,5m) bằng vải không dệt thoáng khí, dùng cố định ống truyền, kim luồn và băng gạc. Bám dính tốt, co giãn cao, ít kích ứng.</t>
  </si>
  <si>
    <t>Băng keo cuộn giấy Young Plaster-Paper (1,25cm x 5m) dùng cố định ống truyền, kim luồn và băng gạc. Dịu nhẹ, phù hợp da nhạy cảm.</t>
  </si>
  <si>
    <t>Băng keo cuộn lụa Young Plaster-Silk (1,25cm x 5m) dùng cố định băng gạc, ống truyền, kim luồn. Keo acrylic không latex bám chắc, thoáng khí, không sót keo; xé được bằng tay.</t>
  </si>
  <si>
    <t>Băng vô trùng trong suốt Sterile Adflex (Non-Pad) không gạc, chống nước, dùng cố định băng gạc, ống truyền, kim luồn. Co giãn tốt, dán được ở vai, khuỷu tay, đầu gối; tiệt trùng EO, đóng gói từng miếng.</t>
  </si>
  <si>
    <t>Miếng dán hydrocolloid Somaderm-L cho vết thương tiết dịch ít đến trung bình như trầy xước, vết mổ, bỏng, mụn, vết loét. Tạo môi trường ẩm giúp mau lành, hạn chế sẹo; không dính vết thương khi tháo, chống nước tốt.</t>
  </si>
  <si>
    <t>Bộ gạc xốp MJ-03 dùng kèm máy hút áp lực âm VAC MJ-100 có chức năng rửa, điều trị vết thương mạn tính, khó lành. Hệ thống khép kín giúp rửa, dẫn lưu dịch, giữ ẩm và kích thích mô hạt phát triển.</t>
  </si>
  <si>
    <t>Máy hút áp lực âm VAC MJ-100 (NPWT) điều trị vết thương mạn tính, khó lành, loét tiểu đường, bỏng sâu, vết mổ lớn nhiều dịch. Giúp hút dịch, giảm phù nề, tăng tuần hoàn và tạo mô hạt sớm; dùng kèm bộ gạc xốp MJ-03.</t>
  </si>
  <si>
    <t>Miếng dán ép sẹo silicone (10 x 1,7cm) giúp làm phẳng và mờ sẹo lồi sau phẫu thuật, bỏng, tai nạn, mụn. Silicone y tế giữ ẩm và tạo lực ép liên tục, không bí da, không kích ứng.</t>
  </si>
  <si>
    <t>Bình xịt lạnh Chillit 250ml (Aveflor, Cộng hòa Séc) làm lạnh tức thì, giúp giảm đau, giảm sưng và hạn chế bầm tím khi chấn thương cấp. Phù hợp vận động viên, người chơi thể thao và vận động mạnh.</t>
  </si>
  <si>
    <t>Băng thun đầu gối CODY dạng ống, co giãn 4 chiều, tạo lực nén nhẹ giúp giữ ấm và hỗ trợ khớp gối, giảm đau và viêm. Phù hợp người lớn tuổi, người viêm khớp hoặc đang chấn thương.</t>
  </si>
  <si>
    <t>Đai đầu gối thể thao CODY có thiết kế hở xương bánh chè, giúp cố định, ổn định khớp gối và giảm áp lực khi vận động. Phù hợp người tập luyện cường độ cao, bị bong gân nhẹ, căng cơ, viêm khớp hoặc đang phục hồi chấn thương.</t>
  </si>
  <si>
    <t>Đai lưng CODY có nẹp nhựa định hình, giúp nâng đỡ cột sống, giảm áp lực, giảm đau lưng và mỏi cơ. Phù hợp người mang vác nặng, đứng hoặc ngồi lâu, người cao tuổi.</t>
  </si>
  <si>
    <t>Vớ đùi y khoa CODY có silicone chống trượt, áp lực giảm dần từ cổ chân lên đùi giúp tăng tuần hoàn máu, hỗ trợ điều trị và ngăn ngừa suy giãn tĩnh mạch chân. Phù hợp người phải đứng hoặc ngồi lâu, ít vận động.</t>
  </si>
  <si>
    <t>Vớ gối y khoa CODY với áp lực giảm dần từ cổ chân lên gối, giúp tăng tuần hoàn máu, hỗ trợ điều trị và ngăn ngừa suy giãn tĩnh mạch chân. Phù hợp người phải đứng hoặc ngồi lâu, ít vận động.</t>
  </si>
  <si>
    <t>Vớ y khoa CODY với áp lực giảm dần từ cổ chân lên trên, giúp tăng tuần hoàn máu, hỗ trợ điều trị và ngăn ngừa suy giãn tĩnh mạch chân. Phù hợp người phải đứng hoặc ngồi lâu, ít vận động.</t>
  </si>
  <si>
    <t>Đai chườm bàn chân Hapaku làm nóng bằng điện kết hợp thảo dược tự nhiên, giúp giảm đau mỏi, tê lạnh bàn chân và cổ chân, tăng tuần hoàn, ngủ ngon hơn. Dùng được 3–4 năm; tấm thảo dược thay thế sau khoảng 100 lần dùng.</t>
  </si>
  <si>
    <t>Đai chườm cổ gáy Hapaku làm nóng bằng điện kết hợp thảo dược tự nhiên, giúp giảm đau nhức và thư giãn vùng cổ gáy. Phù hợp người thoái hóa đốt sống cổ, thoát vị đĩa đệm, ngồi làm việc lâu, người cao tuổi.</t>
  </si>
  <si>
    <t>Đai chườm lưng bụng Hapaku làm nóng bằng điện với thảo dược tự nhiên (ngải cứu, quế, hồi, gừng, nghệ), giúp giảm đau lưng sau khoảng 20 phút. Phù hợp người thoái hóa, thoát vị cột sống, ngồi lâu, người cao tuổi, phụ nữ mang thai.</t>
  </si>
  <si>
    <t>Đai chườm vai gáy cổ Hapaku làm nóng bằng điện kết hợp thảo dược tự nhiên, giúp giảm đau nhức, tê mỏi sau khoảng 20 phút. Phù hợp người thoái hóa đốt sống cổ, thoát vị đĩa đệm, đau vai gáy do sai tư thế; dùng được 3–4 năm.</t>
  </si>
  <si>
    <t>Gối chườm đa năng Hapaku làm nóng bằng điện với 100% thảo dược tự nhiên, dùng giảm đau đầu, vai gáy, lưng hông, bắp chân, đau bụng kinh và giữ ấm cơ thể. Tiện kê gáy khi ngồi làm việc hoặc nghỉ trưa.</t>
  </si>
  <si>
    <t>Đai đầu gối Merisocks dệt theo công nghệ IIDA (Nhật Bản), giúp bảo vệ và nâng đỡ khớp gối trong sinh hoạt hằng ngày. Bền, đàn hồi, không bí; hai thanh định hình giúp ôm chắc, không xê dịch khi vận động.</t>
  </si>
  <si>
    <t>Vớ nén bắp chân Merisocks (công nghệ IIDA, Nhật Bản) với áp lực nhẹ 12–18mmHg, giúp phòng ngừa suy giãn tĩnh mạch, tăng tuần hoàn và giảm mỏi, tê chân. Phù hợp người đứng hoặc ngồi lâu, đi xa bằng máy bay, tàu xe.</t>
  </si>
  <si>
    <t>Máy massage xung điện Omron HV-F013 dùng công nghệ TENS giúp giảm đau cơ, đau dây thần kinh và tăng tuần hoàn máu. Hỗ trợ trị liệu đau lưng, đau khớp, thoát vị đĩa đệm, gai cột sống; nhỏ gọn, dễ mang theo.</t>
  </si>
  <si>
    <t>Máy massage xung điện Omron HV-F127 dùng công nghệ TENS giúp giảm đau cơ, đau dây thần kinh và tăng tuần hoàn máu, có nhiều chương trình và chế độ massage. Dùng cho vai, lưng, khớp, tay chân, lòng bàn chân; hỗ trợ người bệnh xương khớp, liệt, phục hồi chấn thương.</t>
  </si>
  <si>
    <t>Máy massage xung điện Omron HV-F128 dùng công nghệ TENS giúp giảm đau cơ, đau dây thần kinh vùng vai, tay, thắt lưng, lòng bàn chân và tăng tuần hoàn máu. Hỗ trợ người bệnh xương khớp, liệt, phục hồi chấn thương thể thao mà không cần dùng thuốc.</t>
  </si>
  <si>
    <t>Miếng dán điện cực Omron Long Life Pad là phụ kiện thay thế cho máy massage xung điện Omron. Chất liệu an toàn, bền, dùng được lâu.</t>
  </si>
  <si>
    <t>Đai chống gù lưng Orbe dạng số 8, giúp chỉnh tư thế lưng trên và ngăn đau mỏi cổ vai gáy. Chun co giãn, thoáng khí, dễ đeo; phù hợp học sinh, dân văn phòng, người lao động nặng, người cao tuổi.</t>
  </si>
  <si>
    <t>Đai thắt lưng Orbe Olumba có nẹp nhôm định hình, giúp cố định và nâng đỡ cột sống thắt lưng. Thun bền, đàn hồi, thoáng khí; phù hợp người mang vác nặng, đứng hoặc ngồi lâu, người cao tuổi.</t>
  </si>
  <si>
    <t>Găng tay robot Timelock hỗ trợ tập phục hồi chức năng bàn tay, giúp cải thiện teo cơ, cứng khớp, tăng tuần hoàn và sức co duỗi. Dành cho bệnh nhân liệt hoặc tổn thương bàn tay; tập liên tục tại nhà, tiết kiệm công chăm sóc.</t>
  </si>
  <si>
    <t>Vớ đùi y khoa Venosan 6000 với áp lực giảm dần từ cổ chân lên đùi, giúp tăng tuần hoàn máu, hỗ trợ điều trị và ngăn suy giãn tĩnh mạch chân tiến triển. Phù hợp người phải đứng hoặc ngồi lâu, ít vận động.</t>
  </si>
  <si>
    <t>Bột hút ẩm ConvaTec bảo vệ vùng da quanh hậu môn nhân tạo, giảm mẩn ngứa, kích ứng và ngừa loét từ sớm. Không làm giảm độ dính của đế, giúp túi dùng được lâu hơn.</t>
  </si>
  <si>
    <t>Keo làm đầy ConvaTec lấp kín khoảng hở quanh hậu môn nhân tạo, chống rò rỉ chất thải ra ngoài đế. Giúp bảo vệ da khỏi kích ứng, loét; dùng được với mọi loại túi và đế.</t>
  </si>
  <si>
    <t>Túi hậu môn nhân tạo 1 mảnh ConvaTec loại đục, xả được, màu be kín đáo, có màng lọc mùi và giảm tiếng. Đế dính chắc, thoáng mồ hôi; kẹp túi chắc chắn, dùng lại nhiều lần.</t>
  </si>
  <si>
    <t>Túi hậu môn nhân tạo 1 mảnh ConvaTec trong suốt, xả được, dễ quan sát, có màng lọc mùi và giảm tiếng. Đế dính chắc, thoáng mồ hôi; kẹp túi chắc chắn, dùng lại nhiều lần.</t>
  </si>
  <si>
    <t>Túi hậu môn nhân tạo 1 mảnh ConvaTec ActiveLife 22771 trong suốt, xả được, có màng lọc mùi. Đế có viền dính tăng bám da, thoáng mồ hôi; kẹp túi chắc chắn, dùng lại nhiều lần.</t>
  </si>
  <si>
    <t>Túi hậu môn nhân tạo 1 mảnh Hollister 8631, túi gắn liền đế, chất liệu mềm, màng lọc mùi màu be kín đáo. Đế cắt được theo kích thước và hình dạng lỗ mở; khi thay túi thì gỡ cả đế.</t>
  </si>
  <si>
    <t>Bộ túi hậu môn nhân tạo cho trẻ sơ sinh Hollister 3778, túi trong suốt dễ theo dõi, đế mềm dịu nhẹ cho da nhạy cảm. Túi và đế lắp sẵn, dùng như hệ 1 mảnh, phù hợp mọi loại hậu môn nhân tạo.</t>
  </si>
  <si>
    <t>Bột hút ẩm Hollister Adapt 7906 làm khô, giảm kích ứng và hỗ trợ điều trị loét vùng da quanh hậu môn nhân tạo. Giúp đế dán bám chắc hơn, hạn chế rò rỉ và kéo dài thời gian sử dụng.</t>
  </si>
  <si>
    <t>Xịt tẩy keo Hollister 7737 không chứa cồn, có silicone giúp làm lỏng keo để tháo đế hậu môn nhân tạo dễ dàng. Không gây đau rát hay kích ứng da.</t>
  </si>
  <si>
    <t>Dây nịt Hollister 7300 cố định túi hậu môn nhân tạo, giúp chắc chắn khi vận động và kéo dài thời gian dùng đế. Tăng lực ép cho đế lồi; mềm, co giãn, giặt và dùng lại được; dùng với túi Hollister có mấu đai.</t>
  </si>
  <si>
    <t>Đế lồi Hollister 14803 cho hệ túi hậu môn nhân tạo 2 mảnh, dùng khi lỗ mở phẳng, thụt vào trong hoặc da xung quanh có sẹo, nếp nhăn. Dính khít, chống rò rỉ và ngừa loét da quanh lỗ mở.</t>
  </si>
  <si>
    <t>Đế bằng Hollister cho hệ túi hậu môn nhân tạo 2 mảnh, dùng khi lỗ mở lồi hoặc da xung quanh tương đối phẳng. Dính khít, chống rò rỉ và ngừa loét da quanh lỗ mở.</t>
  </si>
  <si>
    <t>Kem chống xì Hollister Adapt Paste 79300 lấp đầy khoảng hở quanh hậu môn nhân tạo, chống rò rỉ chất thải ra ngoài đế. Giúp bảo vệ da khỏi kích ứng, loét; dùng được với mọi loại túi và đế.</t>
  </si>
  <si>
    <t>Khóa kẹp Hollister 8770 bằng nhựa dẻo, đóng kín miệng túi hậu môn nhân tạo, chống rò rỉ. Bản lề an toàn, dễ dùng; tương thích mọi loại túi dùng kẹp rời.</t>
  </si>
  <si>
    <t>Túi hậu môn nhân tạo 1 mảnh Mepro kẹp rời, xả được, hai lớp kín đáo, có bộ lọc than hoạt tính khử mùi và thoát khí. Đế dính chắc, thoáng mồ hôi; kẹp túi dùng lại nhiều lần.</t>
  </si>
  <si>
    <t>Túi hậu môn nhân tạo 1 mảnh cho trẻ em MiKiDo, xả được, có bộ lọc than hoạt tính khử mùi và thoát khí. Đế mềm dịu nhẹ cho da nhạy cảm của bé; kẹp túi dùng lại nhiều lần.</t>
  </si>
  <si>
    <t>Túi hậu môn nhân tạo 1 mảnh Ostomy Care khóa dán liền, xả được, có bộ lọc khử mùi và màng chắn màu be kín đáo. Khóa dán nhựa đóng túi chắc chắn, xả thải dễ dàng.</t>
  </si>
  <si>
    <t>Túi hậu môn nhân tạo 1 mảnh Ostomy Care khóa kẹp, xả được, có bộ lọc khử mùi và màng chắn màu be kín đáo. Kẹp cong đóng túi chắc chắn, dùng lại nhiều lần.</t>
  </si>
  <si>
    <t>Túi nước tiểu nhân tạo 1 mảnh Hollister 8460, túi gắn liền đế, chất liệu mềm, màng chống mùi màu be kín đáo. Đế cắt được theo kích thước lỗ mở; khi thay túi thì gỡ cả đế.</t>
  </si>
  <si>
    <t>Vòng bảo vệ da Hollister 7805 dùng keo Flextend M bám chắc, tạo hàng rào chống thấm quanh hậu môn nhân tạo. Lấp khoảng hở, ngăn chất thải tiếp xúc da, giảm kích ứng và loét.</t>
  </si>
  <si>
    <t>Túi hậu môn nhân tạo 1 mảnh loại đục, xả được, hai lớp: lớp trong để quan sát, lớp ngoài màu đục kín đáo. Có bộ lọc than hoạt tính khử mùi và thoát khí.</t>
  </si>
  <si>
    <t>Túi hậu môn nhân tạo 1 mảnh loại trong, xả được, dễ quan sát chất thải và vùng da quanh lỗ mở để chăm sóc kịp thời. Có bộ lọc than hoạt tính khử mùi và thoát khí.</t>
  </si>
  <si>
    <t>Đế rời Mepro cho hệ túi hậu môn nhân tạo 2 mảnh, chất liệu hydrocolloid viền vải không dệt, dính khít và chống rò rỉ. Bảo vệ da quanh lỗ mở khỏi chất thải, ngừa loét; dùng được 5–7 ngày.</t>
  </si>
  <si>
    <t>Bộ túi hậu môn nhân tạo 2 mảnh Hollister kẹp rời, túi và đế tách riêng, xả được, có màng chống mùi màu be. Đế bám dính tốt; kẹp cong đóng túi, xả thải tiện lợi.</t>
  </si>
  <si>
    <t>Bộ túi hậu môn nhân tạo 2 mảnh Hollister khóa cuộn, túi và đế tách riêng, xả được, có màng chống mùi màu be. Đế bám dính tốt; khóa dán nhựa đóng túi chắc chắn, xả thải dễ dàng.</t>
  </si>
  <si>
    <t>Túi hậu môn nhân tạo 2 mảnh Hollister 18184, xả được, có bộ lọc khử mùi và thoát khí, màng chắn màu be. Khóa Lock 'n Roll đóng túi chắc chắn; dùng kèm đế Hollister 70mm (như 14604).</t>
  </si>
  <si>
    <t>Túi hậu môn nhân tạo 2 mảnh Hollister 18103, xả được, màng chống mùi màu be, đóng bằng kẹp cong. Dùng kèm đế Hollister cùng cỡ, như đế lồi 14803 hoặc đế bằng 14603.</t>
  </si>
  <si>
    <t>Bộ túi hậu môn nhân tạo 2 mảnh Mepro kẹp rời, túi và đế tách riêng, hai lớp kín đáo, có bộ lọc than hoạt tính khử mùi và thoát khí. Đế dính chắc, thoáng mồ hôi; kẹp túi dùng lại nhiều lần.</t>
  </si>
  <si>
    <t>Đế rời Ostomy Care cho hệ túi hậu môn nhân tạo 2 mảnh, chất liệu hydrocolloid viền vải không dệt, dính khít và chống rò rỉ. Bảo vệ da quanh lỗ mở khỏi chất thải, ngừa loét; dùng được 5–7 ngày.</t>
  </si>
  <si>
    <t>Bộ túi hậu môn nhân tạo 2 mảnh Mepro khóa cuộn, túi và đế tách riêng, hai lớp kín đáo, có bộ lọc than hoạt tính khử mùi và thoát khí. Đế dính chắc, thoáng mồ hôi; khóa dán đóng túi chắc chắn.</t>
  </si>
  <si>
    <t>Túi hậu môn nhân tạo 2 mảnh Mepro kẹp rời, hai lớp kín đáo, có bộ lọc than hoạt tính khử mùi và thoát khí. Dùng kèm đế rời Mepro; kẹp cong đóng túi, xả thải tiện lợi.</t>
  </si>
  <si>
    <t>Túi hậu môn nhân tạo 2 mảnh Mepro khóa cuộn, hai lớp kín đáo, có bộ lọc than hoạt tính khử mùi và thoát khí. Dùng kèm đế rời Mepro; khóa dán đóng túi chắc chắn, xả thải tiện lợi.</t>
  </si>
  <si>
    <t>Đế rời SeaSight cho hệ túi hậu môn nhân tạo 2 mảnh, chất liệu hydrocolloid không viền vải, dính khít và chống rò rỉ. Bảo vệ da quanh lỗ mở khỏi chất thải, ngừa loét; dùng được 5–7 ngày.</t>
  </si>
  <si>
    <t>Túi nước tiểu nhân tạo 1 mảnh SeaSight, túi gắn liền đế, dùng cho người mở niệu quản ra da. Chất liệu mềm, đế có đường cắt sẵn dễ thao tác; khi thay túi thì thay cả đế.</t>
  </si>
  <si>
    <t>Kéo cong chuyên dụng bằng thép không gỉ (14cm), đầu cong giúp cắt lỗ đế túi hậu môn nhân tạo dễ và chính xác.</t>
  </si>
  <si>
    <t>Bộ túi hậu môn nhân tạo 2 mảnh Ostomy Care khóa cuộn, túi và đế tách riêng, xả được, hai lớp kín đáo, có bộ lọc than hoạt tính khử mùi. Đế bám dính tốt, không kích ứng; khóa dán nhựa đóng túi chắc chắn.</t>
  </si>
  <si>
    <t>Túi hậu môn nhân tạo 2 mảnh Ostomy Care khóa dán liền, có bộ lọc than hoạt tính khử mùi. Dùng kèm đế rời Ostomy Care; khóa dán nhựa đóng túi chắc chắn, xả thải dễ dàng.</t>
  </si>
  <si>
    <t>Túi hậu môn nhân tạo 2 mảnh, túi và đế tách riêng, xả được; hai lớp gồm lớp trong để quan sát và lớp ngoài màu đục kín đáo. Có bộ lọc than hoạt tính khử mùi, thoát khí; đế bám dính tốt.</t>
  </si>
  <si>
    <t>Phế dung kế B-Spiro 5000 hỗ trợ tập hít sâu, tăng dung tích và độ giãn nở phổi, đồng thời theo dõi tiến bộ chức năng hô hấp. Dùng cho bệnh nhân sau phẫu thuật phổi, hen, bệnh phổi mạn tính; tập được tại viện hoặc tại nhà.</t>
  </si>
  <si>
    <t>Mask thanh quản 1 nòng Biotek (LMA) giúp khai thông đường thở trên trong gây mê, cấp cứu và thông khí nhân tạo đến 20cmH2O. Bóng chèn elip áp lực thấp, dễ đặt hơn nội khí quản; nằm trong phác đồ xử trí đường thở khó.</t>
  </si>
  <si>
    <t>Mask thanh quản 2 nòng Biotek bằng silicone y tế, giúp kiểm soát đường thở trên an toàn khi gây mê toàn thân và cấp cứu hồi sức. Hai điểm chèn khít ở họng miệng và cơ vòng thực quản trên; mềm, giảm tổn thương và đau họng.</t>
  </si>
  <si>
    <t>Dây thở oxy 2 nhánh bằng nhựa PVC y tế, không chứa cao su, dẫn oxy từ máy tạo oxy hoặc bình oxy vào mũi người bệnh. Mềm dẻo, bền, không gập, ít kích ứng.</t>
  </si>
  <si>
    <t>Mặt nạ thở oxy bằng PVC y tế trong suốt, cung cấp oxy hiệu quả cho người khó thở, thiếu oxy. Dùng hỗ trợ gây mê và điều trị bằng oxy, khí dung; cho nồng độ oxy chính xác hơn dây thở mũi.</t>
  </si>
  <si>
    <t>Mặt nạ xông khí dung dùng phun thuốc dạng sương, giúp người bệnh hấp thu thuốc qua đường hô hấp hiệu quả và dễ dàng.</t>
  </si>
  <si>
    <t>Xông hút đờm kín Bornsun dùng hút đờm trong ống mở khí quản, nội khí quản và khí quản. Có van chặn giảm nguy cơ lây nhiễm chéo; đạt CE, ISO 13485.</t>
  </si>
  <si>
    <t>Nòng trong Shiley SIC dùng thay thế cho ống mở khí quản 2 nòng Shiley, dễ tháo ra để vệ sinh, ngừa tắc đường thở. Đầu khóa vặn đỏ in số size; phải chọn đúng cỡ với ống ngoài.</t>
  </si>
  <si>
    <t>Ống mở khí quản 2 nòng có bóng Shiley LPC dành cho bệnh nhân thở máy, bóng mềm khít khí quản mà không tổn thương niêm mạc. Nòng trong tháo rời để vệ sinh, thay thế; nên dùng kèm mũi nhân tạo để làm ấm, ẩm và lọc khí.</t>
  </si>
  <si>
    <t>Ống mở khí quản 2 nòng có bóng, có cửa sổ Shiley FEN kết nối máy thở, bóng mềm thể tích lớn, áp lực thấp. Cửa sổ trên ống giúp bệnh nhân đã ổn định tập thở và tập nói khi đậy nắp đỏ.</t>
  </si>
  <si>
    <t>Ống mở khí quản 2 nòng không bóng, có cửa sổ Shiley CFN cho bệnh nhân không cần thở máy dài ngày. Cửa sổ giúp tự thở qua đường thở trên và tập nói khi lắp nắp đỏ.</t>
  </si>
  <si>
    <t>Ống chẹn phế quản Uniblocker (Fuji System) dùng thông khí một phổi, giúp làm xẹp phổi dễ dàng trong phẫu thuật lồng ngực, phổi, màng phổi, nội soi lồng ngực. Đầu mềm, dễ uốn để chỉnh vị trí.</t>
  </si>
  <si>
    <t>Ống nội khí quản 2 nòng Silbroncho (Carlens) bằng silicone y tế, dùng thông khí một phổi trái hoặc phải. Đầu có lò xo giúp đặt vào phế quản dễ hơn, giảm chấn thương và nguy cơ gập ống; đạt ISO 13485, CE.</t>
  </si>
  <si>
    <t>Ống nội khí quản Univent™ (Fuji Systems, Nhật Bản) một nòng tích hợp sẵn ống chẹn phế quản, dùng thông khí một phổi trong phẫu thuật lồng ngực. Làm xẹp phổi đích dễ dàng, an toàn, giảm tổn thương niêm mạc đường thở.</t>
  </si>
  <si>
    <t>Mask thanh quản 1 nòng dùng 1 lần giúp thông khí đường thở an toàn trong gây mê toàn thân cho bệnh nhân mọi lứa tuổi, hỗ trợ thông khí nhân tạo đến 20cmH2O. Bóng chèn elip áp lực thấp, đặt nhanh và dễ.</t>
  </si>
  <si>
    <t>Dây hút đàm có kiểm soát Hoàng Sơn dùng hút đờm nhớt trong ống mở khí quản, khí quản, mũi, miệng, họng. Có nắp điều chỉnh lực hút; dùng với các loại máy hút dịch, sử dụng 1 lần.</t>
  </si>
  <si>
    <t>Dây hút đàm không kiểm soát Hoàng Sơn dùng hút đờm nhớt trong ống mở khí quản, khí quản, mũi, miệng, họng, giúp thông đường thở và ngừa nhiễm khuẩn. Dùng với các loại máy hút dịch, sử dụng 1 lần.</t>
  </si>
  <si>
    <t>Dụng cụ cố định ống nội khí quản AnchorFast Hollister 9800 giữ ống chắc chắn và chống cắn ống gây tắc nghẽn. Dễ vệ sinh răng miệng, dễ đổi vị trí ống tránh loét môi, giảm nguy cơ viêm phổi liên quan thở máy.</t>
  </si>
  <si>
    <t>Bộ mở khí quản nhanh qua da Portex dùng cho các ca cần mở khí quản cấp, thao tác nhanh gọn. Lỗ mở nhỏ, hạn chế sẹo xấu và nguy cơ hẹp khí quản.</t>
  </si>
  <si>
    <t>Cây nòng dẫn đường Stylet bằng nhôm dẻo bọc PVC y tế, luồn trong ống để định vị khi đặt nội khí quản thường hoặc cấp cứu. Có chia vạch giúp đặt ống chính xác.</t>
  </si>
  <si>
    <t>Máy tạo oxy iMediCare OC-5LH (5 lít/phút) dùng công nghệ sàng phân tử, tách oxy từ không khí tạo oxy y tế tinh khiết. Phù hợp dùng tại nhà, bệnh viện và cơ sở chăm sóc.</t>
  </si>
  <si>
    <t>Gạc mở khí quản vô trùng L&amp;R Metalline dùng thấm hút dịch và bảo vệ vùng da quanh ống mở khí quản, ống dẫn lưu cỡ lớn. Mềm, giảm tổn thương khi thay băng.</t>
  </si>
  <si>
    <t>Gạc xốp đặt quanh ống mở khí quản (7x11cm) thấm hút dịch tiết và bảo vệ vùng da quanh ống mở khí quản, ống dẫn lưu cỡ lớn. Mềm, không dính vết thương, không đau khi thay băng.</t>
  </si>
  <si>
    <t>Gạc xốp răng cưa đặt quanh ống mở khí quản (10x10cm) thấm hút dịch tiết và bảo vệ vùng da quanh ống mở khí quản, ống dẫn lưu cỡ lớn. Mềm, không dính vết thương, không đau khi thay băng.</t>
  </si>
  <si>
    <t>Ống nội khí quản có bóng Cuff-Safe® tích hợp van đo áp lực AccuCuff, giúp duy trì áp lực bóng an toàn mọi lúc. Giảm công đo áp lực thủ công; nhiều chủng loại và cỡ số.</t>
  </si>
  <si>
    <t>Ống nội khí quản AccuCuff có hút trên bóng và van đo áp lực bóng, giúp ngừa viêm phổi liên quan thở máy (VAP). Theo dõi áp lực bóng ngay trên ống, hạn chế dịch tiết tràn xuống đường hô hấp dưới.</t>
  </si>
  <si>
    <t>Mũi nhân tạo Meditera (Thổ Nhĩ Kỳ) gắn vào ống mở khí quản, giúp lọc bụi, khói, xơ vải và làm ấm, làm ẩm khí thở trước khi vào phổi. Cần thiết cho mọi bệnh nhân mở khí quản.</t>
  </si>
  <si>
    <t>Phin lọc HME Meditera 3 chức năng lắp vào đường thở máy thở, máy mê, giúp làm ấm, làm ẩm và lọc vi khuẩn, virus. Ngăn lây nhiễm chéo, giữ sạch dây thở mà không cần hấp sấy.</t>
  </si>
  <si>
    <t>Nòng trong có cửa sổ Mera Sofit Canula dùng thay thế cho ống mở khí quản 2 nòng Sofit, dễ tháo để vệ sinh, ngừa tắc đường thở. Kèm nắp đỏ giúp bệnh nhân đã ổn định tập thở, tập nói; chọn đúng cỡ với ống ngoài.</t>
  </si>
  <si>
    <t>Nòng trong không cửa sổ Mera Sofit Canula dùng thay thế cho ống mở khí quản 2 nòng Sofit, dễ tháo để vệ sinh, ngừa tắc đường thở. Đạt tiêu chuẩn JIS và ISO; phải chọn đúng cỡ với ống ngoài.</t>
  </si>
  <si>
    <t>Ống mở khí quản 2 nòng có bóng Mera Sofit D-C (Nhật Bản) kết nối máy thở, bóng mềm áp lực thấp không tổn thương niêm mạc. Nòng trong tháo rời vệ sinh, thay thế được; nên dùng kèm mũi nhân tạo.</t>
  </si>
  <si>
    <t>Ống mở khí quản 2 nòng có bóng Mera Sofit D-CS kết nối máy thở, có ống hút trên bóng giúp hút dịch đọng, giảm nguy cơ viêm phổi hít (VAP). Bóng mềm khít khí quản; nòng trong tháo rời vệ sinh được.</t>
  </si>
  <si>
    <t>Ống mở khí quản 2 nòng có bóng, có cửa sổ Mera Sofit D-CF kết nối máy thở, thân nhẵn mềm hạn chế tổn thương. Cửa sổ giúp bệnh nhân đã ổn định tập thở, tập nói khi lắp nắp đỏ hoặc van tập nói.</t>
  </si>
  <si>
    <t>Ống mở khí quản 2 nòng có bóng, có cửa sổ Mera Sofit D-CFS kết nối máy thở, kèm ống hút trên bóng giảm nguy cơ viêm phổi hít (VAP). Cửa sổ giúp tập thở, tập nói khi lắp nắp đỏ hoặc van tập nói.</t>
  </si>
  <si>
    <t>Ống mở khí quản 2 nòng không bóng Mera Sofit D-NC (tiêu chuẩn Nhật Bản) cho bệnh nhân không cần thở máy dài ngày nhưng vẫn cần duy trì lỗ mở khí quản. Nên dùng kèm mũi nhân tạo để làm ấm, ẩm và lọc khí.</t>
  </si>
  <si>
    <t>Ống mở khí quản 2 nòng không bóng, có cửa sổ Mera Sofit D-F cho bệnh nhân không cần thở máy dài ngày, thân mịn, đầu tù tránh tổn thương. Cửa sổ giúp tự thở qua đường thở trên và tập nói khi lắp nắp đỏ hoặc van tập nói.</t>
  </si>
  <si>
    <t>Van tập nói một chiều Mera Sofit giúp bệnh nhân mở khí quản phát âm to, rõ hơn, cải thiện giao tiếp và chất lượng sống. Chỉ dùng với ống mở khí quản 2 nòng Mera Sofit.</t>
  </si>
  <si>
    <t>Máy xông khí dung Omron NE-C101 nhỏ gọn, vận hành một nút bấm, hỗ trợ điều trị bệnh hô hấp tại nhà. Kèm đủ ống ngậm, ống mũi và mặt nạ xông.</t>
  </si>
  <si>
    <t>Máy xông khí dung Omron NE-C106 dễ dùng, hỗ trợ phòng và điều trị bệnh hô hấp như viêm mũi, viêm xoang cho cả gia đình. Kèm ống ngậm và mặt nạ xông cho trẻ em, người lớn.</t>
  </si>
  <si>
    <t>Máy xông khí dung Omron NE-C28 công nghệ van ảo VVT, hạt sương mịn giúp thuốc vào sâu phổi, rút ngắn thời gian xông. Hỗ trợ điều trị viêm mũi, xoang, họng, phế quản, hen suyễn mà không ảnh hưởng tiêu hóa.</t>
  </si>
  <si>
    <t>Máy tạo oxy Owgels OZ-5-01GW0 (10 lít/phút) cung cấp oxy nồng độ cao cho người bệnh, tích hợp chức năng xông khí dung. Dùng được tại bệnh viện hoặc chăm sóc tại nhà.</t>
  </si>
  <si>
    <t>Máy tạo oxy Owgels OZ-501PW0 (5 lít/phút) dùng công nghệ PSA tách oxy từ không khí, cung cấp oxy cho người bệnh, tích hợp chức năng xông khí dung. Dùng tại nhà, phòng khám và bệnh viện.</t>
  </si>
  <si>
    <t>Máy tạo oxy Owgels OZ-501TW0 (5 lít/phút) thế hệ mới, tích hợp xông khí dung, hỗ trợ điều trị viêm phổi mạn tính, COPD, ung thư phổi và người khó thở. Dùng tại nhà, phòng khám và bệnh viện.</t>
  </si>
  <si>
    <t>Máy trợ thở 2 chiều BiPAP Owgels OGH-520C, thở không xâm lấn, dùng tại nhà hoặc bệnh viện. Hỗ trợ bệnh nhân COPD, suy hô hấp, ngưng thở khi ngủ, rối loạn giấc ngủ, ngủ ngáy.</t>
  </si>
  <si>
    <t>Máy trợ thở Auto CPAP Owgels OGH-520A kết hợp chế độ tự động chỉnh áp suất (APAP) và áp suất liên tục (CPAP), giữ đường thở thông suốt khi ngủ. Dùng điều trị ngưng thở khi ngủ, tại nhà hoặc bệnh viện.</t>
  </si>
  <si>
    <t>Mũi nhân tạo Pharma (Thụy Điển) dùng 1 lần, lắp vào đầu ống mở khí quản giúp lọc bụi, làm ấm và làm ẩm khí thở. Thiết kế nhỏ gọn, giảm công thở và khoảng chết, dễ vệ sinh.</t>
  </si>
  <si>
    <t>Phế dung kế Seasight 5000ml hỗ trợ tập hít sâu, tăng dung tích và độ giãn nở phổi, đồng thời theo dõi tiến bộ chức năng hô hấp. Dùng cho bệnh nhân sau phẫu thuật phổi, hen, bệnh phổi mạn tính; tập được tại viện hoặc tại nhà.</t>
  </si>
  <si>
    <t>Bộ mở khí quản cấp cứu Portex PCK gồm đủ dụng cụ xử trí tắc nghẽn đường hô hấp trên nghiêm trọng. Kim sắc chuyên dụng mở màng nhẫn giáp để luồn ống 6mm có bóng Soft Seal giúp duy trì đường thở.</t>
  </si>
  <si>
    <t>Bộ mở khí quản nhanh Portex® Mini-Trach® II đặt ống thông qua màng nhẫn giáp theo kỹ thuật Seldinger. Định vị chính xác, giảm chảy máu và nguy cơ chọc sai; đủ dụng cụ cho mở khí quản cấp cứu.</t>
  </si>
  <si>
    <t>Cây nòng Bougie (Smiths Medical) dùng khi đặt nội khí quản khó mà cây nòng Stylet thông thường không thành công. Cần thiết cho bác sĩ cấp cứu, đặc biệt ở nơi thiếu phương tiện.</t>
  </si>
  <si>
    <t>Đồng hồ đo áp lực bóng Smiths giúp theo dõi và giữ áp lực bóng ống nội khí quản ở mức an toàn 20–30cmH2O, tránh tổn thương niêm mạc khí quản. Đảm bảo bóng chèn kín khi bệnh nhân thở máy áp lực cao.</t>
  </si>
  <si>
    <t>Ống nội khí quản Portex SACETT có ống hút trên bóng, hút liên tục dịch đọng dưới thanh môn, giảm nguy cơ viêm phổi thở máy (VAP). Bóng Soft-Seal thể tích lớn, áp lực thấp, giảm tổn thương khí quản.</t>
  </si>
  <si>
    <t>Đồng hồ đo áp lực bóng chèn VBM Universal dùng cho ống mở khí quản, ống nội khí quản và mask thanh quản, giữ áp lực bóng hiệu quả, an toàn. Đảm bảo bóng chèn kín khi bệnh nhân thở máy áp lực cao.</t>
  </si>
  <si>
    <t>Ống mở khí quản 2 nòng có bóng, có cửa sổ Rota-Trach kết nối máy thở; bóng cản quang dễ thấy trên X-quang. Cửa sổ giúp bệnh nhân đã ổn định tập thở, tập nói khi đậy nắp xanh.</t>
  </si>
  <si>
    <t>Ống mở khí quản 2 nòng có bóng, không cửa sổ Rota-Trach cho bệnh nhân thở máy; bóng thể tích lớn, áp lực thấp, giảm tổn thương niêm mạc. Nòng trong tháo rời vệ sinh, thay thế được; nên dùng kèm mũi nhân tạo.</t>
  </si>
  <si>
    <t>Ống mở khí quản 2 nòng không bóng, có cửa sổ Rota-Trach cho bệnh nhân không cần thở máy dài ngày. Cửa sổ giúp tự thở qua đường thở trên và tập nói khi lắp nắp xanh.</t>
  </si>
  <si>
    <t>Ống mở khí quản 2 nòng không bóng, không cửa sổ Rota-Trach cho bệnh nhân không cần thở máy dài ngày nhưng vẫn cần duy trì lỗ mở khí quản. Nên dùng kèm mũi nhân tạo để làm ấm, ẩm và lọc khí.</t>
  </si>
  <si>
    <t>Dây đai Yafho (43 x 2,5cm) cố định ống mở khí quản chắc chắn, chỉnh được độ dài. Vải xốp mềm, giảm trầy xước và kích ứng da, giúp chăm sóc nhanh gọn hơn.</t>
  </si>
  <si>
    <t>Dụng cụ cố định ống nội khí quản Yafho giữ ống chắc chắn, an toàn, thao tác nhanh, giúp quản lý đường thở liên tục. Đạt tiêu chuẩn FDA và CE.</t>
  </si>
  <si>
    <t>Dụng cụ cố định ống nội khí quản Yafho có chống cắn, giữ ống chắc chắn và ngừa tắc ống do cắn. Dễ vệ sinh răng miệng, dễ đổi vị trí ống tránh loét môi, giảm nguy cơ viêm phổi liên quan thở máy.</t>
  </si>
  <si>
    <t>Máy hút dịch 1 bình Yuwell 7E-A hút đờm, dịch tiết mũi họng nhẹ nhàng, giúp thông thoáng đường thở. Chỉnh được lực hút, dùng cho cả trẻ em và người lớn; đạt ISO 13485, FDA.</t>
  </si>
  <si>
    <t>Dây đai cố định ống mở khí quản bằng vải xốp mềm, giữ ống chắc chắn và chỉnh được độ dài. Giảm trầy xước, kích ứng da, giúp chăm sóc nhanh gọn hơn.</t>
  </si>
  <si>
    <t>Mũi nhân tạo dùng 1 lần, lắp vào đầu ống mở khí quản giúp lọc bụi, làm ấm và làm ẩm khí thở. Thiết kế nhỏ gọn, giảm công thở và khoảng chết, dễ vệ sinh.</t>
  </si>
  <si>
    <t>Cảm biến FreeStyle Libre (Abbott) gắn ở mặt sau cánh tay, theo dõi đường huyết liên tục đến 14 ngày mà không cần chích máu ngón tay. Chỉ cần quét 1 giây bằng máy đọc FreeStyle Libre; được FDA chứng nhận.</t>
  </si>
  <si>
    <t>Máy đo đường huyết liên tục FreeStyle Libre 2 (Abbott) theo dõi đường huyết không cần chích máu, quét 1 giây bằng đầu đọc hoặc điện thoại. Thế hệ 2 có cảnh báo đường huyết cao/thấp qua Bluetooth, dùng được cho trẻ từ 2 tuổi và phụ nữ mang thai.</t>
  </si>
  <si>
    <t>Máy đo đường huyết On Call Plus (Acon) dùng que thử men GOD cho kết quả chính xác cao. Gọn nhẹ, thao tác đơn giản, tiện tự đo đường huyết tại nhà hoặc khi di chuyển.</t>
  </si>
  <si>
    <t>Que thử đường huyết On Call Plus (Acon, Mỹ) dùng men GOD, phản ứng đặc hiệu với glucose cho kết quả chính xác trên 99%. Thao tác đơn giản, phù hợp cả người cao tuổi; dùng với máy On Call Plus.</t>
  </si>
  <si>
    <t>Máy đo huyết áp bắp tay tự động iMediCare iBPM-6S (Singapore) đo huyết áp và nhịp tim chính xác. Giá hợp lý, dễ dùng, phù hợp theo dõi hằng ngày tại nhà.</t>
  </si>
  <si>
    <t>Máy đo SpO2 iMediCare iOM-A6 kẹp ngón tay, đo nồng độ oxy trong máu và nhịp tim nhanh, không đau. Nhỏ gọn, dễ dùng cho người lớn và trẻ trên 12 tuổi, tại nhà hoặc bệnh viện.</t>
  </si>
  <si>
    <t>Nhiệt kế hồng ngoại iMediCare iTM-32A đo nhanh ở tai, trán, đo được cả nhiệt độ phòng và đồ vật; lưu 32 kết quả. Màn hình lớn có đèn nền, cảnh báo pin yếu, tự tắt; tiện cho gia đình có trẻ nhỏ.</t>
  </si>
  <si>
    <t>Máy đo 3 trong 1 GlucoAlpha IN4 Care đo đường huyết, cholesterol và axit uric chỉ trên một thiết bị. Kết quả chính xác, giúp theo dõi tiểu đường, mỡ máu, gút tại nhà.</t>
  </si>
  <si>
    <t>Que thử axit uric GlucoAlpha dùng với máy 3 trong 1 GlucoAlpha IN4 Care, đo axit uric từ máu mao mạch đầu ngón tay. Giúp theo dõi bệnh gút; kết quả nhanh, chính xác.</t>
  </si>
  <si>
    <t>Que thử cholesterol GlucoAlpha dùng với máy 3 trong 1 GlucoAlpha IN4 Care, đo cholesterol toàn phần từ máu mao mạch đầu ngón tay. Giúp theo dõi mỡ máu; kết quả nhanh, chính xác.</t>
  </si>
  <si>
    <t>Que thử đường huyết GlucoAlpha dùng với máy 3 trong 1 GlucoAlpha IN4 Care, đo đường huyết từ máu mao mạch đầu ngón tay. Giúp người tiểu đường theo dõi thường xuyên; kết quả nhanh, chính xác.</t>
  </si>
  <si>
    <t>Máy đo SpO2 Jumper JPD-500D kẹp ngón tay, đo nồng độ oxy trong máu và nhịp tim bằng cảm biến quang học, không đau. Nhỏ gọn, dễ mang theo; đạt chứng nhận FDA.</t>
  </si>
  <si>
    <t>Máy đo tim thai Cody Health JPD-100E dùng công nghệ Doppler, giúp mẹ bầu tự nghe và theo dõi nhịp tim thai tại nhà. Đạt chứng nhận CE, FDA, ISO 13485.</t>
  </si>
  <si>
    <t>Bộ truyền tín hiệu Medtronic Guardian™ Link 3 kết nối cảm biến Guardian™ Sensor 3 với máy bơm insulin MiniMed 640G. Truyền dữ liệu đường huyết để máy bơm tự tính và điều chỉnh liều insulin.</t>
  </si>
  <si>
    <t>Cảm biến Medtronic Guardian™ Sensor 3 thuộc hệ thống đo đường huyết liên tục CGM Guardian™ Connect, nhỏ gọn, gắn lên da không đau. Giúp người tiểu đường theo dõi liên tục và xử trí kịp thời khi đường huyết tăng hoặc hạ.</t>
  </si>
  <si>
    <t>Hệ thống CGM Medtronic Guardian™ Connect theo dõi đường huyết liên tục qua cảm biến Guardian™ Sensor 3 gắn ở cánh tay hoặc bụng, không cần chích máu. Dữ liệu hiển thị theo thời gian thực trên điện thoại; bác sĩ, người thân theo dõi được qua CareLink™.</t>
  </si>
  <si>
    <t>Cân sức khỏe điện tử Omron HN-289 có cảm biến 4 góc, chỉ cần chạm chân là cân tự bật. Gọn nhẹ, mặt kính cường lực dễ vệ sinh, phù hợp theo dõi cân nặng cho gia đình.</t>
  </si>
  <si>
    <t>Cân đo chỉ số cơ thể Omron BodySCAN™ HBF-224 theo dõi mỡ cơ thể, mỡ nội tạng và cơ xương cho cả gia đình. Nhỏ gọn, chân đế chống trượt, màn hình chữ lớn dễ đọc.</t>
  </si>
  <si>
    <t>Máy đo huyết áp bắp tay Omron JPN600 nhập khẩu nguyên chiếc từ Nhật Bản, đo nhanh, chính xác, bền và ổn định. Phù hợp theo dõi huyết áp tại nhà, kể cả người cao tuổi.</t>
  </si>
  <si>
    <t>Máy đo huyết áp bắp tay Omron JPN750 nhập khẩu nguyên chiếc từ Nhật Bản, đo nhanh, chính xác, bền và ổn định. Phù hợp theo dõi huyết áp tại nhà, kể cả người cao tuổi.</t>
  </si>
  <si>
    <t>Máy đo huyết áp bắp tay Omron HEM-7156T kết nối Bluetooth, vòng bít IntelliWrap™ 360° cho kết quả chính xác dù quấn ở vị trí nào. Đo tự động, lưu 60 kết quả, phù hợp đo huyết áp và nhịp tim tại nhà.</t>
  </si>
  <si>
    <t>Máy đo huyết áp bắp tay tự động Omron HEM-7156, vòng bít IntelliWrap™ 360° cho kết quả chính xác dù quấn ở vị trí nào. Dễ sử dụng, lưu 60 kết quả, phù hợp đo huyết áp và nhịp tim tại nhà.</t>
  </si>
  <si>
    <t>Máy đo huyết áp bắp tay tự động Omron HEM-7180 (EZ Lite) đo huyết áp và nhịp tim nhanh, chính xác tại nhà. Nhỏ gọn, màn hình LCD rõ, có cảnh báo thông minh; phù hợp người trung niên, cao tuổi.</t>
  </si>
  <si>
    <t>Máy đo huyết áp bắp tay tự động Omron HEM-7142T1 kết nối Bluetooth với điện thoại để theo dõi huyết áp liên tục. Thao tác đơn giản, kết quả nhanh, chính xác; gọn nhẹ, dễ mang theo.</t>
  </si>
  <si>
    <t>Máy đo huyết áp bắp tay tự động Omron HEM-7142T2 kết nối Bluetooth với điện thoại để theo dõi huyết áp liên tục. Thao tác đơn giản, kết quả nhanh, chính xác; gọn nhẹ, dễ mang theo.</t>
  </si>
  <si>
    <t>Máy đo huyết áp bắp tay tự động Omron HEM-7143T1 kết nối Bluetooth với điện thoại để theo dõi huyết áp liên tục. Thao tác đơn giản, kết quả nhanh, chính xác; gọn nhẹ, dễ mang theo.</t>
  </si>
  <si>
    <t>Máy đo thành phần cơ thể Omron HBF-375 phân tích cân nặng, mỡ cơ thể, BMI, tỷ lệ cơ xương, mức chuyển hóa (BMR). Giúp theo dõi sức khỏe và xây dựng chế độ ăn uống, sinh hoạt phù hợp.</t>
  </si>
  <si>
    <t>Nhiệt kế điện tử Omron MC-246 đầu đo mềm, đo được ở miệng, nách, hậu môn, chính xác đến 0,1°C. An toàn hơn nhiệt kế thủy ngân, ghi nhớ kết quả lần đo trước.</t>
  </si>
  <si>
    <t>Nhiệt kế đo trán Omron MC-720 không tiếp xúc da, cho kết quả trong 1 giây, dùng được cho mọi lứa tuổi kể cả trẻ sơ sinh. Tích hợp 3 chế độ: đo thân nhiệt, nhiệt độ bề mặt và nhiệt độ phòng.</t>
  </si>
  <si>
    <t>Máy đo đường huyết Accu-Chek Instant (Roche) đo nhanh, cần ít máu, độ chính xác cao tương đương thiết bị chuyên dụng. Nhỏ gọn, thao tác đơn giản, phù hợp tự theo dõi tại nhà.</t>
  </si>
  <si>
    <t>Que thử đường huyết Accu-Chek Instant (Roche) dùng với máy Accu-Chek Instant, giúp tự kiểm tra đường huyết tại nhà an toàn, chính xác. Nhỏ gọn, dễ mang theo.</t>
  </si>
  <si>
    <t>Hệ thống CGM Sinocare iCan i3 theo dõi đường huyết liên tục qua cảm biến gắn ở cánh tay hoặc bụng, không cần chích máu. Dữ liệu hiển thị theo thời gian thực trên điện thoại; bác sĩ, người thân theo dõi được từ xa.</t>
  </si>
  <si>
    <t>Máy đo đường huyết Sinocare Safe-Accu sản xuất theo công nghệ Đức, cho kết quả nhanh và chính xác. Que thử không cần cài mã, dễ sử dụng tại nhà.</t>
  </si>
  <si>
    <t>Que thử đường huyết Sinocare Safe-Accu dùng với máy Safe-Accu, sản xuất theo công nghệ Đức, cho kết quả chính xác. Gọn nhẹ, tiện mang theo.</t>
  </si>
  <si>
    <t>Bộ ống thông tiểu ngắt quãng Cliny cho nam bằng 100% silicone y tế (tiêu chuẩn Nhật Bản), đầu thuôn nhỏ dễ đặt, không đau, ít tắc. Dùng tự thông tiểu tại nhà, bệnh viện, phòng khám.</t>
  </si>
  <si>
    <t>Ống thông tiểu ngắt quãng Selfcath (Fuji Systems, Nhật Bản) bằng silicone y tế siêu mềm, giúp người bí tiểu, bàng quang thần kinh, tổn thương tủy sống chủ động tự thông tiểu. Kèm hộp đựng sát khuẩn, tái sử dụng nhiều lần, giảm nguy cơ nhiễm trùng.</t>
  </si>
  <si>
    <t>Ống thông tiểu Foley 2 nhánh Idealcare bằng 100% silicone y tế, lưu ống đến 1 tháng, hạn chế viêm nhiễm, dị ứng và việc đặt lại nhiều lần. Bóng ở đầu ống giúp cố định trong bàng quang.</t>
  </si>
  <si>
    <t>Ống thông tiểu Foley 3 nhánh Idealcare bằng 100% silicone y tế, lưu ống đến 1 tháng, hạn chế viêm nhiễm, dị ứng và việc đặt lại nhiều lần. Nhánh thứ ba dùng bơm rửa bàng quang; bóng ở đầu giúp cố định ống.</t>
  </si>
  <si>
    <t>Ống thông tiểu Foley 2 nhánh Mepro bằng 100% silicone y tế, lưu ống đến 30 ngày, hạn chế viêm nhiễm, dị ứng và việc đặt lại nhiều lần. Bóng ở đầu ống giúp cố định trong bàng quang.</t>
  </si>
  <si>
    <t>Bộ chụp tiểu nam PitrMed bằng silicone y tế, thu nước tiểu tại giường cho người không đi lại được như người cao tuổi, sau tai biến. Thay thế bỉm, giảm bí bách, kích ứng và giảm công chăm sóc.</t>
  </si>
  <si>
    <t>Túi đựng nước tiểu i-CARE (Welford, Malaysia) nối với ống thông tiểu Foley, có van xả và van chống trào ngược giúp ngừa nhiễm trùng. Tiệt trùng EO, đạt CE, ISO.</t>
  </si>
  <si>
    <t>Bộ mở bàng quang qua da Yushin dẫn lưu nước tiểu qua thành bụng khi tắc niệu đạo, không đặt được ống thông tiểu thông thường. Ống silicone 2 nhánh: một nhánh dẫn nước tiểu, một nhánh bơm bóng cố định.</t>
  </si>
  <si>
    <t>Ống thông tiểu Foley 2 nhánh Yushin bằng 100% silicone y tế, lưu ống đến 1 tháng, hạn chế viêm nhiễm, dị ứng và việc đặt lại nhiều lần. Bóng ở đầu ống giúp cố định trong bàng quang.</t>
  </si>
  <si>
    <t>Ống thông tiểu ngắt quãng Yushin cho nam bằng 100% silicone y tế, đầu thuôn nhỏ dễ đặt, không đau, ít tắc. Dùng tự thông tiểu tại nhà, bệnh viện, phòng khám.</t>
  </si>
  <si>
    <t>Túi đựng nước tiểu cột chân nối với ống thông tiểu Foley, có van xả và van chống trào ngược giúp ngừa nhiễm trùng. Dây thun điều chỉnh cố định túi lên chân, tiện di chuyển; đạt CE, ISO.</t>
  </si>
  <si>
    <t>Hệ thống dẫn lưu phân Bornsun bằng gel silica y tế, thu gom phân lỏng, bán lỏng cho bệnh nhân nằm lâu, đặc biệt tại ICU. Bảo vệ da quanh hậu môn, ngừa nhiễm trùng và giảm công chăm sóc; dùng 1 lần.</t>
  </si>
  <si>
    <t>Ống thông dạ dày silicone Kangaroo lưu ống đến 29 ngày, dùng đưa dinh dưỡng, thuốc vào dạ dày hoặc rửa, giảm áp dạ dày. Ít phải thay ống, giảm tổn thương mũi họng.</t>
  </si>
  <si>
    <t>Bộ mở thông dạ dày qua da Cliny bằng 100% silicone y tế, không latex, nuôi ăn qua thành bụng cho người tắc nghẽn tiêu hóa, tai biến, chấn thương đầu cổ. Ống 2 nòng: cổng bơm thức ăn có nắp và cổng van bơm bóng cố định.</t>
  </si>
  <si>
    <t>Sữa NUCARE Glucose Plan dinh dưỡng cân bằng dành riêng cho người tiểu đường, giúp kiểm soát đường huyết sau ăn. Dùng thay bữa chính hoặc bữa phụ; hương vị dễ uống.</t>
  </si>
  <si>
    <t>Bộ mở thông dạ dày qua da Fortune bằng silicone, nuôi ăn qua thành bụng tạm thời hoặc lâu dài. Ống 3 nòng: cổng bơm thức ăn, cổng bơm thuốc và cổng van bơm bóng cố định.</t>
  </si>
  <si>
    <t>Xông nuôi ăn silicone Fortune lưu ống đến 29 ngày, dùng đưa dinh dưỡng, thuốc vào dạ dày hoặc rửa, giảm áp dạ dày. Ít phải thay ống, giảm tổn thương mũi họng; tiệt trùng EO.</t>
  </si>
  <si>
    <t>Dây xông dạ dày silicone Mepro (1200mm) lưu ống đến 30 ngày, dùng đưa dinh dưỡng, thuốc vào dạ dày hoặc hút dịch giảm áp. Ít phải thay ống, giảm tổn thương mũi họng; tiệt trùng EO.</t>
  </si>
  <si>
    <t>Sữa Fortimel Power (Nutricia) giàu đạm, cao hơn 35% so với các sản phẩm thông thường, giúp người bệnh phục hồi nhanh. Phù hợp người sau mổ, người cao tuổi, người ốm cần bổ sung dinh dưỡng; dễ uống.</t>
  </si>
  <si>
    <t>Sữa Forticare (Nutricia) dinh dưỡng chuyên biệt cho bệnh nhân ung thư, giúp ngăn ngừa và hỗ trợ điều trị sụt cân. Bổ sung năng lượng, vitamin, khoáng chất cho người suy kiệt, khó nhai nuốt, mới ốm dậy.</t>
  </si>
  <si>
    <t>Sữa Nutrison (Nutricia) dạng nước dùng nuôi ăn qua ống thông dạ dày, cung cấp đủ dưỡng chất giúp duy trì năng lượng và phục hồi sức khỏe. Dùng 1 lần với dây nuôi ăn, hạn chế nhiễm khuẩn so với pha sữa bột.</t>
  </si>
  <si>
    <t>Bộ mở thông dạ dày qua da SeaSight bằng silicone, nuôi ăn qua thành bụng cho người tắc nghẽn tiêu hóa, tai biến, chấn thương đầu cổ. Ống 3 nòng: cổng bơm thức ăn, cổng bơm thuốc và cổng van bơm bóng cố định.</t>
  </si>
  <si>
    <t>Dây nuôi ăn mũi - dạ dày silicone Seasight (1000mm) lưu ống đến 29 ngày, dùng đưa dinh dưỡng, thuốc vào dạ dày hoặc rửa, giảm áp dạ dày. Ít phải thay ống, giảm tổn thương mũi họng; tiệt trùng EO.</t>
  </si>
  <si>
    <t>Ống chẹn thực quản - dạ dày Sengstaken-Blakemore (Teleflex RÜSCH) dùng cầm máu tạm thời khi chảy máu thực quản cấp (thường do xơ gan) trong lúc chờ điều trị triệt để. Ống 3–4 nòng có bóng chèn tại vị trí chảy máu ở thực quản hoặc dạ dày.</t>
  </si>
  <si>
    <t>Bơm tiêm cho ăn 50cc Vinahankook dùng 1 lần, bơm thức ăn lỏng vào dạ dày qua ống thông cho trẻ sơ sinh và người không tự ăn được. Tiệt trùng EO, đóng gói từng chiếc.</t>
  </si>
  <si>
    <t>Dây nuôi ăn đầu nặng bằng 100% silicone y tế, lưu ống đến 30 ngày, dùng đưa dinh dưỡng, thuốc vào dạ dày hoặc rửa, giảm áp dạ dày. Ít phải thay ống, giảm tổn thương mũi họng; tiệt trùng EO.</t>
  </si>
  <si>
    <t>Catheter chạy thận 2 nòng Lepu, đầu thẳng, bằng polyurethane vô trùng, tạo đường kết nối tạm thời giữa bệnh nhân và máy lọc máu khi lọc máu cấp, ngắn hạn. Dùng 1 lần; đạt ISO, CE.</t>
  </si>
  <si>
    <t>Catheter chạy thận 3 nòng Lepu, đầu thẳng, bằng polyurethane vô trùng, tạo đường kết nối tạm thời giữa bệnh nhân và máy lọc máu khi lọc máu cấp, ngắn hạn. Nòng thứ ba hỗ trợ truyền dịch, thuốc; dùng 1 lần, đạt ISO, CE.</t>
  </si>
  <si>
    <t>Bình chứa insulin Medtronic MiniMed Reservoir MMT-332A (3ml, tối đa 300 đơn vị U100) cho máy bơm MiniMed Paradigm 715 và 640G. Kết nối với dây truyền Quick-Set MMT-387, 398, 399.</t>
  </si>
  <si>
    <t>Dụng cụ One-Press Serter (Medtronic) giúp gắn cảm biến CGM Guardian™ Sensor 3 lên da nhanh và dễ chỉ bằng một nút ấn. Phụ kiện của hệ thống Guardian™ Connect; bán riêng.</t>
  </si>
  <si>
    <t>Dụng cụ Quick-Serter (Medtronic) giúp gắn cổng tiêm của dây truyền insulin vào da nhanh và dễ bằng một nút ấn. Dùng với dây truyền Paradigm Quick-Set MMT-387, 398, 399.</t>
  </si>
  <si>
    <t>Dây truyền insulin Medtronic Paradigm Quick-Set MMT-397, một đầu gắn dưới da, một đầu nối bình chứa insulin. Dùng cho máy bơm MiniMed Paradigm 715 và 640G.</t>
  </si>
  <si>
    <t>Máy bơm insulin tự động Medtronic MiniMed 640G kết hợp đo đường huyết liên tục (CGM), tự điều chỉnh liều insulin theo đường huyết. Công nghệ SmartGuard mô phỏng tuyến tụy, dành cho người tiểu đường phụ thuộc insulin.</t>
  </si>
  <si>
    <t>Máy bơm insulin tự động Medtronic MiniMed Paradigm 715 cung cấp insulin liên tục 24 giờ theo liều cơ bản cài đặt, tốc độ ổn định và chính xác. Dành cho người tiểu đường phụ thuộc insulin.</t>
  </si>
  <si>
    <t>Khẩu trang N95 Nask dùng sợi Nanofiber, lọc trên 95% vi khuẩn và bụi mịn PM2.5 theo tiêu chuẩn N95 (NIOSH). Siêu mỏng, nhẹ, thoáng khí; đạt giải vàng sáng chế Geneva 2017.</t>
  </si>
  <si>
    <t>Thiết bị lấy máu tích hợp kim Accu-Chek Safe-T-Pro Uno (Roche) dùng chích máu mao mạch đầu ngón tay, vô trùng, dùng 1 lần. Trẻ dưới 1 tuổi lấy máu gót chân do nhân viên y tế thực hiện; đạt CE.</t>
  </si>
  <si>
    <t>Kim chích máu Sinodraw 4 cạnh dùng lấy máu mao mạch đầu ngón tay nhẹ nhàng, đơn giản. Dùng kèm máy đo đường huyết Sinocare Safe-Accu.</t>
  </si>
  <si>
    <t>Bơm tiêm insulin SungShim (Hàn Quốc) 0,5ml, kim ngắn siêu mỏng giúp giảm đau khi tiêm. Kim liền xi lanh tránh hao thuốc; được nhiều bệnh viện tin dùng.</t>
  </si>
  <si>
    <t>Bơm tiêm insulin Vinahankook 1ml U100 dùng 1 lần, sản xuất theo công nghệ Hàn Quốc, vô trùng, không độc. Kim sắc mỏng, tiêm dễ, ít đau; đạt ISO 13485, GMP.</t>
  </si>
  <si>
    <t>Dây truyền dịch WELCARE IF6006 loại 60 giọt, không kim, có bộ điều chỉnh giọt chính xác và màng lọc khuẩn. Giảm công theo dõi, điều chỉnh; tiệt trùng EO, đóng gói riêng.</t>
  </si>
  <si>
    <t>Băng keo cố định kim luồn có gạc Wound-IV (6x7cm) nền vải không dệt, rãnh chữ V giúp cố định kim luồn, ống thông chắc chắn. Gạc thấm hút, mềm, thoáng, an toàn cho da nhạy cảm.</t>
  </si>
  <si>
    <t>Băng keo cố định kim luồn Adflex-IV (5,1x6cm) bằng PU trong suốt, không thấm nước, không gạc, rãnh chữ V giữ kim luồn, ống truyền chắc chắn. Dễ quan sát vùng dán; góc bo tròn tránh bong mép.</t>
  </si>
  <si>
    <t>Brand Code</t>
  </si>
  <si>
    <t>PRODUCT-00001</t>
  </si>
  <si>
    <t>PRODUCT-00002</t>
  </si>
  <si>
    <t>PRODUCT-00003</t>
  </si>
  <si>
    <t>PRODUCT-00004</t>
  </si>
  <si>
    <t>PRODUCT-00005</t>
  </si>
  <si>
    <t>PRODUCT-00006</t>
  </si>
  <si>
    <t>PRODUCT-00007</t>
  </si>
  <si>
    <t>PRODUCT-00008</t>
  </si>
  <si>
    <t>PRODUCT-00009</t>
  </si>
  <si>
    <t>PRODUCT-00010</t>
  </si>
  <si>
    <t>PRODUCT-00011</t>
  </si>
  <si>
    <t>PRODUCT-00012</t>
  </si>
  <si>
    <t>PRODUCT-00013</t>
  </si>
  <si>
    <t>PRODUCT-00014</t>
  </si>
  <si>
    <t>PRODUCT-00015</t>
  </si>
  <si>
    <t>PRODUCT-00016</t>
  </si>
  <si>
    <t>PRODUCT-00017</t>
  </si>
  <si>
    <t>PRODUCT-00018</t>
  </si>
  <si>
    <t>PRODUCT-00019</t>
  </si>
  <si>
    <t>PRODUCT-00020</t>
  </si>
  <si>
    <t>PRODUCT-00021</t>
  </si>
  <si>
    <t>PRODUCT-00022</t>
  </si>
  <si>
    <t>PRODUCT-00023</t>
  </si>
  <si>
    <t>PRODUCT-00024</t>
  </si>
  <si>
    <t>PRODUCT-00025</t>
  </si>
  <si>
    <t>PRODUCT-00026</t>
  </si>
  <si>
    <t>PRODUCT-00027</t>
  </si>
  <si>
    <t>PRODUCT-00028</t>
  </si>
  <si>
    <t>PRODUCT-00029</t>
  </si>
  <si>
    <t>PRODUCT-00030</t>
  </si>
  <si>
    <t>PRODUCT-00031</t>
  </si>
  <si>
    <t>PRODUCT-00032</t>
  </si>
  <si>
    <t>PRODUCT-00033</t>
  </si>
  <si>
    <t>PRODUCT-00034</t>
  </si>
  <si>
    <t>PRODUCT-00035</t>
  </si>
  <si>
    <t>PRODUCT-00036</t>
  </si>
  <si>
    <t>PRODUCT-00037</t>
  </si>
  <si>
    <t>PRODUCT-00038</t>
  </si>
  <si>
    <t>PRODUCT-00039</t>
  </si>
  <si>
    <t>PRODUCT-00040</t>
  </si>
  <si>
    <t>PRODUCT-00041</t>
  </si>
  <si>
    <t>PRODUCT-00042</t>
  </si>
  <si>
    <t>PRODUCT-00043</t>
  </si>
  <si>
    <t>PRODUCT-00044</t>
  </si>
  <si>
    <t>PRODUCT-00045</t>
  </si>
  <si>
    <t>PRODUCT-00046</t>
  </si>
  <si>
    <t>PRODUCT-00047</t>
  </si>
  <si>
    <t>PRODUCT-00048</t>
  </si>
  <si>
    <t>PRODUCT-00049</t>
  </si>
  <si>
    <t>PRODUCT-00050</t>
  </si>
  <si>
    <t>PRODUCT-00051</t>
  </si>
  <si>
    <t>PRODUCT-00052</t>
  </si>
  <si>
    <t>PRODUCT-00053</t>
  </si>
  <si>
    <t>PRODUCT-00054</t>
  </si>
  <si>
    <t>PRODUCT-00055</t>
  </si>
  <si>
    <t>PRODUCT-00056</t>
  </si>
  <si>
    <t>PRODUCT-00057</t>
  </si>
  <si>
    <t>PRODUCT-00058</t>
  </si>
  <si>
    <t>PRODUCT-00059</t>
  </si>
  <si>
    <t>PRODUCT-00060</t>
  </si>
  <si>
    <t>PRODUCT-00061</t>
  </si>
  <si>
    <t>PRODUCT-00062</t>
  </si>
  <si>
    <t>PRODUCT-00063</t>
  </si>
  <si>
    <t>PRODUCT-00064</t>
  </si>
  <si>
    <t>PRODUCT-00065</t>
  </si>
  <si>
    <t>PRODUCT-00066</t>
  </si>
  <si>
    <t>PRODUCT-00067</t>
  </si>
  <si>
    <t>PRODUCT-00068</t>
  </si>
  <si>
    <t>PRODUCT-00069</t>
  </si>
  <si>
    <t>PRODUCT-00070</t>
  </si>
  <si>
    <t>PRODUCT-00071</t>
  </si>
  <si>
    <t>PRODUCT-00072</t>
  </si>
  <si>
    <t>PRODUCT-00073</t>
  </si>
  <si>
    <t>PRODUCT-00074</t>
  </si>
  <si>
    <t>PRODUCT-00075</t>
  </si>
  <si>
    <t>PRODUCT-00076</t>
  </si>
  <si>
    <t>PRODUCT-00077</t>
  </si>
  <si>
    <t>PRODUCT-00078</t>
  </si>
  <si>
    <t>PRODUCT-00079</t>
  </si>
  <si>
    <t>PRODUCT-00080</t>
  </si>
  <si>
    <t>PRODUCT-00081</t>
  </si>
  <si>
    <t>PRODUCT-00082</t>
  </si>
  <si>
    <t>PRODUCT-00083</t>
  </si>
  <si>
    <t>PRODUCT-00084</t>
  </si>
  <si>
    <t>PRODUCT-00085</t>
  </si>
  <si>
    <t>PRODUCT-00086</t>
  </si>
  <si>
    <t>PRODUCT-00087</t>
  </si>
  <si>
    <t>PRODUCT-00088</t>
  </si>
  <si>
    <t>PRODUCT-00089</t>
  </si>
  <si>
    <t>PRODUCT-00090</t>
  </si>
  <si>
    <t>PRODUCT-00091</t>
  </si>
  <si>
    <t>PRODUCT-00092</t>
  </si>
  <si>
    <t>PRODUCT-00093</t>
  </si>
  <si>
    <t>PRODUCT-00094</t>
  </si>
  <si>
    <t>PRODUCT-00095</t>
  </si>
  <si>
    <t>PRODUCT-00096</t>
  </si>
  <si>
    <t>PRODUCT-00097</t>
  </si>
  <si>
    <t>PRODUCT-00098</t>
  </si>
  <si>
    <t>PRODUCT-00099</t>
  </si>
  <si>
    <t>PRODUCT-00100</t>
  </si>
  <si>
    <t>PRODUCT-00101</t>
  </si>
  <si>
    <t>PRODUCT-00102</t>
  </si>
  <si>
    <t>PRODUCT-00103</t>
  </si>
  <si>
    <t>PRODUCT-00104</t>
  </si>
  <si>
    <t>PRODUCT-00105</t>
  </si>
  <si>
    <t>PRODUCT-00106</t>
  </si>
  <si>
    <t>PRODUCT-00107</t>
  </si>
  <si>
    <t>PRODUCT-00108</t>
  </si>
  <si>
    <t>PRODUCT-00109</t>
  </si>
  <si>
    <t>PRODUCT-00110</t>
  </si>
  <si>
    <t>PRODUCT-00111</t>
  </si>
  <si>
    <t>PRODUCT-00112</t>
  </si>
  <si>
    <t>PRODUCT-00113</t>
  </si>
  <si>
    <t>PRODUCT-00114</t>
  </si>
  <si>
    <t>PRODUCT-00115</t>
  </si>
  <si>
    <t>PRODUCT-00116</t>
  </si>
  <si>
    <t>PRODUCT-00117</t>
  </si>
  <si>
    <t>PRODUCT-00118</t>
  </si>
  <si>
    <t>PRODUCT-00119</t>
  </si>
  <si>
    <t>PRODUCT-00120</t>
  </si>
  <si>
    <t>PRODUCT-00121</t>
  </si>
  <si>
    <t>PRODUCT-00122</t>
  </si>
  <si>
    <t>PRODUCT-00123</t>
  </si>
  <si>
    <t>PRODUCT-00124</t>
  </si>
  <si>
    <t>PRODUCT-00125</t>
  </si>
  <si>
    <t>PRODUCT-00126</t>
  </si>
  <si>
    <t>PRODUCT-00127</t>
  </si>
  <si>
    <t>PRODUCT-00128</t>
  </si>
  <si>
    <t>PRODUCT-00129</t>
  </si>
  <si>
    <t>PRODUCT-00130</t>
  </si>
  <si>
    <t>PRODUCT-00131</t>
  </si>
  <si>
    <t>PRODUCT-00132</t>
  </si>
  <si>
    <t>PRODUCT-00133</t>
  </si>
  <si>
    <t>PRODUCT-00134</t>
  </si>
  <si>
    <t>PRODUCT-00135</t>
  </si>
  <si>
    <t>PRODUCT-00136</t>
  </si>
  <si>
    <t>PRODUCT-00137</t>
  </si>
  <si>
    <t>PRODUCT-00138</t>
  </si>
  <si>
    <t>PRODUCT-00139</t>
  </si>
  <si>
    <t>PRODUCT-00140</t>
  </si>
  <si>
    <t>PRODUCT-00141</t>
  </si>
  <si>
    <t>PRODUCT-00142</t>
  </si>
  <si>
    <t>PRODUCT-00143</t>
  </si>
  <si>
    <t>PRODUCT-00144</t>
  </si>
  <si>
    <t>PRODUCT-00145</t>
  </si>
  <si>
    <t>PRODUCT-00146</t>
  </si>
  <si>
    <t>PRODUCT-00147</t>
  </si>
  <si>
    <t>PRODUCT-00148</t>
  </si>
  <si>
    <t>PRODUCT-00149</t>
  </si>
  <si>
    <t>PRODUCT-00150</t>
  </si>
  <si>
    <t>PRODUCT-00151</t>
  </si>
  <si>
    <t>PRODUCT-00152</t>
  </si>
  <si>
    <t>PRODUCT-00153</t>
  </si>
  <si>
    <t>PRODUCT-00154</t>
  </si>
  <si>
    <t>PRODUCT-00155</t>
  </si>
  <si>
    <t>PRODUCT-00156</t>
  </si>
  <si>
    <t>PRODUCT-00157</t>
  </si>
  <si>
    <t>PRODUCT-00158</t>
  </si>
  <si>
    <t>PRODUCT-00159</t>
  </si>
  <si>
    <t>PRODUCT-00160</t>
  </si>
  <si>
    <t>PRODUCT-00161</t>
  </si>
  <si>
    <t>PRODUCT-00162</t>
  </si>
  <si>
    <t>PRODUCT-00163</t>
  </si>
  <si>
    <t>PRODUCT-00164</t>
  </si>
  <si>
    <t>PRODUCT-00165</t>
  </si>
  <si>
    <t>PRODUCT-00166</t>
  </si>
  <si>
    <t>PRODUCT-00167</t>
  </si>
  <si>
    <t>PRODUCT-00168</t>
  </si>
  <si>
    <t>PRODUCT-00169</t>
  </si>
  <si>
    <t>PRODUCT-00170</t>
  </si>
  <si>
    <t>PRODUCT-00171</t>
  </si>
  <si>
    <t>PRODUCT-00172</t>
  </si>
  <si>
    <t>PRODUCT-00173</t>
  </si>
  <si>
    <t>PRODUCT-00174</t>
  </si>
  <si>
    <t>PRODUCT-00175</t>
  </si>
  <si>
    <t>PRODUCT-00176</t>
  </si>
  <si>
    <t>PRODUCT-00177</t>
  </si>
  <si>
    <t>PRODUCT-00178</t>
  </si>
  <si>
    <t>PRODUCT-00179</t>
  </si>
  <si>
    <t>PRODUCT-00180</t>
  </si>
  <si>
    <t>PRODUCT-00181</t>
  </si>
  <si>
    <t>PRODUCT-00182</t>
  </si>
  <si>
    <t>PRODUCT-00183</t>
  </si>
  <si>
    <t>PRODUCT-00184</t>
  </si>
  <si>
    <t>PRODUCT-00185</t>
  </si>
  <si>
    <t>PRODUCT-00186</t>
  </si>
  <si>
    <t>PRODUCT-00187</t>
  </si>
  <si>
    <t>PRODUCT-00188</t>
  </si>
  <si>
    <t>PRODUCT-00189</t>
  </si>
  <si>
    <t>PRODUCT-00190</t>
  </si>
  <si>
    <t>PRODUCT-00191</t>
  </si>
  <si>
    <t>PRODUCT-00192</t>
  </si>
  <si>
    <t>PRODUCT-00193</t>
  </si>
  <si>
    <t>PRODUCT-00194</t>
  </si>
  <si>
    <t>PRODUCT-00195</t>
  </si>
  <si>
    <t>PRODUCT-00196</t>
  </si>
  <si>
    <t>PRODUCT-00197</t>
  </si>
  <si>
    <t>PRODUCT-00198</t>
  </si>
  <si>
    <t>PRODUCT-00199</t>
  </si>
  <si>
    <t>PRODUCT-00200</t>
  </si>
  <si>
    <t>PRODUCT-00201</t>
  </si>
  <si>
    <t>PRODUCT-00202</t>
  </si>
  <si>
    <t>PRODUCT-00203</t>
  </si>
  <si>
    <t>PRODUCT-00204</t>
  </si>
  <si>
    <t>PRODUCT-00205</t>
  </si>
  <si>
    <t>PRODUCT-00206</t>
  </si>
  <si>
    <t>PRODUCT-00207</t>
  </si>
  <si>
    <t>PRODUCT-00208</t>
  </si>
  <si>
    <t>PRODUCT-00209</t>
  </si>
  <si>
    <t>PRODUCT-00210</t>
  </si>
  <si>
    <t>PRODUCT-00211</t>
  </si>
  <si>
    <t>PRODUCT-00212</t>
  </si>
  <si>
    <t>PRODUCT-00213</t>
  </si>
  <si>
    <t>PRODUCT-00214</t>
  </si>
  <si>
    <t>PRODUCT-00215</t>
  </si>
  <si>
    <t>PRODUCT-00216</t>
  </si>
  <si>
    <t>PRODUCT-00217</t>
  </si>
  <si>
    <t>PRODUCT-00218</t>
  </si>
  <si>
    <t>PRODUCT-00219</t>
  </si>
  <si>
    <t>PRODUCT-00220</t>
  </si>
  <si>
    <t>PRODUCT-00221</t>
  </si>
  <si>
    <t>PRODUCT-00222</t>
  </si>
  <si>
    <t>PRODUCT-00223</t>
  </si>
  <si>
    <t>PRODUCT-00224</t>
  </si>
  <si>
    <t>PRODUCT-00225</t>
  </si>
  <si>
    <t>PRODUCT-00226</t>
  </si>
  <si>
    <t>PRODUCT-00227</t>
  </si>
  <si>
    <t>PRODUCT-00228</t>
  </si>
  <si>
    <t>PRODUCT-00229</t>
  </si>
  <si>
    <t>PRODUCT-00230</t>
  </si>
  <si>
    <t>PRODUCT-00231</t>
  </si>
  <si>
    <t>PRODUCT-00232</t>
  </si>
  <si>
    <t>PRODUCT-00233</t>
  </si>
  <si>
    <t>PRODUCT-00234</t>
  </si>
  <si>
    <t>PRODUCT-00235</t>
  </si>
  <si>
    <t>PRODUCT-00236</t>
  </si>
  <si>
    <t>PRODUCT-00237</t>
  </si>
  <si>
    <t>PRODUCT-00238</t>
  </si>
  <si>
    <t>PRODUCT-00239</t>
  </si>
  <si>
    <t>PRODUCT-00240</t>
  </si>
  <si>
    <t>PRODUCT-00241</t>
  </si>
  <si>
    <t>PRODUCT-00242</t>
  </si>
  <si>
    <t>PRODUCT-00243</t>
  </si>
  <si>
    <t>PRODUCT-00244</t>
  </si>
  <si>
    <t>PRODUCT-00245</t>
  </si>
  <si>
    <t>PRODUCT-00246</t>
  </si>
  <si>
    <t>PRODUCT-00247</t>
  </si>
  <si>
    <t>PRODUCT-00248</t>
  </si>
  <si>
    <t>PRODUCT-00249</t>
  </si>
  <si>
    <t>Mã sản phẩm</t>
  </si>
  <si>
    <t>INSERT INTO medical_supply_brand (name, country, code) VALUES ('3M', 'United States', '3M');</t>
  </si>
  <si>
    <t>INSERT INTO medical_supply_product (id, active, category, description, name, sub_category, code, brand_code) VALUES (269, true, 'dasd', 'asdasd', 'asdasd', 'asdasd', 'asdasd', 'IMEDICARE');</t>
  </si>
  <si>
    <t>Đơn vị bán lẻ</t>
  </si>
  <si>
    <t>Bộ</t>
  </si>
  <si>
    <t>Hộp</t>
  </si>
  <si>
    <t>Túi</t>
  </si>
  <si>
    <t>Cái</t>
  </si>
  <si>
    <t>Lốc</t>
  </si>
  <si>
    <t>Bịch</t>
  </si>
  <si>
    <t>Mã biến thể</t>
  </si>
  <si>
    <t>Quy cách đóng gói</t>
  </si>
  <si>
    <t>Tên sản phẩm (nguồn)</t>
  </si>
  <si>
    <t>Dòng nguồn</t>
  </si>
  <si>
    <t>Phao chống loét cao su hiệu Greetmed</t>
  </si>
  <si>
    <t>1 bộ</t>
  </si>
  <si>
    <t>Đệm hơi chống lở loét iMediCare iAM-8P</t>
  </si>
  <si>
    <t>Đệm hơi chống lở loét Lucass LC-389</t>
  </si>
  <si>
    <t>Máy trợ thính có dây đeo Rionet HA-20DX</t>
  </si>
  <si>
    <t>Máy trợ thính không dây Rionet HB-23P</t>
  </si>
  <si>
    <t>Máy trợ thính không dây thông minh Rionet HM-06</t>
  </si>
  <si>
    <t>Máy tăm nước Waterjet Cordloss Maxi</t>
  </si>
  <si>
    <t>32 miếng</t>
  </si>
  <si>
    <t>Miếng dán mụn Somaderm Spot - S ngăn ngừa sẹo do mụn (32 miếng)</t>
  </si>
  <si>
    <t>24 miếng</t>
  </si>
  <si>
    <t>Miếng dán mụn Somaderm Spot hỗ trợ làm lành vết thương (24 miếng)</t>
  </si>
  <si>
    <t>18 miếng</t>
  </si>
  <si>
    <t>Miếng dán mụn Somaderm Spot hỗ trợ nhanh lành vết thương (18 miếng)</t>
  </si>
  <si>
    <t>Miếng dán mụn mỏng Somaderm-Thin ngăn sẹo, giảm thâm (12 miếng)</t>
  </si>
  <si>
    <t>Miếng dán mụn Somaderm-Thin giảm hình thành sẹo loại mỏng (24 miếng)</t>
  </si>
  <si>
    <t>1 miếng</t>
  </si>
  <si>
    <t>Mặt nạ xông hơi mắt ngải cứu Mugwort Steam Eyes Mask loại bỏ quầng thâm, giảm mỏi mắt căng thẳng</t>
  </si>
  <si>
    <t>Bộ gạc xốp phủ vết thương trong điều trị áp lực âm VAC kèm chức năng rửa 3M™ Veraflo™</t>
  </si>
  <si>
    <t>5 sợi</t>
  </si>
  <si>
    <t>Miếng dán vết thương thay chỉ khâu phẫu thuật 3M STERI-STRIP™</t>
  </si>
  <si>
    <t>10 sợi</t>
  </si>
  <si>
    <t>6 sợi</t>
  </si>
  <si>
    <t>Xịt bảo vệ và hỗ trợ điều trị hăm loét da 3M Cavilon 28ml chống loét, giảm hăm da</t>
  </si>
  <si>
    <t>Băng dán vết thương DuoDerm Extra Thin</t>
  </si>
  <si>
    <t>1 tuýp 10g</t>
  </si>
  <si>
    <t>Gel bôi vết thương hở Okuskin 10g hỗ trợ nhanh lành vết thương, hạn chế sẹo xấu</t>
  </si>
  <si>
    <t>1 tuýp 30g</t>
  </si>
  <si>
    <t>Gel bôi vết thương hở Okuskin 30g hỗ trợ nhanh lành vết thương, hạn chế sẹo xấu</t>
  </si>
  <si>
    <t>1 chai</t>
  </si>
  <si>
    <t>Dung dịch sát khuẩn vết thương Berbemed rửa vết thương, làm sạch vi khuẩn 150ml</t>
  </si>
  <si>
    <t>100 miếng</t>
  </si>
  <si>
    <t>Bông tẩm cồn Mepro Alcohol Swab sát trùng, giảm nhiễm khuẩn huyết</t>
  </si>
  <si>
    <t>Gạc xốp hút dịch chống loét mông, loét gót chân có viền dính silicone Seasight</t>
  </si>
  <si>
    <t>Miếng dán vết thương thay chỉ khâu Seasight tránh giãn sẹo</t>
  </si>
  <si>
    <t>3 sợi</t>
  </si>
  <si>
    <t>Bông tẩm cồn Tanaphar Alcohol Swab tiệt trùng giảm nhiễm khuẩn huyết</t>
  </si>
  <si>
    <t>Dung dịch kháng khuẩn Dizigone rửa vết thương, làm sạch vi khuẩn, khử mùi 300ml</t>
  </si>
  <si>
    <t>Xịt kháng khuẩn Dizigone Spray loại bỏ vi khuẩn, khử mùi, phòng loét 100ml</t>
  </si>
  <si>
    <t>Gạc lưới chống dính UrgoTul 10cmx10cm</t>
  </si>
  <si>
    <t>Gạc lưới vô trùng chống dính UrgoTul 15cmx20cm</t>
  </si>
  <si>
    <t>Gạc mỡ chống dính UrgoTul 5cmx5cm</t>
  </si>
  <si>
    <t>Gạc lưới chống dính tẩm bạc UrgoTul Ag/Silver 10cmx12cm</t>
  </si>
  <si>
    <t>Gạc lưới tẩm bạc chống dính UrgoTul Ag/Silver 15cmx20cm</t>
  </si>
  <si>
    <t>Gạc lưới tẩm bạc UrgoTul Ag/Silver 5cmx5cm</t>
  </si>
  <si>
    <t>1 tuýp</t>
  </si>
  <si>
    <t>Gel trị vết thương hở Healit 5g đẩy nhanh quá trình lành vết thương</t>
  </si>
  <si>
    <t>Băng dán vết thương Hydrocolloid Renoderm 10cmx10cm miếng dán mụn, bỏng bô, miếng dán chống loét</t>
  </si>
  <si>
    <t>Băng gạc xốp Therasorb Algi Plus Adhesive không dính vào vết thương 7.5cmx7.5cm</t>
  </si>
  <si>
    <t>Băng gạc xốp Therasorb Algi Plus Adhesive không dính vào vết thương 9cmx15cm</t>
  </si>
  <si>
    <t>Băng gạc xốp Therasorb Algi Plus Adhesive không dính vào vết thương 9cmx20cm</t>
  </si>
  <si>
    <t>10 miếng</t>
  </si>
  <si>
    <t>Gạc xốp siêu thấm hút dịch tiết vết thương Therasorb Algi Plus Hydrophilic (hộp)</t>
  </si>
  <si>
    <t>Gạc xốp siêu thấm hút dịch tiết vết thương Therasorb Algi Plus Hydrophilic 10cmx10cm (1 miếng)</t>
  </si>
  <si>
    <t>Gạc xốp siêu thấm hút dịch tiết vết thương Therasorb Algi Plus Hydrophilic 10cmx10cm (hộp)</t>
  </si>
  <si>
    <t>Gạc xốp siêu thấm hút dịch tiết vết thương Therasorb Algi Plus Hydrophilic 20cmx20cm</t>
  </si>
  <si>
    <t>Gạc xốp siêu thấm hút dịch tiết vết thương Therasorb Algi Plus Hydrophilic 35cmx50cm</t>
  </si>
  <si>
    <t>Gạc xốp siêu thấm hút không dính vào vết thương Therasorb Algi Plus Hydrophilic (1 miếng)</t>
  </si>
  <si>
    <t>Gạc xốp tẩm bạc kháng khuẩn Therasorb® Ag Plus 10cmx10cm (1 miếng)</t>
  </si>
  <si>
    <t>Gạc xốp tẩm bạc kháng khuẩn Therasorb® Ag Plus 10cmx10cm (hộp)</t>
  </si>
  <si>
    <t>Gạc xốp tẩm bạc kháng khuẩn Therasorb® Ag Plus siêu thấm hút dịch tiết vết thương 20cmx20cm</t>
  </si>
  <si>
    <t>Gạc xốp tẩm bạc kháng khuẩn Therasorb® Ag Plus, hút dịch tiết vết thương (hộp)</t>
  </si>
  <si>
    <t>Gel kháng khuẩn vết thương SurgiGel hỗ trợ làm lành vết thương</t>
  </si>
  <si>
    <t>Kem gel silicone trị sẹo RemScar® Gel 15g hỗ trợ ngăn ngừa và điều trị sẹo</t>
  </si>
  <si>
    <t>Kem gel silicone trị sẹo RemScar® Gel 30g hỗ trợ ngăn ngừa và làm mờ sẹo</t>
  </si>
  <si>
    <t>Kem gel silicone trị sẹo RemScar® Gel mờ sẹo</t>
  </si>
  <si>
    <t>Miếng dán silicone trị sẹo lồi, sẹo thâm RemScar® TR 12cmx15cm</t>
  </si>
  <si>
    <t>Miếng dán silicone trị sẹo lồi, sẹo thâm RemScar® TR 3.5cmx15cm</t>
  </si>
  <si>
    <t>2 miếng</t>
  </si>
  <si>
    <t>Miếng dán silicone trị sẹo lồi, sẹo thâm RemScar® TR 5cmx6cm</t>
  </si>
  <si>
    <t>Gạc xốp hút dịch chống loét cùng cụt, loét mông có viền dính silicone Yafho</t>
  </si>
  <si>
    <t>Băng gạc vô trùng Young Wound Dressing (1 miếng)</t>
  </si>
  <si>
    <t>50 miếng</t>
  </si>
  <si>
    <t>Băng gạc vô trùng Young Wound Dressing (hộp)</t>
  </si>
  <si>
    <t>Băng gạc vô trùng không thấm nước Sterile Adflex (With-Pad) (1 miếng)</t>
  </si>
  <si>
    <t>Băng gạc vô trùng không thấm nước Sterile Adflex (With-Pad) (hộp)</t>
  </si>
  <si>
    <t>25 miếng</t>
  </si>
  <si>
    <t>Băng keo cá nhân Pororo hộp thiếc (1 hộp)</t>
  </si>
  <si>
    <t>20 miếng</t>
  </si>
  <si>
    <t>Băng keo cá nhân in hình Pororo dành cho trẻ em (1 hộp)</t>
  </si>
  <si>
    <t>Băng keo cá nhân màu da Ace-band ∅22mm (hộp 100 miếng)</t>
  </si>
  <si>
    <t>Băng keo cá nhân màu da Ace-band Sheer 72mmx18mm (hộp 10 miếng)</t>
  </si>
  <si>
    <t>Băng keo cá nhân màu da Ace-band Sheer 72mmx18mm (hộp 100 miếng)</t>
  </si>
  <si>
    <t>Băng keo cá nhân trong suốt Ace-band Transparent 72mmx18mm (hộp 100 miếng)</t>
  </si>
  <si>
    <t>Băng keo cá nhân vải Ace-band 60mmx19mm (hộp 100 miếng)</t>
  </si>
  <si>
    <t>1 cuộn</t>
  </si>
  <si>
    <t>Băng keo cuộn co giãn Fix Roll</t>
  </si>
  <si>
    <t>Băng keo cuộn giấy dành cho da nhạy cảm Young Plaster-Paper màu trắng</t>
  </si>
  <si>
    <t>24 cuộn</t>
  </si>
  <si>
    <t>Băng keo cuộn giấy dành cho da nhạy cảm Young Plaster-Paper màu trắng 1.25cmx5m (hộp 24 cuộn)</t>
  </si>
  <si>
    <t>12 cuộn</t>
  </si>
  <si>
    <t>Băng keo cuộn giấy dành cho da nhạy cảm Young Plaster-Paper màu trắng 2.5cmx5m (hộp 12 cuộn)</t>
  </si>
  <si>
    <t>Băng keo cuộn lụa Young Plaster-Silk 1.25cmx5m</t>
  </si>
  <si>
    <t>Băng keo cuộn lụa Young Plaster-Silk 2.5cmx5m</t>
  </si>
  <si>
    <t>Miếng dán hỗ trợ làm lành vết thương hydrocolloid Somaderm-L 10cmx10cm Miếng dán mụn</t>
  </si>
  <si>
    <t>Máy hút dịch áp lực âm VAC MJ-100 điều trị vết thương mãn tính, khó lành</t>
  </si>
  <si>
    <t>Miếng dán ép sẹo silicone hỗ trợ trị sẹo 10cmx1.7cm</t>
  </si>
  <si>
    <t>Miếng dán ép sẹo silicone hỗ trợ trị sẹo 14cmx3.8cm</t>
  </si>
  <si>
    <t>Bình xịt lạnh Chillit 250ml – Giảm đau nhanh,hạn chế sưng tấy</t>
  </si>
  <si>
    <t>1 chiếc</t>
  </si>
  <si>
    <t>Băng thun bảo vệ đầu gối CODY, đai hỗ trợ đầu gối</t>
  </si>
  <si>
    <t>Đai đầu gối tập luyện thể thao tránh chấn thương CODY</t>
  </si>
  <si>
    <t>1 cái</t>
  </si>
  <si>
    <t>Đai lưng cố định cột sống CODY hỗ trợ bảo vệ, giảm đau thắt lưng</t>
  </si>
  <si>
    <t>1 đôi</t>
  </si>
  <si>
    <t>Vớ đùi y khoa CODY có silicone chống trượt hỗ trợ điều trị suy giãn tĩnh mạch</t>
  </si>
  <si>
    <t>Vớ gối y khoa CODY hỗ trợ điều trị suy giãn tĩnh mạch</t>
  </si>
  <si>
    <t>Vớ y khoa giãn tĩnh mạch CODY hỗ trợ điều trị và phòng ngừa</t>
  </si>
  <si>
    <t>Đai chườm thảo dược bàn chân làm nóng bằng điện Hapaku</t>
  </si>
  <si>
    <t>Đai chườm thảo dược cổ gáy làm nóng bằng điện Hapaku</t>
  </si>
  <si>
    <t>Đai chườm thảo dược lưng bụng làm nóng bằng điện Hapaku</t>
  </si>
  <si>
    <t>Đai chườm thảo dược vai gáy cổ làm nóng bằng điện Hapaku</t>
  </si>
  <si>
    <t>Gối chườm thảo dược đa năng làm nóng bằng điện Hapaku</t>
  </si>
  <si>
    <t>Đai hỗ trợ đầu gối Merisocks bảo vệ và nâng đỡ khớp gối</t>
  </si>
  <si>
    <t>Vớ nén cho bắp chân Merisocks chống giãn tĩnh mạch (Màu đen-đỏ)</t>
  </si>
  <si>
    <t>Vớ nén cho bắp chân Merisocks chống suy giãn tĩnh mạch</t>
  </si>
  <si>
    <t>Máy massage xung điện trị liệu Omron HV-F013</t>
  </si>
  <si>
    <t>Máy massage xung điện trị liệu Omron HV-F127</t>
  </si>
  <si>
    <t>Máy massage xung điện trị liệu Omron HV-F128</t>
  </si>
  <si>
    <t>1 cặp</t>
  </si>
  <si>
    <t>Miếng dán điện cực Long Life Pad HV-LLPAD-C1 dành cho máy massage xung điện Omron</t>
  </si>
  <si>
    <t>Đai chống gù lưng Orbe nhiều size</t>
  </si>
  <si>
    <t>Đai thắt lưng cao cấp Olumba Orbe nhiều size</t>
  </si>
  <si>
    <t>Găng tay robot phục hồi chức năng bàn tay Timelock, robot tập tay cho người tai biến, đột quỵ</t>
  </si>
  <si>
    <t>Vớ nén y khoa hỗ trợ điều trị giãn tĩnh mạch Venosan 6000 (vớ đùi)</t>
  </si>
  <si>
    <t>Vớ y khoa hỗ trợ điều trị giãn tĩnh mạch Venosan 6000</t>
  </si>
  <si>
    <t>28.3g</t>
  </si>
  <si>
    <t>Bột hút ẩm chống loét ConvaTec bảo vệ da quanh hậu môn nhân tạo</t>
  </si>
  <si>
    <t>1 tuýp 56.7g</t>
  </si>
  <si>
    <t>Keo làm đầy ConvaTec chống rò rỉ cho hậu môn nhân tạo</t>
  </si>
  <si>
    <t>30 túi</t>
  </si>
  <si>
    <t>Túi hậu môn nhân tạo 1 mảnh ConvaTec loại đục</t>
  </si>
  <si>
    <t>20 túi</t>
  </si>
  <si>
    <t>Túi hậu môn nhân tạo 1 mảnh ConvaTec loại trong suốt</t>
  </si>
  <si>
    <t>10 túi</t>
  </si>
  <si>
    <t>Túi hậu môn nhân tạo 1 mảnh ConvaTec ActiveLife loại trong suốt 22771</t>
  </si>
  <si>
    <t>Túi hậu môn nhân tạo (HMNT) một mảnh Hollister 8631</t>
  </si>
  <si>
    <t>15 túi</t>
  </si>
  <si>
    <t>Túi hậu môn nhân tạo (HMNT) cho trẻ sơ sinh Hollister 3778</t>
  </si>
  <si>
    <t>Bột hút ẩm chống loét hậu môn nhân tạo Hollister Adapt Stoma Power 7906</t>
  </si>
  <si>
    <t>Chai xịt tẩy chất keo Hollister 7737</t>
  </si>
  <si>
    <t>Dây nịt đeo túi hậu môn nhân tạo Hollister 7300 cố định bộ túi HMNT</t>
  </si>
  <si>
    <t>5 chiếc</t>
  </si>
  <si>
    <t>Đế lồi Túi hậu môn nhân tạo (HMNT) 2 mảnh Hollister 14803</t>
  </si>
  <si>
    <t>Đế rời Túi hậu môn nhân tạo (HMNT) 2 mảnh Hollister 14602</t>
  </si>
  <si>
    <t>1 tuýp 60g</t>
  </si>
  <si>
    <t>Kem chống xì hậu môn nhân tạo Hollister Adapt Paste 79300 chống rò rỉ</t>
  </si>
  <si>
    <t>Khóa kẹp túi hậu môn nhân tạo Hollister 8770</t>
  </si>
  <si>
    <t>Túi hậu môn nhân tạo (HMNT) 1 mảnh Mepro kẹp rời</t>
  </si>
  <si>
    <t>Túi hậu môn nhân tạo (HMNT) 1 mảnh cho trẻ em MiKiDo</t>
  </si>
  <si>
    <t>Túi hậu môn nhân tạo (HMNT) một mảnh Ostomy Care loại khóa dán liền</t>
  </si>
  <si>
    <t>Túi hậu môn nhân tạo (HMNT) 1 mảnh Ostomy Care loại khóa kẹp</t>
  </si>
  <si>
    <t>Túi nước tiểu nhân tạo 1 mảnh Hollister 8460</t>
  </si>
  <si>
    <t>1 vòng</t>
  </si>
  <si>
    <t>Vòng bảo vệ da chống loét hậu môn nhân tạo Hollister</t>
  </si>
  <si>
    <t>Vòng bảo vệ da chống loét hậu môn nhân tạo Hollister 7805</t>
  </si>
  <si>
    <t>Vòng bảo vệ da chống loét hậu môn nhân tạo Hollister 7806</t>
  </si>
  <si>
    <t>Đế rời Túi hậu môn nhân tạo 2 mảnh viền vải không dệt Mepro</t>
  </si>
  <si>
    <t>Bộ túi hậu môn nhân tạo HMNT 2 mảnh Hollister (kẹp rời)</t>
  </si>
  <si>
    <t>Bộ túi hậu môn nhân tạo HMNT 2 mảnh Hollister (khóa cuốn)</t>
  </si>
  <si>
    <t>Túi hậu môn nhân tạo 2 mảnh có bộ lọc khử mùi xả khí Hollister 18184, loại đục</t>
  </si>
  <si>
    <t>Túi hậu môn nhân tạo 2 mảnh sử dụng kèm với đế rời Hollister 18102, túi chứa phân</t>
  </si>
  <si>
    <t>Bộ túi hậu môn nhân tạo HMNT 2 mảnh Mepro (kẹp rời)</t>
  </si>
  <si>
    <t>Đế rời Túi hậu môn nhân tạo 2 mảnh viền vải không dệt Ostomy Care</t>
  </si>
  <si>
    <t>Bộ túi hậu môn nhân tạo HMNT 2 mảnh Mepro (khoá cuộn)</t>
  </si>
  <si>
    <t>Túi hậu môn nhân tạo (HMNT) 2 mảnh Mepro kẹp rời</t>
  </si>
  <si>
    <t>Túi hậu môn nhân tạo (HMNT) 2 mảnh Mepro khoá cuộn</t>
  </si>
  <si>
    <t>Đế rời Túi hậu môn nhân tạo 2 mảnh SeaSight (loại không viền vải)</t>
  </si>
  <si>
    <t>15 chiếc</t>
  </si>
  <si>
    <t>Túi nước tiểu nhân tạo 1 mảnh Seasight</t>
  </si>
  <si>
    <t>Keo cong cắt đế hậu môn nhân tạo chuyên dụng</t>
  </si>
  <si>
    <t>Bộ túi hậu môn nhân tạo HMNT 2 mảnh Ostomy Care (khóa cuộn)</t>
  </si>
  <si>
    <t>Túi hậu môn nhân tạo HMNT hai mảnh Ostomy Care khóa dán liền</t>
  </si>
  <si>
    <t>20 chiếc</t>
  </si>
  <si>
    <t>Dụng cụ tập thở phế dung kế B-SPIRO 5000 giúp phục hồi chức năng phổi</t>
  </si>
  <si>
    <t>Mask thanh quản 1 nòng Biotek Laryngeal Mask Airway</t>
  </si>
  <si>
    <t>Mask thanh quản 2 nòng Biotek Laryngeal Mask Airway</t>
  </si>
  <si>
    <t>Dây thở oxy 2 nhánh</t>
  </si>
  <si>
    <t>Mặt nạ thở oxy, Mask oxy</t>
  </si>
  <si>
    <t>Mặt nạ xông khí dung, Mask khí dung</t>
  </si>
  <si>
    <t>Xông hút đờm kín Bornsun</t>
  </si>
  <si>
    <t>Nòng trong ống mở khí quản Shiley SIC</t>
  </si>
  <si>
    <t>Ống mở khí quản 2 nòng có bóng Shiley LPC</t>
  </si>
  <si>
    <t>Ống mở khí quản 2 nòng có bóng, có cửa sổ Shiley FEN</t>
  </si>
  <si>
    <t>Ống mở khí quản 2 nòng không bóng, có cửa sổ Shiley CFN</t>
  </si>
  <si>
    <t>Ống chẹn phế quản UNIBLOCKER ống cô lập phổi</t>
  </si>
  <si>
    <t>Ống nội khí quản 2 nòng Silbroncho (Carlens)</t>
  </si>
  <si>
    <t>Ống Nội Khí Quản UNIVENT™ (Fuji Systems - Nhật Bản)- Tích Hợp Sẵn Ống Chặn Phổi</t>
  </si>
  <si>
    <t>Mask thanh quản 1 nòng dùng 1 lần</t>
  </si>
  <si>
    <t>10 cái</t>
  </si>
  <si>
    <t>Dây hút đàm nhớt có kiểm soát Hoàng Sơn (10 cái)</t>
  </si>
  <si>
    <t>Dây hút đàm nhớt không kiểm soát Hoàng Sơn (10 cái)</t>
  </si>
  <si>
    <t>Dụng cụ cố định ống nội khí quản chống cắn AnchorFast Hollister 9800</t>
  </si>
  <si>
    <t>Bộ mở khí quản nhanh qua da PORTEX Percutaneous Dilation Tracheostomy Kit</t>
  </si>
  <si>
    <t>Cây nòng đặt nội khí quản thường Stylet</t>
  </si>
  <si>
    <t>Máy tạo oxy iMediCare OC-5LH 5 Lít</t>
  </si>
  <si>
    <t>Gạc mở khí quản L&amp;R Metalline vô trùng 8cmx9cm</t>
  </si>
  <si>
    <t>Gạc xốp đặt xung quanh ống mở khí quản 7cmx11cm</t>
  </si>
  <si>
    <t>Gạc xốp răng cưa đặt xung quanh ống mở khí quản 10cmx10cm</t>
  </si>
  <si>
    <t>Ống nội khí quản có bóng Cuff-Safe® kèm van đo áp lực bóng AccuCuff</t>
  </si>
  <si>
    <t>Ống nội khí quản có hút trên bóng kèm van đo áp lực bóng AccuCuff</t>
  </si>
  <si>
    <t>Làm ẩm mở khí quản Thổ Nhĩ Kỳ, mũi nhân tạo, mũi giả mở khí quản</t>
  </si>
  <si>
    <t>Phin lọc máy thở 3 chức năng HME Meditera lọc khuẩn, làm ấm, làm ẩm</t>
  </si>
  <si>
    <t>Nòng trong ống mở khí quản Mera Sofit Canula có cửa sổ</t>
  </si>
  <si>
    <t>Nòng trong ống mở khí quản Mera Sofit Canula (không cửa sổ)</t>
  </si>
  <si>
    <t>Ống mở khí quản 2 nòng có bóng MERA SOFIT D-C</t>
  </si>
  <si>
    <t>Ống mở khí quản 2 nòng có bóng kèm ống hút trên bóng MERA SOFIT D-CS</t>
  </si>
  <si>
    <t>Ống mở khí quản 2 nòng có bóng, có cửa sổ MERA SOFIT D-CF</t>
  </si>
  <si>
    <t>Ống mở khí quản 2 nòng có bóng, có cửa sổ kèm ống hút trên bóng MERA SOFIT D-CFS</t>
  </si>
  <si>
    <t>Ống mở khí quản 2 nòng không bóng MERA SOFIT D-NC</t>
  </si>
  <si>
    <t>Ống mở khí quản 2 nòng không bóng, có cửa sổ MERA SOFIT D-F</t>
  </si>
  <si>
    <t>Van tập nói Mera Sofit</t>
  </si>
  <si>
    <t>Máy xông khí dung Omron NE-C101</t>
  </si>
  <si>
    <t>Máy xông khí dung Omron NE-C106</t>
  </si>
  <si>
    <t>Máy xông khí dung Omron NE-C28</t>
  </si>
  <si>
    <t>Máy tạo oxy Owgels 10 lít có xông khí dung OZ-5-01GW0-10L - Tặng kèm Máy đo SPO2</t>
  </si>
  <si>
    <t>Máy tạo oxy Owgels 5 lít có xông khí dung OZ-501PW0</t>
  </si>
  <si>
    <t>Máy tạo oxy Owgels 5 lít có xông khí dung OZ-501TW0 - Tặng kèm Mặt nạ thở oxy</t>
  </si>
  <si>
    <t>Máy trợ thở 2 chiều BiPAP Owgels OGH-520C</t>
  </si>
  <si>
    <t>Máy trợ thở Auto CPAP Owgels OGH-520A</t>
  </si>
  <si>
    <t>Làm ẩm mở khí quản Pharma Thụy Điển, mũi nhân tạo, mũi giả mở khí quản</t>
  </si>
  <si>
    <t>Dụng cụ tập thở phế dung kế 5000ml Seasight hỗ trợ phục hồi chức năng phổi</t>
  </si>
  <si>
    <t>Bộ mở khí quản cấp cứu PCK</t>
  </si>
  <si>
    <t>Bộ mở khí quản nhanh Portex® Mini-Trach® II</t>
  </si>
  <si>
    <t>Cây nòng đặt nội khí quản khó Bougie</t>
  </si>
  <si>
    <t>Đồng hồ đo áp lực bóng Smiths</t>
  </si>
  <si>
    <t>Ống nội khí quản có ống hút trên bóng Portex (SACETT)</t>
  </si>
  <si>
    <t>Đồng hồ đo áp lực bóng chèn Universal VBM</t>
  </si>
  <si>
    <t>Ống mở khí quản 2 nòng có bóng, có cửa sổ Rota-Trach</t>
  </si>
  <si>
    <t>Ống mở khí quản 2 nòng có bóng, không cửa sổ Rota-Trach</t>
  </si>
  <si>
    <t>Ống mở khí quản 2 nòng không bóng, có cửa sổ Rota-Trach</t>
  </si>
  <si>
    <t>Ống mở khí quản 2 nòng không bóng, không cửa sổ Rota-Trach</t>
  </si>
  <si>
    <t>Dây đai cố định ống mở khí quản (xanh đậm)</t>
  </si>
  <si>
    <t>Dây đai cố định ống mở khí quản (xanh nhạt)</t>
  </si>
  <si>
    <t>Dây đai cố định ống mở khí quản Yafho 43cmx2.5cm</t>
  </si>
  <si>
    <t>Dây đai cố định ống mở khí quản Yafho 45cmx3.5cm</t>
  </si>
  <si>
    <t>Dụng cụ cố định ống nội khí quản Yafho</t>
  </si>
  <si>
    <t>Dụng cụ cố định ống nội khí quản chống cắn Yafho</t>
  </si>
  <si>
    <t>Máy hút dịch 1 bình Yuwell 7E-A</t>
  </si>
  <si>
    <t>Bộ cảm biến FreeStyle Libre Flash Glucose Monitoring Sensor Abbott</t>
  </si>
  <si>
    <t>Máy đo đường huyết liên tục FreeStyle Libre 2 Abbott (Thế hệ 2)</t>
  </si>
  <si>
    <t>Máy đo đường huyết On Call Plus</t>
  </si>
  <si>
    <t>Que thử đường huyết On Call Plus (25 que)</t>
  </si>
  <si>
    <t>Máy đo huyết áp bắp tay iMediCare iBPM-6S</t>
  </si>
  <si>
    <t>Máy đo SPO2 iMedicare iOM-A6</t>
  </si>
  <si>
    <t>Nhiệt kế hồng ngoại iMediCare iTM-32A</t>
  </si>
  <si>
    <t>Máy đo đường huyết, mỡ máu, gút 3 trong 1 GlucoAlpha - IN4 Care</t>
  </si>
  <si>
    <t>Que thử axit uric (gút) cho máy đo 3 trong 1 GlucoAlpha IN4 Care (25 que)</t>
  </si>
  <si>
    <t>Que thử cholesterol cho máy đo 3 trong 1 GlucoAlpha IN4 Care (10 que)</t>
  </si>
  <si>
    <t>Que thử đường huyết cho máy đo 3 trong 1 GlucoAlpha IN4 Care (25 que)</t>
  </si>
  <si>
    <t>Máy đo nồng độ oxy trong máu và nhịp tim SPO2 Jumper JPD-500D</t>
  </si>
  <si>
    <t>Máy đo tim thai cá nhân Cody Health JPD-100E</t>
  </si>
  <si>
    <t>Bộ truyền tín hiệu kết nối cảm biến CGM và máy bơm insulin MiniMed 640G - Guardian™ Link 3 Transmitter</t>
  </si>
  <si>
    <t>5 cái</t>
  </si>
  <si>
    <t>Cảm biến hệ thống đo đường huyết liên tục CGM Guardian™ Sensor 3 Medtronic</t>
  </si>
  <si>
    <t>Hệ thống đo đường huyết liên tục tức thời CGM GUARDIAN™ CONNECT Medtronic</t>
  </si>
  <si>
    <t>Cân điện tử Omron HN-289 Đen</t>
  </si>
  <si>
    <t>Máy cân đo chỉ số cơ thể Omron BodySCAN™ HBF-224</t>
  </si>
  <si>
    <t>Máy đo huyết áp bắp tay Omron JPN600</t>
  </si>
  <si>
    <t>Máy đo huyết áp bắp tay Omron JPN750</t>
  </si>
  <si>
    <t>Máy đo huyết áp bắp tay kết nối Bluetooth Omron HEM-7156T</t>
  </si>
  <si>
    <t>Máy đo huyết áp bắp tay tự động Omron HEM-7156</t>
  </si>
  <si>
    <t>Máy đo huyết áp tự động Omron HEM-7180 ( EZ Lite)</t>
  </si>
  <si>
    <t>Máy đo huyết áp tự động Omron kết nối Bluetooth HEM-7142T1</t>
  </si>
  <si>
    <t>Máy đo huyết áp tự động Omron kết nối Bluetooth HEM-7142T2</t>
  </si>
  <si>
    <t>Máy đo huyết áp tự động Omron kết nối Bluetooth HEM-7143T1</t>
  </si>
  <si>
    <t>Máy đo thành phần cơ thể Omron HBF-375</t>
  </si>
  <si>
    <t>Nhiệt kế điện tử Omron MC-246</t>
  </si>
  <si>
    <t>Nhiệt kế điện tử Omron đo trán MC-720</t>
  </si>
  <si>
    <t>Máy đo đường huyết Accu-chek Instant</t>
  </si>
  <si>
    <t>Que test thử đường huyết Accu-Chek Instant (50 que)</t>
  </si>
  <si>
    <t>Hệ thống đo đường huyết liên tục Sinocare iCan i3 CGM</t>
  </si>
  <si>
    <t>Máy đo đường huyết Safe-Accu Sinocare - Tặng kèm 50 que thử + 50 kim chích máu</t>
  </si>
  <si>
    <t>Que thử đường huyết Safe-Accu Sinocare (50 que) tặng kèm kim chích máu</t>
  </si>
  <si>
    <t>Bộ ống thông tiểu ngắt quãng silicon Cliny cho nam</t>
  </si>
  <si>
    <t>Ống Thông Tiểu Ngắt Quãng Silicone SELFCATH (Fuji Systems - Nhật Bản)</t>
  </si>
  <si>
    <t>Ống thông tiểu sonde tiểu foley silicon 2 nhánh sử dụng dài ngày Idealcare</t>
  </si>
  <si>
    <t>Ống thông tiểu sonde tiểu foley silicon 3 nhánh sử dụng dài ngày Idealcare</t>
  </si>
  <si>
    <t>Ống thông tiểu sonde tiểu foley silicon 2 nhánh sử dụng dài ngày Mepro</t>
  </si>
  <si>
    <t>Dụng cụ hỗ trợ đi tiểu nam PitrMed, bộ chụp tiểu silicon nam</t>
  </si>
  <si>
    <t>Túi đựng nước tiểu i-CARE có van khóa</t>
  </si>
  <si>
    <t>Bộ mở bàng quang qua da Yushin Suprapubic Catheter Set</t>
  </si>
  <si>
    <t>Ống thông tiểu sonde tiểu foley silicon 2 nhánh sử dụng dài ngày Yushin</t>
  </si>
  <si>
    <t>Ống thông tiểu ngắt quãng silicon Yushin cho nam</t>
  </si>
  <si>
    <t>Hệ thống dẫn lưu phân Bornsun</t>
  </si>
  <si>
    <t>MÁY BƠM THỨC ĂN KANGAROO EPUMP™ ENTERAL FEEDING PUMP</t>
  </si>
  <si>
    <t>Ống thông dạ dày nuôi ăn 29 ngày Kangaroo Covidien</t>
  </si>
  <si>
    <t>Bộ mở thông dạ dày qua da Cliny</t>
  </si>
  <si>
    <t>200ml</t>
  </si>
  <si>
    <t>Sữa dinh dưỡng NUCARE Glucose Plan dành cho người tiểu đường 200ml</t>
  </si>
  <si>
    <t>Bộ mở thông dạ dày qua da Fortune</t>
  </si>
  <si>
    <t>Xông nuôi ăn silicone sử dụng dài ngày Fortune (1200mm)</t>
  </si>
  <si>
    <t>Dây xông dạ dày nuôi ăn silicone sử dụng 30 ngày Mepro (1200mm)</t>
  </si>
  <si>
    <t>335g</t>
  </si>
  <si>
    <t>Sữa dinh dưỡng Fortimel Power cho người ốm, người già, người sau phẫu thuật</t>
  </si>
  <si>
    <t>4 chai 125ml</t>
  </si>
  <si>
    <t>Sữa Forticare dành cho bệnh nhân ung thư</t>
  </si>
  <si>
    <t>1000ml</t>
  </si>
  <si>
    <t>Sữa Nutrison dành cho bệnh nhân nuôi ăn qua ống thông sonde dạ dày</t>
  </si>
  <si>
    <t>Bộ mở dạ dày qua da SeaSight</t>
  </si>
  <si>
    <t>Dây nuôi ăn mũi - dạ dày silicone dài ngày Seasight (1000mm)</t>
  </si>
  <si>
    <t>Ống chẹn thực quản, dạ dày SENGSTAKEN BLACKEMORE TUBE</t>
  </si>
  <si>
    <t>25 cái</t>
  </si>
  <si>
    <t>Bơm tiêm 50cc cho ăn sử dụng 1 lần Vinahankook bơm thức ăn vào dạ dày</t>
  </si>
  <si>
    <t>Catheter chạy thận nhân tạo 2 nòng, đầu thẳng</t>
  </si>
  <si>
    <t>Catheter chạy thận nhân tạo 3 nòng, đầu thẳng</t>
  </si>
  <si>
    <t>Bình chứa insulin MiniMed Reservoir 3.0ml MMT-332A</t>
  </si>
  <si>
    <t>Bộ dụng cụ gắn cảm biến đo đường huyết liên tục lên da One-Press Serter</t>
  </si>
  <si>
    <t>Bộ dụng cụ gắn cổng tiêm insulin lên cơ thể Quick-Serter</t>
  </si>
  <si>
    <t>Dây truyền insulin Paradigm Quick Set Infusion MMT-397</t>
  </si>
  <si>
    <t>Máy bơm insulin tự động MINIMED 640G BLACK MMOL</t>
  </si>
  <si>
    <t>Máy bơm insulin tự động MINIMED PARADIGM 715</t>
  </si>
  <si>
    <t>Khẩu trang y tế N95 sợi Nanofiber Nask</t>
  </si>
  <si>
    <t>200 chiếc</t>
  </si>
  <si>
    <t>Thiết bị lấy máu tích hợp kim Accu-Chek Safe-T-Pro Uno (200 chiếc)</t>
  </si>
  <si>
    <t>50 kim</t>
  </si>
  <si>
    <t>Kim chích máu Sinodraw dùng cho máy đo đường huyết Sinocare (50 kim)</t>
  </si>
  <si>
    <t>100 cái</t>
  </si>
  <si>
    <t>Bơm tiêm insulin Sungshim Hàn Quốc 0.5ml kim ngắn</t>
  </si>
  <si>
    <t>Bơm tiêm insulin Sungshim Hàn Quốc 1ml (kim dài 13mm)</t>
  </si>
  <si>
    <t>Bơm tiêm insulin sử dụng 1 lần Vinahankook 1ml U100</t>
  </si>
  <si>
    <t>Dây truyền dịch đếm giọt WELCARE IF6006</t>
  </si>
  <si>
    <t>Băng keo cố định kim luồn có gạc Wound - IV 6cmx7cm (1 miếng)</t>
  </si>
  <si>
    <t>Băng keo cố định kim luồn có gạc Wound - IV 6cmx7cm (hộp)</t>
  </si>
  <si>
    <t>Băng keo cố định kim luồn không thấm nước không gạc Adflex - IV 5.1cmx6cm</t>
  </si>
  <si>
    <t>Băng keo cố định kim luồn không thấm nước không gạc Adflex - IV 6.7cmx10cm</t>
  </si>
  <si>
    <t>Kích cỡ</t>
  </si>
  <si>
    <t>Màu sắc</t>
  </si>
  <si>
    <t>Hồng</t>
  </si>
  <si>
    <t>Vàng</t>
  </si>
  <si>
    <t>S</t>
  </si>
  <si>
    <t>M</t>
  </si>
  <si>
    <t>L</t>
  </si>
  <si>
    <t>XL</t>
  </si>
  <si>
    <t>LL</t>
  </si>
  <si>
    <t>Đen-xám</t>
  </si>
  <si>
    <t>Đen-đỏ</t>
  </si>
  <si>
    <t>XS</t>
  </si>
  <si>
    <t>XXL</t>
  </si>
  <si>
    <t>Số 3</t>
  </si>
  <si>
    <t>Số 4</t>
  </si>
  <si>
    <t>12Fr</t>
  </si>
  <si>
    <t>14Fr</t>
  </si>
  <si>
    <t>Số 6</t>
  </si>
  <si>
    <t>Số 8</t>
  </si>
  <si>
    <t>5Fr</t>
  </si>
  <si>
    <t>9Fr</t>
  </si>
  <si>
    <t>8Fr</t>
  </si>
  <si>
    <t>10Fr</t>
  </si>
  <si>
    <t>6Fr</t>
  </si>
  <si>
    <t>Người lớn</t>
  </si>
  <si>
    <t>Trẻ em</t>
  </si>
  <si>
    <t>Số 7</t>
  </si>
  <si>
    <t>Số 5</t>
  </si>
  <si>
    <t>15Fr</t>
  </si>
  <si>
    <t>16Fr</t>
  </si>
  <si>
    <t>18Fr</t>
  </si>
  <si>
    <t>20Fr</t>
  </si>
  <si>
    <t>24Fr</t>
  </si>
  <si>
    <t>22Fr</t>
  </si>
  <si>
    <t>297, 298</t>
  </si>
  <si>
    <t>271, 273</t>
  </si>
  <si>
    <t>45, 48</t>
  </si>
  <si>
    <t>Băng vô trùng không gạc trong suốt không thấm nước Sterile Adflex (Non-Pad) 10cmx12cm</t>
  </si>
  <si>
    <t>84, 85</t>
  </si>
  <si>
    <t>Miếng dán hỗ trợ làm lành vết thương hydrocolloid Somaderm-L 7.5cmx7.5cm Miếng dán mụn</t>
  </si>
  <si>
    <t>Bộ gạc xốp phủ vết thương trong điều trị áp lực âm kèm chức năng rửa MJ-03</t>
  </si>
  <si>
    <t>513, 517</t>
  </si>
  <si>
    <t>514, 518</t>
  </si>
  <si>
    <t>515, 519</t>
  </si>
  <si>
    <t>516, 520</t>
  </si>
  <si>
    <t>156, 161</t>
  </si>
  <si>
    <t>157, 162</t>
  </si>
  <si>
    <t>158, 163</t>
  </si>
  <si>
    <t>159, 164</t>
  </si>
  <si>
    <t>160, 165</t>
  </si>
  <si>
    <t>529, 542</t>
  </si>
  <si>
    <t>530, 543</t>
  </si>
  <si>
    <t>531, 544</t>
  </si>
  <si>
    <t>532, 545</t>
  </si>
  <si>
    <t>533, 546</t>
  </si>
  <si>
    <t>484, 485</t>
  </si>
  <si>
    <t>480, 481</t>
  </si>
  <si>
    <t>476, 477</t>
  </si>
  <si>
    <t>474, 475</t>
  </si>
  <si>
    <t>199, 200, 201, 202</t>
  </si>
  <si>
    <t>203, 204, 205, 206, 207, 208</t>
  </si>
  <si>
    <t>466, 467</t>
  </si>
  <si>
    <t>464, 465</t>
  </si>
  <si>
    <t>478, 479</t>
  </si>
  <si>
    <t>468, 469</t>
  </si>
  <si>
    <t>210, 211</t>
  </si>
  <si>
    <t>112, 113</t>
  </si>
  <si>
    <t>489, 490, 491, 492, 493, 494</t>
  </si>
  <si>
    <t>495, 496, 497, 498, 499, 500</t>
  </si>
  <si>
    <t>115, 116</t>
  </si>
  <si>
    <t>212, 213</t>
  </si>
  <si>
    <t>470, 471</t>
  </si>
  <si>
    <t>472, 473</t>
  </si>
  <si>
    <t>504, 505</t>
  </si>
  <si>
    <t>501, 502</t>
  </si>
  <si>
    <t>170, 174</t>
  </si>
  <si>
    <t>171, 175</t>
  </si>
  <si>
    <t>172, 176</t>
  </si>
  <si>
    <t>173, 177</t>
  </si>
  <si>
    <t>178, 181</t>
  </si>
  <si>
    <t>179, 182</t>
  </si>
  <si>
    <t>180, 183</t>
  </si>
  <si>
    <t>281, 282</t>
  </si>
  <si>
    <t>130, 131</t>
  </si>
  <si>
    <t>107, 109</t>
  </si>
  <si>
    <t>108, 110</t>
  </si>
  <si>
    <t>432, 434</t>
  </si>
  <si>
    <t>433, 435</t>
  </si>
  <si>
    <t>187, 189</t>
  </si>
  <si>
    <t>188, 190</t>
  </si>
  <si>
    <t>119, 120</t>
  </si>
  <si>
    <t>194, 195, 196</t>
  </si>
  <si>
    <t>123, 124</t>
  </si>
  <si>
    <t>63, 64</t>
  </si>
  <si>
    <t>46, 47</t>
  </si>
  <si>
    <t>52, 54</t>
  </si>
  <si>
    <t>53, 55</t>
  </si>
  <si>
    <t>Mã đơn vị bán</t>
  </si>
  <si>
    <t>Biến thể</t>
  </si>
  <si>
    <t>Số lượng / đơn vị</t>
  </si>
  <si>
    <t>249, 252</t>
  </si>
  <si>
    <t>250, 254</t>
  </si>
  <si>
    <t>251, 253</t>
  </si>
  <si>
    <t>14, 30, 31</t>
  </si>
  <si>
    <t>15, 28</t>
  </si>
  <si>
    <t>22, 29</t>
  </si>
  <si>
    <t>16, 32</t>
  </si>
  <si>
    <t>23, 33</t>
  </si>
  <si>
    <t>17, 34</t>
  </si>
  <si>
    <t>24, 35</t>
  </si>
  <si>
    <t>18, 36</t>
  </si>
  <si>
    <t>25, 37</t>
  </si>
  <si>
    <t>19, 38</t>
  </si>
  <si>
    <t>26, 39</t>
  </si>
  <si>
    <t>20, 40</t>
  </si>
  <si>
    <t>27, 41</t>
  </si>
  <si>
    <t>6, 12</t>
  </si>
  <si>
    <t>8, 13</t>
  </si>
  <si>
    <t>7, 10</t>
  </si>
  <si>
    <t>9, 11</t>
  </si>
  <si>
    <t>Băng keo cá nhân trong suốt Ace-band Transparent 72mmx18mm (hộp 10 miếng)</t>
  </si>
  <si>
    <t>482, 483</t>
  </si>
  <si>
    <t>UOM (Đơn vị tính)</t>
  </si>
  <si>
    <t>cái</t>
  </si>
  <si>
    <t>bộ</t>
  </si>
  <si>
    <t>miếng</t>
  </si>
  <si>
    <t>sợi</t>
  </si>
  <si>
    <t>chai</t>
  </si>
  <si>
    <t>tuýp</t>
  </si>
  <si>
    <t>cuộn</t>
  </si>
  <si>
    <t>chiếc</t>
  </si>
  <si>
    <t>đôi</t>
  </si>
  <si>
    <t>cặp</t>
  </si>
  <si>
    <t>lọ</t>
  </si>
  <si>
    <t>túi</t>
  </si>
  <si>
    <t>hộp</t>
  </si>
  <si>
    <t>kim</t>
  </si>
  <si>
    <t>UOM</t>
  </si>
  <si>
    <t>Mã chiến dịch</t>
  </si>
  <si>
    <t>Tên chiến dịch</t>
  </si>
  <si>
    <t>Loại khuyến mãi</t>
  </si>
  <si>
    <t>Mã đơn vị bán (mua)</t>
  </si>
  <si>
    <t>Tên sản phẩm mua</t>
  </si>
  <si>
    <t>SL mua</t>
  </si>
  <si>
    <t>Mô tả quà tặng (nguồn)</t>
  </si>
  <si>
    <t>Mã sản phẩm quà</t>
  </si>
  <si>
    <t>Tên sản phẩm quà</t>
  </si>
  <si>
    <t>SL quà</t>
  </si>
  <si>
    <t>UOM quà</t>
  </si>
  <si>
    <t>Ngày bắt đầu</t>
  </si>
  <si>
    <t>Ngày kết thúc</t>
  </si>
  <si>
    <t>Trạng thái</t>
  </si>
  <si>
    <t>Dòng nguồn (Sellable Unit)</t>
  </si>
  <si>
    <t>CAMP-001</t>
  </si>
  <si>
    <t>Máy tạo oxy Owgels 10 lít - Tặng máy đo SPO2</t>
  </si>
  <si>
    <t>Quà tặng kèm</t>
  </si>
  <si>
    <t>Tặng kèm Máy đo SPO2</t>
  </si>
  <si>
    <t>Nháp</t>
  </si>
  <si>
    <t>CAMP-002</t>
  </si>
  <si>
    <t>Máy tạo oxy Owgels 5 lít OZ-501TW0 - Tặng mặt nạ thở oxy</t>
  </si>
  <si>
    <t>Tặng kèm Mặt nạ thở oxy</t>
  </si>
  <si>
    <t>CAMP-003</t>
  </si>
  <si>
    <t>Máy đo đường huyết Safe-Accu - Tặng 50 que thử + 50 kim</t>
  </si>
  <si>
    <t>Tặng kèm 50 que thử</t>
  </si>
  <si>
    <t>Tặng kèm 50 kim chích máu</t>
  </si>
  <si>
    <t>CAMP-004</t>
  </si>
  <si>
    <t>Que thử Safe-Accu 50 que - Tặng 50 kim chích máu</t>
  </si>
  <si>
    <t>Tặng 50 kim chích máu</t>
  </si>
  <si>
    <t>Giá bán lẻ (VND)</t>
  </si>
  <si>
    <t>Nguồn giá</t>
  </si>
  <si>
    <t>Dòng giá (Draft Product)</t>
  </si>
  <si>
    <t>Giá sản phẩm (chung)</t>
  </si>
  <si>
    <t>Giá sản phẩm (chung) – khớp theo tên</t>
  </si>
  <si>
    <t>Giá (theo biến thể) – nguồn có nhiều giá: 15000 / 70000</t>
  </si>
  <si>
    <t>352, 353</t>
  </si>
  <si>
    <t>Không có giá trong nguồn</t>
  </si>
  <si>
    <t>Giá (theo biến thể)</t>
  </si>
  <si>
    <t>76, 452</t>
  </si>
  <si>
    <t>12, 74</t>
  </si>
  <si>
    <t>407, 453</t>
  </si>
  <si>
    <t>150, 460</t>
  </si>
  <si>
    <t>Giá (theo biến thể) – nguồn có nhiều giá: 3600 / 160000 – khớp theo tên</t>
  </si>
  <si>
    <t>473, 109, 98</t>
  </si>
  <si>
    <t>Giá (theo biến thể) – khớp theo tên</t>
  </si>
  <si>
    <t>474, 415</t>
  </si>
  <si>
    <t>Giá (theo biến thể) – nguồn có nhiều giá: 240000 / 260000 – khớp theo tên</t>
  </si>
  <si>
    <t>102, 108</t>
  </si>
  <si>
    <t>475, 416</t>
  </si>
  <si>
    <t>103, 100</t>
  </si>
  <si>
    <t>476, 414</t>
  </si>
  <si>
    <t>104, 99</t>
  </si>
  <si>
    <t>477, 413</t>
  </si>
  <si>
    <t>105, 97</t>
  </si>
  <si>
    <t>478, 412</t>
  </si>
  <si>
    <t>106, 96</t>
  </si>
  <si>
    <t>479, 411</t>
  </si>
  <si>
    <t>107, 95</t>
  </si>
  <si>
    <t>471, 94</t>
  </si>
  <si>
    <t>91, 93</t>
  </si>
  <si>
    <t>472, 417</t>
  </si>
  <si>
    <t>Giá (theo biến thể) – nguồn có nhiều giá: 640000 / 650000 – khớp theo tên</t>
  </si>
  <si>
    <t>92, 90</t>
  </si>
  <si>
    <t>37, 395</t>
  </si>
  <si>
    <t>38, 394</t>
  </si>
  <si>
    <t>480, 39</t>
  </si>
  <si>
    <t>481, 450</t>
  </si>
  <si>
    <t>58, 62</t>
  </si>
  <si>
    <t>59, 63</t>
  </si>
  <si>
    <t>60, 64</t>
  </si>
  <si>
    <t>61, 65</t>
  </si>
  <si>
    <t>334, 438</t>
  </si>
  <si>
    <t>335, 439</t>
  </si>
  <si>
    <t>336, 440</t>
  </si>
  <si>
    <t>337, 441</t>
  </si>
  <si>
    <t>338, 442</t>
  </si>
  <si>
    <t>Giá (theo biến thể) – nguồn có nhiều giá: 990000 / 660000</t>
  </si>
  <si>
    <t>222, 227</t>
  </si>
  <si>
    <t>223, 228</t>
  </si>
  <si>
    <t>224, 229</t>
  </si>
  <si>
    <t>225, 230</t>
  </si>
  <si>
    <t>226, 231</t>
  </si>
  <si>
    <t>Giá sản phẩm (chung) – nguồn có nhiều giá: 53000 / 1589000 – khớp theo tên</t>
  </si>
  <si>
    <t>373, 52</t>
  </si>
  <si>
    <t>372, 51</t>
  </si>
  <si>
    <t>Giá sản phẩm (chung) – nguồn có nhiều giá: 93000 / 930000 – khớp theo tên</t>
  </si>
  <si>
    <t>34, 33</t>
  </si>
  <si>
    <t>Giá (theo biến thể) – nguồn có nhiều giá: 95000 / 475000</t>
  </si>
  <si>
    <t>402, 403, 158, 159</t>
  </si>
  <si>
    <t>Giá (theo biến thể) – nguồn có nhiều giá: 85000 / 425000</t>
  </si>
  <si>
    <t>297, 298, 295, 296, 510, 511</t>
  </si>
  <si>
    <t>Giá sản phẩm (chung) – nguồn có nhiều giá: 39000 / 780000 – khớp theo tên</t>
  </si>
  <si>
    <t>142, 50</t>
  </si>
  <si>
    <t>Giá (theo biến thể) – nguồn có nhiều giá: 39000 / 780000</t>
  </si>
  <si>
    <t>273, 274</t>
  </si>
  <si>
    <t>Giá sản phẩm (chung) – nguồn có nhiều giá: 48000 / 240000 – khớp theo tên</t>
  </si>
  <si>
    <t>169, 53</t>
  </si>
  <si>
    <t>Giá (theo biến thể) – nguồn có nhiều giá: 142000 / 130000</t>
  </si>
  <si>
    <t>137, 138</t>
  </si>
  <si>
    <t>Giá (theo biến thể) – nguồn có nhiều giá: 57000 / 570000</t>
  </si>
  <si>
    <t>23, 24, 133, 134, 304, 305</t>
  </si>
  <si>
    <t>Giá (theo biến thể) – nguồn có nhiều giá: 45000 / 450000</t>
  </si>
  <si>
    <t>293, 294, 302, 303, 508, 509</t>
  </si>
  <si>
    <t>Giá (theo biến thể) – nguồn có nhiều giá: 97000 / 87000</t>
  </si>
  <si>
    <t>140, 141</t>
  </si>
  <si>
    <t>Giá sản phẩm (chung) – nguồn có nhiều giá: 39000 / 580000 – khớp theo tên</t>
  </si>
  <si>
    <t>170, 54</t>
  </si>
  <si>
    <t>Giá sản phẩm (chung) – nguồn có nhiều giá: 49000 / 735000 – khớp theo tên</t>
  </si>
  <si>
    <t>83, 49</t>
  </si>
  <si>
    <t>Giá (theo biến thể) – nguồn có nhiều giá: 40000 / 800000</t>
  </si>
  <si>
    <t>248, 249</t>
  </si>
  <si>
    <t>Giá (theo biến thể) – nguồn có nhiều giá: 30000 / 300000</t>
  </si>
  <si>
    <t>209, 16</t>
  </si>
  <si>
    <t>210, 17</t>
  </si>
  <si>
    <t>211, 18</t>
  </si>
  <si>
    <t>212, 19</t>
  </si>
  <si>
    <t>206, 13</t>
  </si>
  <si>
    <t>207, 14</t>
  </si>
  <si>
    <t>208, 15</t>
  </si>
  <si>
    <t>Giá sản phẩm (chung) – nguồn có nhiều giá: 40000 / 35000 – khớp theo tên</t>
  </si>
  <si>
    <t>514, 344</t>
  </si>
  <si>
    <t>489, 443</t>
  </si>
  <si>
    <t>151, 163</t>
  </si>
  <si>
    <t>152, 164</t>
  </si>
  <si>
    <t>202, 198</t>
  </si>
  <si>
    <t>203, 199</t>
  </si>
  <si>
    <t>325, 423</t>
  </si>
  <si>
    <t>326, 424</t>
  </si>
  <si>
    <t>255, 254, 253</t>
  </si>
  <si>
    <t>Giá sản phẩm (chung) – nguồn có nhiều giá: 185000 / 220000 – khớp theo tên</t>
  </si>
  <si>
    <t>378, 379</t>
  </si>
  <si>
    <t>1 chai 28ml</t>
  </si>
  <si>
    <t>33Fr</t>
  </si>
  <si>
    <t>35Fr</t>
  </si>
  <si>
    <t>37Fr</t>
  </si>
  <si>
    <t>Số 1.5</t>
  </si>
  <si>
    <t>Số 2</t>
  </si>
  <si>
    <t>Số 2.5</t>
  </si>
  <si>
    <t>Số 6.5</t>
  </si>
  <si>
    <t>Số 7.5</t>
  </si>
  <si>
    <t>356, 367</t>
  </si>
  <si>
    <t>357, 369</t>
  </si>
  <si>
    <t>358, 368</t>
  </si>
  <si>
    <t>359, 364</t>
  </si>
  <si>
    <t>360, 366</t>
  </si>
  <si>
    <t>361, 365</t>
  </si>
  <si>
    <t>362, 363</t>
  </si>
  <si>
    <t>350, 355</t>
  </si>
  <si>
    <t>351, 354</t>
  </si>
  <si>
    <t>65, 72</t>
  </si>
  <si>
    <t>66, 69</t>
  </si>
  <si>
    <t>67, 71</t>
  </si>
  <si>
    <t>68, 70</t>
  </si>
  <si>
    <t>79, 81</t>
  </si>
  <si>
    <t>80, 82</t>
  </si>
  <si>
    <t>122, 444</t>
  </si>
  <si>
    <t>123, 445</t>
  </si>
  <si>
    <t>124, 418</t>
  </si>
  <si>
    <t>125, 258</t>
  </si>
  <si>
    <t>121, 126</t>
  </si>
  <si>
    <t>127, 129</t>
  </si>
  <si>
    <t>128, 257</t>
  </si>
  <si>
    <t>405, 464</t>
  </si>
  <si>
    <t>359, 463</t>
  </si>
  <si>
    <t>306, 462</t>
  </si>
  <si>
    <t>40, 398</t>
  </si>
  <si>
    <t>41, 397</t>
  </si>
  <si>
    <t>42, 396</t>
  </si>
  <si>
    <t>43, 399</t>
  </si>
  <si>
    <t>46, 483</t>
  </si>
  <si>
    <t>73, 75</t>
  </si>
  <si>
    <t>47, 435</t>
  </si>
  <si>
    <t>74, 77</t>
  </si>
  <si>
    <t>44, 393</t>
  </si>
  <si>
    <t>45, 392</t>
  </si>
  <si>
    <t>Giá (theo biến thể) – nguồn có nhiều giá: 27,000 / 22,000</t>
  </si>
  <si>
    <t>Giá (theo biến thể) – nguồn có nhiều giá: 30,000 / 27,000</t>
  </si>
  <si>
    <t>Giá (theo biến thể) – nguồn có nhiều giá: 38,000 / 30,000</t>
  </si>
  <si>
    <t>Liên hệ – merinco.com.vn không công bố giá</t>
  </si>
  <si>
    <t>Website Merinco (giá/miếng)</t>
  </si>
  <si>
    <t>que</t>
  </si>
  <si>
    <t>25 que</t>
  </si>
  <si>
    <t>10 que</t>
  </si>
  <si>
    <t>50 que</t>
  </si>
  <si>
    <t>PRODUCT-00250</t>
  </si>
  <si>
    <t>[Young Chemical Vina] Miếng dán mụn - Somaderm Spot (24 miếng)</t>
  </si>
  <si>
    <t>PRODUCT-00251</t>
  </si>
  <si>
    <t>[Young Chemical Vina] Miếng dán mụn - Somaderm Spot (18 miếng)</t>
  </si>
  <si>
    <t>[Young Chemical Vina] Miếng dán mụn - Somaderm Spot S (32 miếng)</t>
  </si>
  <si>
    <t>PRODUCT-00252</t>
  </si>
  <si>
    <t>[3M™] Miếng dán vết thương thay chỉ khâu - STERI-STRIP™ (6mmx100mm)</t>
  </si>
  <si>
    <t>PRODUCT-00253</t>
  </si>
  <si>
    <t>[3M™] Miếng dán vết thương thay chỉ khâu - STERI-STRIP™ (12mmx100mm)</t>
  </si>
  <si>
    <t>PRODUCT-00254</t>
  </si>
  <si>
    <t>[ConvaTec] Băng dán vết thương - DuoDerm Extra Thin (5cmx20cm)</t>
  </si>
  <si>
    <t>PRODUCT-00255</t>
  </si>
  <si>
    <t>[ConvaTec] Băng dán vết thương - DuoDerm Extra Thin (5cmx10cm)</t>
  </si>
  <si>
    <t>PRODUCT-00256</t>
  </si>
  <si>
    <t>[Dr.Muller Pharma] Gel bôi vết thương hở - Okuskin (30g)</t>
  </si>
  <si>
    <t>[Young Chemical Vina] Miếng dán mụn - Somaderm-Thin (Ø10mm)</t>
  </si>
  <si>
    <t>[3M™] Miếng dán vết thương thay chỉ khâu - STERI-STRIP™ (3mmx75mm)</t>
  </si>
  <si>
    <t>[3M™] Xịt bảo vệ chống hăm loét da - Cavilon (28ml)</t>
  </si>
  <si>
    <t>[ConvaTec] Băng dán vết thương - DuoDerm Extra Thin (10cmx10cm)</t>
  </si>
  <si>
    <t>[Dr.Muller Pharma] Gel bôi vết thương hở - Okuskin (10g)</t>
  </si>
  <si>
    <t>[ICM] Dung dịch sát khuẩn rửa vết thương - Berbemed (150ml)</t>
  </si>
  <si>
    <t>PRODUCT-00257</t>
  </si>
  <si>
    <t>[SeaSight] Miếng dán vết thương thay chỉ khâu (6mmx38mm)</t>
  </si>
  <si>
    <t>PRODUCT-00258</t>
  </si>
  <si>
    <t>[SeaSight] Miếng dán vết thương thay chỉ khâu (6mmx100mm)</t>
  </si>
  <si>
    <t>PRODUCT-00259</t>
  </si>
  <si>
    <t>[SeaSight] Miếng dán vết thương thay chỉ khâu (12mmx100mm)</t>
  </si>
  <si>
    <t>PRODUCT-00260</t>
  </si>
  <si>
    <t>[Urgo] Gạc lưới chống dính - UrgoTul (15cmx20cm)</t>
  </si>
  <si>
    <t>PRODUCT-00261</t>
  </si>
  <si>
    <t>[Urgo] Gạc lưới chống dính - UrgoTul (5cmx5cm)</t>
  </si>
  <si>
    <t>PRODUCT-00262</t>
  </si>
  <si>
    <t>[Urgo] Gạc lưới tẩm bạc chống dính - UrgoTul Ag/Silver (15cmx20cm)</t>
  </si>
  <si>
    <t>PRODUCT-00263</t>
  </si>
  <si>
    <t>[Urgo] Gạc lưới tẩm bạc chống dính - UrgoTul Ag/Silver (5cmx5cm)</t>
  </si>
  <si>
    <t>PRODUCT-00264</t>
  </si>
  <si>
    <t>[Wonbiogen] Băng gạc xốp không dính vết thương - Therasorb Algi Plus Adhesive (9cmx15cm)</t>
  </si>
  <si>
    <t>PRODUCT-00265</t>
  </si>
  <si>
    <t>[Wonbiogen] Băng gạc xốp không dính vết thương - Therasorb Algi Plus Adhesive (9cmx20cm)</t>
  </si>
  <si>
    <t>PRODUCT-00266</t>
  </si>
  <si>
    <t>[Wonbiogen] Gạc xốp siêu thấm hút dịch tiết vết thương - Therasorb Algi Plus Hydrophilic (20cmx20cmx0.5cm)</t>
  </si>
  <si>
    <t>PRODUCT-00267</t>
  </si>
  <si>
    <t>[Wonbiogen] Gạc xốp siêu thấm hút dịch tiết vết thương - Therasorb Algi Plus Hydrophilic (35cmx50cmx0.5cm)</t>
  </si>
  <si>
    <t>PRODUCT-00268</t>
  </si>
  <si>
    <t>[Wonbiogen] Gạc xốp siêu thấm hút dịch tiết vết thương - Therasorb Algi Plus Hydrophilic (30cmx100cmx0.5cm)</t>
  </si>
  <si>
    <t>PRODUCT-00269</t>
  </si>
  <si>
    <t>[Wonbiogen] Gạc xốp siêu thấm hút dịch tiết vết thương - Therasorb Algi Plus Hydrophilic (10cmx10cm)</t>
  </si>
  <si>
    <t>PRODUCT-00270</t>
  </si>
  <si>
    <t>[Wonbiogen] Gạc xốp siêu thấm hút dịch tiết vết thương - Therasorb Algi Plus Hydrophilic (20cmx20cm)</t>
  </si>
  <si>
    <t>PRODUCT-00271</t>
  </si>
  <si>
    <t>[Wonbiogen] Gạc xốp siêu thấm hút dịch tiết vết thương - Therasorb Algi Plus Hydrophilic (35cmx50cm)</t>
  </si>
  <si>
    <t>PRODUCT-00272</t>
  </si>
  <si>
    <t>[Wonbiogen] Gạc xốp tẩm bạc kháng khuẩn - Therasorb® Ag Plus (20cmx20cm)</t>
  </si>
  <si>
    <t>PRODUCT-00273</t>
  </si>
  <si>
    <t>[Wonbiogen] Kem gel silicone trị sẹo - RemScar® Gel (30g)</t>
  </si>
  <si>
    <t>PRODUCT-00274</t>
  </si>
  <si>
    <t>[Wonbiogen] Miếng dán silicone trị sẹo lồi, sẹo thâm - RemScar® TR (3.5cmx15cm)</t>
  </si>
  <si>
    <t>PRODUCT-00275</t>
  </si>
  <si>
    <t>[Wonbiogen] Miếng dán silicone trị sẹo lồi, sẹo thâm - RemScar® TR (5cmx6cm)</t>
  </si>
  <si>
    <t>PRODUCT-00276</t>
  </si>
  <si>
    <t>[Young Chemical Vina] Băng gạc vô trùng - Young Wound Dressing (6cmx10cm)</t>
  </si>
  <si>
    <t>PRODUCT-00277</t>
  </si>
  <si>
    <t>[Young Chemical Vina] Băng gạc vô trùng - Young Wound Dressing (9cmx10cm)</t>
  </si>
  <si>
    <t>PRODUCT-00278</t>
  </si>
  <si>
    <t>[Young Chemical Vina] Băng gạc vô trùng - Young Wound Dressing (9cmx15cm)</t>
  </si>
  <si>
    <t>PRODUCT-00279</t>
  </si>
  <si>
    <t>[Young Chemical Vina] Băng gạc vô trùng - Young Wound Dressing (9cmx20cm)</t>
  </si>
  <si>
    <t>PRODUCT-00280</t>
  </si>
  <si>
    <t>[Young Chemical Vina] Băng gạc vô trùng - Young Wound Dressing (9cmx25cm)</t>
  </si>
  <si>
    <t>PRODUCT-00281</t>
  </si>
  <si>
    <t>[Young Chemical Vina] Băng gạc vô trùng - Young Wound Dressing (9cmx30cm)</t>
  </si>
  <si>
    <t>PRODUCT-00282</t>
  </si>
  <si>
    <t>[Young Chemical Vina] Băng gạc vô trùng không thấm nước - Sterile Adflex (With-Pad) (10cmx12cm)</t>
  </si>
  <si>
    <t>PRODUCT-00283</t>
  </si>
  <si>
    <t>[Young Chemical Vina] Băng keo cá nhân in hình trẻ em - Pororo (Hỗn hợp 4 size)</t>
  </si>
  <si>
    <t>PRODUCT-00284</t>
  </si>
  <si>
    <t>[Young Chemical Vina] Băng keo cuộn co giãn - Fix Roll (10cmx10m)</t>
  </si>
  <si>
    <t>PRODUCT-00285</t>
  </si>
  <si>
    <t>[Young Chemical Vina] Băng keo cuộn co giãn - Fix Roll (15cmx10m)</t>
  </si>
  <si>
    <t>PRODUCT-00286</t>
  </si>
  <si>
    <t>[Young Chemical Vina] Băng keo cuộn co giãn - Fix Roll (10cmx2.5m)</t>
  </si>
  <si>
    <t>PRODUCT-00287</t>
  </si>
  <si>
    <t>[Young Chemical Vina] Băng keo cuộn giấy dành cho da nhạy cảm - Young Plaster-Paper (2.5cmx5m)</t>
  </si>
  <si>
    <t>PRODUCT-00288</t>
  </si>
  <si>
    <t>[Young Chemical Vina] Băng keo cuộn lụa - Young Plaster-Silk (2.5cmx5m)</t>
  </si>
  <si>
    <t>PRODUCT-00289</t>
  </si>
  <si>
    <t>[Young Chemical Vina] Miếng dán hydrocolloid hỗ trợ làm lành vết thương - Somaderm-L (10cmx10cm)</t>
  </si>
  <si>
    <t>PRODUCT-00290</t>
  </si>
  <si>
    <t>Miếng dán ép sẹo silicone (14cmx3.8cm)</t>
  </si>
  <si>
    <t>PRODUCT-00291</t>
  </si>
  <si>
    <t>[Yafho] Dây đai cố định ống mở khí quản (2.5cmx33cm / Xanh nhạt)</t>
  </si>
  <si>
    <t>PRODUCT-00292</t>
  </si>
  <si>
    <t>[Yafho] Dây đai cố định ống mở khí quản (43cmx2.5cm)</t>
  </si>
  <si>
    <t>PRODUCT-00293</t>
  </si>
  <si>
    <t>[Yafho] Dây đai cố định ống mở khí quản (45cmx3.5cm)</t>
  </si>
  <si>
    <t>PRODUCT-00294</t>
  </si>
  <si>
    <t>[SungShim] Bơm tiêm insulin (1ml)</t>
  </si>
  <si>
    <t>PRODUCT-00295</t>
  </si>
  <si>
    <t>[Young Chemical Vina] Băng keo cố định kim luồn không thấm nước không gạc - Adflex - IV (6.7cmx10cm)</t>
  </si>
  <si>
    <t>[SeaSight] Gạc xốp hút dịch chống loét có viền dính silicone (18.5cmx24cm)</t>
  </si>
  <si>
    <t>[SeaSight] Miếng dán vết thương thay chỉ khâu (3mmx75mm)</t>
  </si>
  <si>
    <t>[Terrapharm] Dung dịch kháng khuẩn rửa vết thương - Dizigone (300ml)</t>
  </si>
  <si>
    <t>[Terrapharm] Xịt kháng khuẩn - Dizigone Spray (100ml)</t>
  </si>
  <si>
    <t>[Urgo] Gạc lưới chống dính - UrgoTul (10cmx10cm)</t>
  </si>
  <si>
    <t>[Urgo] Gạc lưới tẩm bạc chống dính - UrgoTul Ag/Silver (10cmx12cm)</t>
  </si>
  <si>
    <t>[VH Pharma] Gel trị vết thương hở - Healit (5g)</t>
  </si>
  <si>
    <t>[Wonbiogen] Băng dán vết thương Hydrocolloid - Renoderm (10cmx10cm)</t>
  </si>
  <si>
    <t>[Wonbiogen] Băng gạc xốp không dính vết thương - Therasorb Algi Plus Adhesive (7.5cmx7.5cm)</t>
  </si>
  <si>
    <t>[Wonbiogen] Gạc xốp siêu thấm hút dịch tiết vết thương - Therasorb Algi Plus Hydrophilic (10cmx10cmx0.5cm)</t>
  </si>
  <si>
    <t>[Wonbiogen] Gạc xốp tẩm bạc kháng khuẩn - Therasorb® Ag Plus (10cmx10cm)</t>
  </si>
  <si>
    <t>[Wonbiogen] Kem gel silicone trị sẹo - RemScar® Gel (15g)</t>
  </si>
  <si>
    <t>[Wonbiogen] Miếng dán silicone trị sẹo lồi, sẹo thâm - RemScar® TR (12cmx15cm)</t>
  </si>
  <si>
    <t>[Yafho] Gạc xốp hút dịch chống loét có viền dính silicone (18cmx18cm)</t>
  </si>
  <si>
    <t>[Young Chemical Vina] Băng gạc vô trùng - Young Wound Dressing (6cmx7cm)</t>
  </si>
  <si>
    <t>[Young Chemical Vina] Băng gạc vô trùng không thấm nước - Sterile Adflex (With-Pad) (6cmx7cm)</t>
  </si>
  <si>
    <t>[Young Chemical Vina] Băng keo cá nhân in hình trẻ em - Pororo (72mmx18mm)</t>
  </si>
  <si>
    <t>[Young Chemical Vina] Băng keo cá nhân màu da - Ace-band Sheer (72mmx18mm)</t>
  </si>
  <si>
    <t>[Young Chemical Vina] Băng keo cá nhân trong suốt - Ace-band Transparent (72mmx18mm)</t>
  </si>
  <si>
    <t>[Young Chemical Vina] Băng keo cá nhân vải - Ace-band (60mmx19mm)</t>
  </si>
  <si>
    <t>[Young Chemical Vina] Băng keo cuộn co giãn - Fix Roll (5cmx10m)</t>
  </si>
  <si>
    <t>[Young Chemical Vina] Băng keo cuộn giấy dành cho da nhạy cảm - Young Plaster-Paper (1.25cmx5m)</t>
  </si>
  <si>
    <t>[Young Chemical Vina] Băng keo cuộn lụa - Young Plaster-Silk (1.25cmx5m)</t>
  </si>
  <si>
    <t>[Young Chemical Vina] Băng vô trùng không gạc trong suốt không thấm nước - Sterile Adflex (Non-Pad) (10cmx12cm)</t>
  </si>
  <si>
    <t>[Young Chemical Vina] Miếng dán hydrocolloid hỗ trợ làm lành vết thương - Somaderm-L (7.5cmx7.5cm)</t>
  </si>
  <si>
    <t>Miếng dán ép sẹo silicone (10cmx1.7cm)</t>
  </si>
  <si>
    <t>[Aveflor] Bình xịt lạnh giảm đau - Chillit (250ml)</t>
  </si>
  <si>
    <t>[Hapaku] Đai chườm thảo dược cổ gáy làm nóng bằng điện (50cmx11cm)</t>
  </si>
  <si>
    <t>[Hapaku] Đai chườm thảo dược vai gáy cổ làm nóng bằng điện (35cmx48cm)</t>
  </si>
  <si>
    <t>[Hapaku] Gối chườm thảo dược đa năng làm nóng bằng điện (34cmx24cm)</t>
  </si>
  <si>
    <t>[ConvaTec] Bột hút ẩm chống loét hậu môn nhân tạo (28.3g)</t>
  </si>
  <si>
    <t>[ConvaTec] Keo làm đầy chống rò rỉ hậu môn nhân tạo (56.7g)</t>
  </si>
  <si>
    <t>[Hollister] Bột hút ẩm chống loét hậu môn nhân tạo - Adapt Stoma Powder 7906 (28.3g)</t>
  </si>
  <si>
    <t>[Hollister] Kem chống xì hậu môn nhân tạo - Adapt Paste 79300 (60g)</t>
  </si>
  <si>
    <t>[Lohmann-Rauscher] Gạc mở khí quản vô trùng - Metalline (8cmx9cm)</t>
  </si>
  <si>
    <t>[Long-term Health] Gạc xốp đặt xung quanh ống mở khí quản (7cmx11cm)</t>
  </si>
  <si>
    <t>[Long-term Health] Gạc xốp răng cưa đặt xung quanh ống mở khí quản (10cmx10cm)</t>
  </si>
  <si>
    <t>[Yafho] Dây đai cố định ống mở khí quản (3.6cmx18cm / Xanh đậm)</t>
  </si>
  <si>
    <t>[Medtronic] Bộ truyền tín hiệu kết nối cảm biến CGM và máy bơm insulin - Guardian™ Link 3 Transmitter (640g)</t>
  </si>
  <si>
    <t>[Daesang Wellife] Sữa dinh dưỡng dành cho người tiểu đường - Nucare Glucose Plan (200ml)</t>
  </si>
  <si>
    <t>[Nutricia] Sữa dinh dưỡng - Fortimel Power (335g)</t>
  </si>
  <si>
    <t>[Nutricia] Sữa dinh dưỡng dành cho bệnh nhân ung thư - Forticare (125ml)</t>
  </si>
  <si>
    <t>[Nutricia] Sữa dinh dưỡng nuôi ăn qua ống thông - Nutrison (1000ml)</t>
  </si>
  <si>
    <t>[Vinahankook] Bơm tiêm cho ăn sử dụng 1 lần - 50cc (50ml)</t>
  </si>
  <si>
    <t>[Medtronic] Bình chứa insulin - MiniMed Reservoir 3.0ml MMT-332A (3ml)</t>
  </si>
  <si>
    <t>[Roche] Thiết bị lấy máu tích hợp kim - Accu-Chek Safe-T-Pro Uno (Ø0.36mm)</t>
  </si>
  <si>
    <t>[SungShim] Bơm tiêm insulin (0.5ml)</t>
  </si>
  <si>
    <t>[Young Chemical Vina] Băng keo cố định kim luồn có gạc - Wound - IV (6cmx7cm)</t>
  </si>
  <si>
    <t>[Young Chemical Vina] Băng keo cố định kim luồn không thấm nước không gạc - Adflex - IV (5.1cmx6cm)</t>
  </si>
  <si>
    <t>[VBM] Đồng hồ đo áp lực bóng chèn - Universal (Ø68mm)</t>
  </si>
  <si>
    <t>PRODUCT-00296</t>
  </si>
  <si>
    <t>[CODY Health] Vớ y khoa giãn tĩnh mạch (Vớ đùi)</t>
  </si>
  <si>
    <t>[CODY Health] Vớ y khoa giãn tĩnh mạch (Vớ gối)</t>
  </si>
  <si>
    <t>PRODUCT-00297</t>
  </si>
  <si>
    <t>[Timelock] Găng tay robot phục hồi chức năng bàn tay (Bên phải)</t>
  </si>
  <si>
    <t>PRODUCT-00298</t>
  </si>
  <si>
    <t>[Venosan] Vớ y khoa hỗ trợ điều trị suy giãn tĩnh mạch - Venosan 6000 (Vớ gối)</t>
  </si>
  <si>
    <t>PRODUCT-00299</t>
  </si>
  <si>
    <t>[Venosan] Vớ y khoa hỗ trợ điều trị suy giãn tĩnh mạch - Venosan 6000 (Vớ đùi)</t>
  </si>
  <si>
    <t>[Timelock] Găng tay robot phục hồi chức năng bàn tay (Bên trái)</t>
  </si>
  <si>
    <t>PRODUCT-00300</t>
  </si>
  <si>
    <t>[Hollister] Vòng bảo vệ da chống loét hậu môn nhân tạo (Mẫu 7806)</t>
  </si>
  <si>
    <t>[Hollister] Vòng bảo vệ da chống loét hậu môn nhân tạo (Mẫu 7805)</t>
  </si>
  <si>
    <t>PRODUCT-00001-001</t>
  </si>
  <si>
    <t>PRODUCT-00002-001</t>
  </si>
  <si>
    <t>PRODUCT-00003-001</t>
  </si>
  <si>
    <t>PRODUCT-00004-001</t>
  </si>
  <si>
    <t>PRODUCT-00005-001</t>
  </si>
  <si>
    <t>PRODUCT-00006-001</t>
  </si>
  <si>
    <t>PRODUCT-00007-001</t>
  </si>
  <si>
    <t>PRODUCT-00008-001</t>
  </si>
  <si>
    <t>PRODUCT-00250-001</t>
  </si>
  <si>
    <t>PRODUCT-00251-001</t>
  </si>
  <si>
    <t>PRODUCT-00009-001</t>
  </si>
  <si>
    <t>PRODUCT-00010-001</t>
  </si>
  <si>
    <t>PRODUCT-00011-001</t>
  </si>
  <si>
    <t>PRODUCT-00012-001</t>
  </si>
  <si>
    <t>PRODUCT-00252-001</t>
  </si>
  <si>
    <t>PRODUCT-00253-001</t>
  </si>
  <si>
    <t>PRODUCT-00013-001</t>
  </si>
  <si>
    <t>PRODUCT-00014-001</t>
  </si>
  <si>
    <t>PRODUCT-00254-001</t>
  </si>
  <si>
    <t>PRODUCT-00255-001</t>
  </si>
  <si>
    <t>PRODUCT-00015-001</t>
  </si>
  <si>
    <t>PRODUCT-00256-001</t>
  </si>
  <si>
    <t>PRODUCT-00016-001</t>
  </si>
  <si>
    <t>PRODUCT-00017-001</t>
  </si>
  <si>
    <t>PRODUCT-00018-001</t>
  </si>
  <si>
    <t>PRODUCT-00019-001</t>
  </si>
  <si>
    <t>PRODUCT-00257-001</t>
  </si>
  <si>
    <t>PRODUCT-00258-001</t>
  </si>
  <si>
    <t>PRODUCT-00259-001</t>
  </si>
  <si>
    <t>PRODUCT-00020-001</t>
  </si>
  <si>
    <t>PRODUCT-00021-001</t>
  </si>
  <si>
    <t>PRODUCT-00022-001</t>
  </si>
  <si>
    <t>PRODUCT-00023-001</t>
  </si>
  <si>
    <t>PRODUCT-00260-001</t>
  </si>
  <si>
    <t>PRODUCT-00261-001</t>
  </si>
  <si>
    <t>PRODUCT-00024-001</t>
  </si>
  <si>
    <t>PRODUCT-00262-001</t>
  </si>
  <si>
    <t>PRODUCT-00263-001</t>
  </si>
  <si>
    <t>PRODUCT-00025-001</t>
  </si>
  <si>
    <t>PRODUCT-00026-001</t>
  </si>
  <si>
    <t>PRODUCT-00027-001</t>
  </si>
  <si>
    <t>PRODUCT-00264-001</t>
  </si>
  <si>
    <t>PRODUCT-00265-001</t>
  </si>
  <si>
    <t>PRODUCT-00028-001</t>
  </si>
  <si>
    <t>PRODUCT-00266-001</t>
  </si>
  <si>
    <t>PRODUCT-00267-001</t>
  </si>
  <si>
    <t>PRODUCT-00268-001</t>
  </si>
  <si>
    <t>PRODUCT-00269-001</t>
  </si>
  <si>
    <t>PRODUCT-00270-001</t>
  </si>
  <si>
    <t>PRODUCT-00271-001</t>
  </si>
  <si>
    <t>PRODUCT-00029-001</t>
  </si>
  <si>
    <t>PRODUCT-00272-001</t>
  </si>
  <si>
    <t>PRODUCT-00030-001</t>
  </si>
  <si>
    <t>PRODUCT-00031-001</t>
  </si>
  <si>
    <t>PRODUCT-00273-001</t>
  </si>
  <si>
    <t>PRODUCT-00032-001</t>
  </si>
  <si>
    <t>PRODUCT-00274-001</t>
  </si>
  <si>
    <t>PRODUCT-00275-001</t>
  </si>
  <si>
    <t>PRODUCT-00033-001</t>
  </si>
  <si>
    <t>PRODUCT-00034-001</t>
  </si>
  <si>
    <t>PRODUCT-00276-001</t>
  </si>
  <si>
    <t>PRODUCT-00277-001</t>
  </si>
  <si>
    <t>PRODUCT-00278-001</t>
  </si>
  <si>
    <t>PRODUCT-00279-001</t>
  </si>
  <si>
    <t>PRODUCT-00280-001</t>
  </si>
  <si>
    <t>PRODUCT-00281-001</t>
  </si>
  <si>
    <t>PRODUCT-00035-001</t>
  </si>
  <si>
    <t>PRODUCT-00282-001</t>
  </si>
  <si>
    <t>PRODUCT-00036-001</t>
  </si>
  <si>
    <t>PRODUCT-00036-002</t>
  </si>
  <si>
    <t>PRODUCT-00037-001</t>
  </si>
  <si>
    <t>PRODUCT-00283-001</t>
  </si>
  <si>
    <t>PRODUCT-00038-001</t>
  </si>
  <si>
    <t>PRODUCT-00039-001</t>
  </si>
  <si>
    <t>PRODUCT-00040-001</t>
  </si>
  <si>
    <t>PRODUCT-00041-001</t>
  </si>
  <si>
    <t>PRODUCT-00042-001</t>
  </si>
  <si>
    <t>PRODUCT-00284-001</t>
  </si>
  <si>
    <t>PRODUCT-00285-001</t>
  </si>
  <si>
    <t>PRODUCT-00286-001</t>
  </si>
  <si>
    <t>PRODUCT-00043-001</t>
  </si>
  <si>
    <t>PRODUCT-00287-001</t>
  </si>
  <si>
    <t>PRODUCT-00044-001</t>
  </si>
  <si>
    <t>PRODUCT-00288-001</t>
  </si>
  <si>
    <t>PRODUCT-00045-001</t>
  </si>
  <si>
    <t>PRODUCT-00046-001</t>
  </si>
  <si>
    <t>PRODUCT-00289-001</t>
  </si>
  <si>
    <t>PRODUCT-00047-001</t>
  </si>
  <si>
    <t>PRODUCT-00048-001</t>
  </si>
  <si>
    <t>PRODUCT-00049-001</t>
  </si>
  <si>
    <t>PRODUCT-00290-001</t>
  </si>
  <si>
    <t>PRODUCT-00050-001</t>
  </si>
  <si>
    <t>PRODUCT-00051-001</t>
  </si>
  <si>
    <t>PRODUCT-00052-001</t>
  </si>
  <si>
    <t>PRODUCT-00053-001</t>
  </si>
  <si>
    <t>PRODUCT-00053-002</t>
  </si>
  <si>
    <t>PRODUCT-00053-003</t>
  </si>
  <si>
    <t>PRODUCT-00053-004</t>
  </si>
  <si>
    <t>PRODUCT-00054-001</t>
  </si>
  <si>
    <t>PRODUCT-00054-002</t>
  </si>
  <si>
    <t>PRODUCT-00054-003</t>
  </si>
  <si>
    <t>PRODUCT-00055-001</t>
  </si>
  <si>
    <t>PRODUCT-00055-002</t>
  </si>
  <si>
    <t>PRODUCT-00055-003</t>
  </si>
  <si>
    <t>PRODUCT-00056-001</t>
  </si>
  <si>
    <t>PRODUCT-00056-002</t>
  </si>
  <si>
    <t>PRODUCT-00056-003</t>
  </si>
  <si>
    <t>PRODUCT-00296-001</t>
  </si>
  <si>
    <t>PRODUCT-00296-002</t>
  </si>
  <si>
    <t>PRODUCT-00296-003</t>
  </si>
  <si>
    <t>PRODUCT-00057-001</t>
  </si>
  <si>
    <t>PRODUCT-00058-001</t>
  </si>
  <si>
    <t>PRODUCT-00059-001</t>
  </si>
  <si>
    <t>PRODUCT-00060-001</t>
  </si>
  <si>
    <t>PRODUCT-00061-001</t>
  </si>
  <si>
    <t>PRODUCT-00062-001</t>
  </si>
  <si>
    <t>PRODUCT-00062-002</t>
  </si>
  <si>
    <t>PRODUCT-00062-003</t>
  </si>
  <si>
    <t>PRODUCT-00063-001</t>
  </si>
  <si>
    <t>PRODUCT-00063-002</t>
  </si>
  <si>
    <t>PRODUCT-00063-003</t>
  </si>
  <si>
    <t>PRODUCT-00063-004</t>
  </si>
  <si>
    <t>PRODUCT-00063-005</t>
  </si>
  <si>
    <t>PRODUCT-00063-006</t>
  </si>
  <si>
    <t>PRODUCT-00063-007</t>
  </si>
  <si>
    <t>PRODUCT-00063-008</t>
  </si>
  <si>
    <t>PRODUCT-00063-009</t>
  </si>
  <si>
    <t>PRODUCT-00063-010</t>
  </si>
  <si>
    <t>PRODUCT-00063-011</t>
  </si>
  <si>
    <t>PRODUCT-00063-012</t>
  </si>
  <si>
    <t>PRODUCT-00064-001</t>
  </si>
  <si>
    <t>PRODUCT-00065-001</t>
  </si>
  <si>
    <t>PRODUCT-00066-001</t>
  </si>
  <si>
    <t>PRODUCT-00067-001</t>
  </si>
  <si>
    <t>PRODUCT-00068-001</t>
  </si>
  <si>
    <t>PRODUCT-00068-002</t>
  </si>
  <si>
    <t>PRODUCT-00068-003</t>
  </si>
  <si>
    <t>PRODUCT-00068-004</t>
  </si>
  <si>
    <t>PRODUCT-00068-005</t>
  </si>
  <si>
    <t>PRODUCT-00069-001</t>
  </si>
  <si>
    <t>PRODUCT-00069-002</t>
  </si>
  <si>
    <t>PRODUCT-00069-003</t>
  </si>
  <si>
    <t>PRODUCT-00069-004</t>
  </si>
  <si>
    <t>PRODUCT-00069-005</t>
  </si>
  <si>
    <t>PRODUCT-00070-001</t>
  </si>
  <si>
    <t>PRODUCT-00297-001</t>
  </si>
  <si>
    <t>PRODUCT-00070-002</t>
  </si>
  <si>
    <t>PRODUCT-00297-002</t>
  </si>
  <si>
    <t>PRODUCT-00071-001</t>
  </si>
  <si>
    <t>PRODUCT-00071-002</t>
  </si>
  <si>
    <t>PRODUCT-00071-003</t>
  </si>
  <si>
    <t>PRODUCT-00071-004</t>
  </si>
  <si>
    <t>PRODUCT-00071-005</t>
  </si>
  <si>
    <t>PRODUCT-00298-001</t>
  </si>
  <si>
    <t>PRODUCT-00299-001</t>
  </si>
  <si>
    <t>PRODUCT-00072-001</t>
  </si>
  <si>
    <t>PRODUCT-00073-001</t>
  </si>
  <si>
    <t>PRODUCT-00074-001</t>
  </si>
  <si>
    <t>PRODUCT-00075-001</t>
  </si>
  <si>
    <t>PRODUCT-00076-001</t>
  </si>
  <si>
    <t>PRODUCT-00077-001</t>
  </si>
  <si>
    <t>PRODUCT-00078-001</t>
  </si>
  <si>
    <t>PRODUCT-00079-001</t>
  </si>
  <si>
    <t>PRODUCT-00080-001</t>
  </si>
  <si>
    <t>PRODUCT-00081-001</t>
  </si>
  <si>
    <t>PRODUCT-00082-001</t>
  </si>
  <si>
    <t>PRODUCT-00083-001</t>
  </si>
  <si>
    <t>PRODUCT-00084-001</t>
  </si>
  <si>
    <t>PRODUCT-00085-001</t>
  </si>
  <si>
    <t>PRODUCT-00086-001</t>
  </si>
  <si>
    <t>PRODUCT-00087-001</t>
  </si>
  <si>
    <t>PRODUCT-00088-001</t>
  </si>
  <si>
    <t>PRODUCT-00089-001</t>
  </si>
  <si>
    <t>PRODUCT-00090-001</t>
  </si>
  <si>
    <t>PRODUCT-00091-001</t>
  </si>
  <si>
    <t>PRODUCT-00300-001</t>
  </si>
  <si>
    <t>PRODUCT-00093-001</t>
  </si>
  <si>
    <t>PRODUCT-00094-001</t>
  </si>
  <si>
    <t>PRODUCT-00095-001</t>
  </si>
  <si>
    <t>PRODUCT-00096-001</t>
  </si>
  <si>
    <t>PRODUCT-00097-001</t>
  </si>
  <si>
    <t>PRODUCT-00098-001</t>
  </si>
  <si>
    <t>PRODUCT-00099-001</t>
  </si>
  <si>
    <t>PRODUCT-00100-001</t>
  </si>
  <si>
    <t>PRODUCT-00101-001</t>
  </si>
  <si>
    <t>PRODUCT-00102-001</t>
  </si>
  <si>
    <t>PRODUCT-00103-001</t>
  </si>
  <si>
    <t>PRODUCT-00104-001</t>
  </si>
  <si>
    <t>PRODUCT-00105-001</t>
  </si>
  <si>
    <t>PRODUCT-00106-001</t>
  </si>
  <si>
    <t>PRODUCT-00107-001</t>
  </si>
  <si>
    <t>PRODUCT-00108-001</t>
  </si>
  <si>
    <t>PRODUCT-00109-001</t>
  </si>
  <si>
    <t>PRODUCT-00110-001</t>
  </si>
  <si>
    <t>PRODUCT-00111-001</t>
  </si>
  <si>
    <t>PRODUCT-00111-002</t>
  </si>
  <si>
    <t>PRODUCT-00112-001</t>
  </si>
  <si>
    <t>PRODUCT-00112-002</t>
  </si>
  <si>
    <t>PRODUCT-00113-001</t>
  </si>
  <si>
    <t>PRODUCT-00113-002</t>
  </si>
  <si>
    <t>PRODUCT-00114-001</t>
  </si>
  <si>
    <t>PRODUCT-00114-002</t>
  </si>
  <si>
    <t>PRODUCT-00114-003</t>
  </si>
  <si>
    <t>PRODUCT-00114-004</t>
  </si>
  <si>
    <t>PRODUCT-00115-001</t>
  </si>
  <si>
    <t>PRODUCT-00116-001</t>
  </si>
  <si>
    <t>PRODUCT-00116-002</t>
  </si>
  <si>
    <t>PRODUCT-00117-001</t>
  </si>
  <si>
    <t>PRODUCT-00117-002</t>
  </si>
  <si>
    <t>PRODUCT-00118-001</t>
  </si>
  <si>
    <t>PRODUCT-00118-002</t>
  </si>
  <si>
    <t>PRODUCT-00119-001</t>
  </si>
  <si>
    <t>PRODUCT-00119-002</t>
  </si>
  <si>
    <t>PRODUCT-00120-001</t>
  </si>
  <si>
    <t>PRODUCT-00120-002</t>
  </si>
  <si>
    <t>PRODUCT-00121-001</t>
  </si>
  <si>
    <t>PRODUCT-00121-002</t>
  </si>
  <si>
    <t>PRODUCT-00122-001</t>
  </si>
  <si>
    <t>PRODUCT-00122-002</t>
  </si>
  <si>
    <t>PRODUCT-00122-003</t>
  </si>
  <si>
    <t>PRODUCT-00123-001</t>
  </si>
  <si>
    <t>PRODUCT-00124-001</t>
  </si>
  <si>
    <t>PRODUCT-00124-002</t>
  </si>
  <si>
    <t>PRODUCT-00124-003</t>
  </si>
  <si>
    <t>PRODUCT-00124-004</t>
  </si>
  <si>
    <t>PRODUCT-00124-005</t>
  </si>
  <si>
    <t>PRODUCT-00124-006</t>
  </si>
  <si>
    <t>PRODUCT-00125-001</t>
  </si>
  <si>
    <t>PRODUCT-00125-002</t>
  </si>
  <si>
    <t>PRODUCT-00125-003</t>
  </si>
  <si>
    <t>PRODUCT-00125-004</t>
  </si>
  <si>
    <t>PRODUCT-00126-001</t>
  </si>
  <si>
    <t>PRODUCT-00126-002</t>
  </si>
  <si>
    <t>PRODUCT-00126-003</t>
  </si>
  <si>
    <t>PRODUCT-00127-001</t>
  </si>
  <si>
    <t>PRODUCT-00128-001</t>
  </si>
  <si>
    <t>PRODUCT-00129-001</t>
  </si>
  <si>
    <t>PRODUCT-00129-002</t>
  </si>
  <si>
    <t>PRODUCT-00129-003</t>
  </si>
  <si>
    <t>PRODUCT-00130-001</t>
  </si>
  <si>
    <t>PRODUCT-00131-001</t>
  </si>
  <si>
    <t>PRODUCT-00132-001</t>
  </si>
  <si>
    <t>PRODUCT-00133-001</t>
  </si>
  <si>
    <t>PRODUCT-00134-001</t>
  </si>
  <si>
    <t>PRODUCT-00135-001</t>
  </si>
  <si>
    <t>PRODUCT-00136-001</t>
  </si>
  <si>
    <t>PRODUCT-00137-001</t>
  </si>
  <si>
    <t>PRODUCT-00137-002</t>
  </si>
  <si>
    <t>PRODUCT-00138-001</t>
  </si>
  <si>
    <t>PRODUCT-00138-002</t>
  </si>
  <si>
    <t>PRODUCT-00139-001</t>
  </si>
  <si>
    <t>PRODUCT-00139-002</t>
  </si>
  <si>
    <t>PRODUCT-00140-001</t>
  </si>
  <si>
    <t>PRODUCT-00140-002</t>
  </si>
  <si>
    <t>PRODUCT-00140-003</t>
  </si>
  <si>
    <t>PRODUCT-00140-004</t>
  </si>
  <si>
    <t>PRODUCT-00141-001</t>
  </si>
  <si>
    <t>PRODUCT-00141-002</t>
  </si>
  <si>
    <t>PRODUCT-00141-003</t>
  </si>
  <si>
    <t>PRODUCT-00141-004</t>
  </si>
  <si>
    <t>PRODUCT-00142-001</t>
  </si>
  <si>
    <t>PRODUCT-00142-002</t>
  </si>
  <si>
    <t>PRODUCT-00142-003</t>
  </si>
  <si>
    <t>PRODUCT-00142-004</t>
  </si>
  <si>
    <t>PRODUCT-00143-001</t>
  </si>
  <si>
    <t>PRODUCT-00143-002</t>
  </si>
  <si>
    <t>PRODUCT-00143-003</t>
  </si>
  <si>
    <t>PRODUCT-00143-004</t>
  </si>
  <si>
    <t>PRODUCT-00144-001</t>
  </si>
  <si>
    <t>PRODUCT-00144-002</t>
  </si>
  <si>
    <t>PRODUCT-00144-003</t>
  </si>
  <si>
    <t>PRODUCT-00144-004</t>
  </si>
  <si>
    <t>PRODUCT-00145-001</t>
  </si>
  <si>
    <t>PRODUCT-00145-002</t>
  </si>
  <si>
    <t>PRODUCT-00145-003</t>
  </si>
  <si>
    <t>PRODUCT-00145-004</t>
  </si>
  <si>
    <t>PRODUCT-00146-001</t>
  </si>
  <si>
    <t>PRODUCT-00147-001</t>
  </si>
  <si>
    <t>PRODUCT-00148-001</t>
  </si>
  <si>
    <t>PRODUCT-00149-001</t>
  </si>
  <si>
    <t>PRODUCT-00150-001</t>
  </si>
  <si>
    <t>PRODUCT-00151-001</t>
  </si>
  <si>
    <t>PRODUCT-00152-001</t>
  </si>
  <si>
    <t>PRODUCT-00153-001</t>
  </si>
  <si>
    <t>PRODUCT-00154-001</t>
  </si>
  <si>
    <t>PRODUCT-00155-001</t>
  </si>
  <si>
    <t>PRODUCT-00156-001</t>
  </si>
  <si>
    <t>PRODUCT-00157-001</t>
  </si>
  <si>
    <t>PRODUCT-00158-001</t>
  </si>
  <si>
    <t>PRODUCT-00159-001</t>
  </si>
  <si>
    <t>PRODUCT-00160-001</t>
  </si>
  <si>
    <t>PRODUCT-00161-001</t>
  </si>
  <si>
    <t>PRODUCT-00161-002</t>
  </si>
  <si>
    <t>PRODUCT-00161-003</t>
  </si>
  <si>
    <t>PRODUCT-00161-004</t>
  </si>
  <si>
    <t>PRODUCT-00161-005</t>
  </si>
  <si>
    <t>PRODUCT-00162-001</t>
  </si>
  <si>
    <t>PRODUCT-00163-001</t>
  </si>
  <si>
    <t>PRODUCT-00163-002</t>
  </si>
  <si>
    <t>PRODUCT-00164-001</t>
  </si>
  <si>
    <t>PRODUCT-00164-002</t>
  </si>
  <si>
    <t>PRODUCT-00165-001</t>
  </si>
  <si>
    <t>PRODUCT-00165-002</t>
  </si>
  <si>
    <t>PRODUCT-00166-001</t>
  </si>
  <si>
    <t>PRODUCT-00166-002</t>
  </si>
  <si>
    <t>PRODUCT-00167-001</t>
  </si>
  <si>
    <t>PRODUCT-00291-001</t>
  </si>
  <si>
    <t>PRODUCT-00292-001</t>
  </si>
  <si>
    <t>PRODUCT-00293-001</t>
  </si>
  <si>
    <t>PRODUCT-00168-001</t>
  </si>
  <si>
    <t>PRODUCT-00169-001</t>
  </si>
  <si>
    <t>PRODUCT-00170-001</t>
  </si>
  <si>
    <t>PRODUCT-00173-001</t>
  </si>
  <si>
    <t>PRODUCT-00174-001</t>
  </si>
  <si>
    <t>PRODUCT-00175-001</t>
  </si>
  <si>
    <t>PRODUCT-00176-001</t>
  </si>
  <si>
    <t>PRODUCT-00177-001</t>
  </si>
  <si>
    <t>PRODUCT-00178-001</t>
  </si>
  <si>
    <t>PRODUCT-00179-001</t>
  </si>
  <si>
    <t>PRODUCT-00180-001</t>
  </si>
  <si>
    <t>PRODUCT-00181-001</t>
  </si>
  <si>
    <t>PRODUCT-00182-001</t>
  </si>
  <si>
    <t>PRODUCT-00183-001</t>
  </si>
  <si>
    <t>PRODUCT-00184-001</t>
  </si>
  <si>
    <t>PRODUCT-00185-001</t>
  </si>
  <si>
    <t>PRODUCT-00186-001</t>
  </si>
  <si>
    <t>PRODUCT-00187-001</t>
  </si>
  <si>
    <t>PRODUCT-00188-001</t>
  </si>
  <si>
    <t>PRODUCT-00189-001</t>
  </si>
  <si>
    <t>PRODUCT-00190-001</t>
  </si>
  <si>
    <t>PRODUCT-00191-001</t>
  </si>
  <si>
    <t>PRODUCT-00192-001</t>
  </si>
  <si>
    <t>PRODUCT-00193-001</t>
  </si>
  <si>
    <t>PRODUCT-00194-001</t>
  </si>
  <si>
    <t>PRODUCT-00195-001</t>
  </si>
  <si>
    <t>PRODUCT-00196-001</t>
  </si>
  <si>
    <t>PRODUCT-00197-001</t>
  </si>
  <si>
    <t>PRODUCT-00198-001</t>
  </si>
  <si>
    <t>PRODUCT-00199-001</t>
  </si>
  <si>
    <t>PRODUCT-00200-001</t>
  </si>
  <si>
    <t>PRODUCT-00201-001</t>
  </si>
  <si>
    <t>PRODUCT-00202-001</t>
  </si>
  <si>
    <t>PRODUCT-00203-001</t>
  </si>
  <si>
    <t>PRODUCT-00204-001</t>
  </si>
  <si>
    <t>PRODUCT-00205-001</t>
  </si>
  <si>
    <t>PRODUCT-00206-001</t>
  </si>
  <si>
    <t>PRODUCT-00207-001</t>
  </si>
  <si>
    <t>PRODUCT-00207-002</t>
  </si>
  <si>
    <t>PRODUCT-00208-001</t>
  </si>
  <si>
    <t>PRODUCT-00209-001</t>
  </si>
  <si>
    <t>PRODUCT-00209-002</t>
  </si>
  <si>
    <t>PRODUCT-00209-003</t>
  </si>
  <si>
    <t>PRODUCT-00209-004</t>
  </si>
  <si>
    <t>PRODUCT-00210-001</t>
  </si>
  <si>
    <t>PRODUCT-00210-002</t>
  </si>
  <si>
    <t>PRODUCT-00211-001</t>
  </si>
  <si>
    <t>PRODUCT-00211-002</t>
  </si>
  <si>
    <t>PRODUCT-00211-003</t>
  </si>
  <si>
    <t>PRODUCT-00212-001</t>
  </si>
  <si>
    <t>PRODUCT-00213-001</t>
  </si>
  <si>
    <t>PRODUCT-00214-001</t>
  </si>
  <si>
    <t>PRODUCT-00214-002</t>
  </si>
  <si>
    <t>PRODUCT-00215-001</t>
  </si>
  <si>
    <t>PRODUCT-00215-002</t>
  </si>
  <si>
    <t>PRODUCT-00216-001</t>
  </si>
  <si>
    <t>PRODUCT-00216-002</t>
  </si>
  <si>
    <t>PRODUCT-00217-001</t>
  </si>
  <si>
    <t>PRODUCT-00218-001</t>
  </si>
  <si>
    <t>PRODUCT-00219-001</t>
  </si>
  <si>
    <t>PRODUCT-00220-001</t>
  </si>
  <si>
    <t>PRODUCT-00221-001</t>
  </si>
  <si>
    <t>PRODUCT-00221-002</t>
  </si>
  <si>
    <t>PRODUCT-00221-003</t>
  </si>
  <si>
    <t>PRODUCT-00221-004</t>
  </si>
  <si>
    <t>PRODUCT-00222-001</t>
  </si>
  <si>
    <t>PRODUCT-00223-001</t>
  </si>
  <si>
    <t>PRODUCT-00223-002</t>
  </si>
  <si>
    <t>PRODUCT-00223-003</t>
  </si>
  <si>
    <t>PRODUCT-00224-001</t>
  </si>
  <si>
    <t>PRODUCT-00224-002</t>
  </si>
  <si>
    <t>PRODUCT-00225-001</t>
  </si>
  <si>
    <t>PRODUCT-00225-002</t>
  </si>
  <si>
    <t>PRODUCT-00226-001</t>
  </si>
  <si>
    <t>PRODUCT-00227-001</t>
  </si>
  <si>
    <t>PRODUCT-00228-001</t>
  </si>
  <si>
    <t>PRODUCT-00229-001</t>
  </si>
  <si>
    <t>PRODUCT-00229-002</t>
  </si>
  <si>
    <t>PRODUCT-00230-001</t>
  </si>
  <si>
    <t>PRODUCT-00230-002</t>
  </si>
  <si>
    <t>PRODUCT-00231-001</t>
  </si>
  <si>
    <t>PRODUCT-00232-001</t>
  </si>
  <si>
    <t>PRODUCT-00233-001</t>
  </si>
  <si>
    <t>PRODUCT-00233-002</t>
  </si>
  <si>
    <t>PRODUCT-00234-001</t>
  </si>
  <si>
    <t>PRODUCT-00235-001</t>
  </si>
  <si>
    <t>PRODUCT-00236-001</t>
  </si>
  <si>
    <t>PRODUCT-00237-001</t>
  </si>
  <si>
    <t>PRODUCT-00238-001</t>
  </si>
  <si>
    <t>PRODUCT-00239-001</t>
  </si>
  <si>
    <t>PRODUCT-00240-001</t>
  </si>
  <si>
    <t>PRODUCT-00241-001</t>
  </si>
  <si>
    <t>PRODUCT-00242-001</t>
  </si>
  <si>
    <t>PRODUCT-00243-001</t>
  </si>
  <si>
    <t>PRODUCT-00244-001</t>
  </si>
  <si>
    <t>PRODUCT-00245-001</t>
  </si>
  <si>
    <t>PRODUCT-00294-001</t>
  </si>
  <si>
    <t>PRODUCT-00246-001</t>
  </si>
  <si>
    <t>PRODUCT-00247-001</t>
  </si>
  <si>
    <t>PRODUCT-00248-001</t>
  </si>
  <si>
    <t>PRODUCT-00249-001</t>
  </si>
  <si>
    <t>PRODUCT-00295-001</t>
  </si>
  <si>
    <t>Thông tin bổ sung</t>
  </si>
  <si>
    <t>Số đo vòng bụng: 56 - 71 cm
Chiều cao đai: 22 cm</t>
  </si>
  <si>
    <t>Số đo vòng bụng: 71 - 84 cm
Chiều cao đai: 22 cm</t>
  </si>
  <si>
    <t>Số đo vòng bụng: 84 - 97 cm
Chiều cao đai: 22 cm</t>
  </si>
  <si>
    <t>Số đo vòng bụng: 97 - 109 cm
Chiều cao đai: 22 cm</t>
  </si>
  <si>
    <t>Vòng 1: cổ chân, ngay trên xương mắt cá chân 1cm: 18-20 cm
Vòng 2: bắp chân, tại nơi lớn nhất: 31-35 cm
Vòng 3: đùi, dưới bẹn 5cm: 45-53 cm
Chiều dài từ bàn chân đến vòng 3: 66-76 cm</t>
  </si>
  <si>
    <t>Vòng 1: cổ chân, ngay trên xương mắt cá chân 1cm: 20-22 cm
Vòng 2: bắp chân, tại nơi lớn nhất: 33-38 cm
Vòng 3: đùi, dưới bẹn 5cm: 48-56 cm
Chiều dài từ bàn chân đến vòng 3: 66-76 cm</t>
  </si>
  <si>
    <t>Vòng 1: cổ chân, ngay trên xương mắt cá chân 1cm: 22-24 cm
Vòng 2: bắp chân, tại nơi lớn nhất: 34-40 cm
Vòng 3: đùi, dưới bẹn 5cm: 51-59 cm
Chiều dài từ bàn chân đến vòng 3: 70-80 cm</t>
  </si>
  <si>
    <t>Vòng 1: cổ chân, ngay trên xương mắt cá chân 1cm: 18-20 cm
Vòng 2: bắp chân, tại nơi lớn nhất: 31-35 cm
Chiều dài từ bàn chân đến đoạn dưới gối: 66-76 cm</t>
  </si>
  <si>
    <t>Vòng 1: cổ chân, ngay trên xương mắt cá chân 1cm: 20-22 cm
Vòng 2: bắp chân, tại nơi lớn nhất: 33-38 cm
Chiều dài từ bàn chân đến đoạn dưới gối: 66-76 cm</t>
  </si>
  <si>
    <t>Vòng 1: cổ chân, ngay trên xương mắt cá chân 1cm: 22-24 cm
Vòng 2: bắp chân, tại nơi lớn nhất: 34-40 cm
Chiều dài từ bàn chân đến đoạn dưới gối: 70-80 cm</t>
  </si>
  <si>
    <t>Vòng 1: vòng cổ chân, ngay trên xương mắt cá chân 1cm: 18-20 cm
Vòng 2: vòng bắp chân, tại nơi lớn nhất: 31-35 cm
Vòng 3: vòng đùi, dưới bẹn 5cm: 45-53 cm</t>
  </si>
  <si>
    <t>Vòng 1: vòng cổ chân, ngay trên xương mắt cá chân 1cm: 20-22 cm
Vòng 2: vòng bắp chân, tại nơi lớn nhất: 33-38 cm
Vòng 3: vòng đùi, dưới bẹn 5cm: 48-56 cm</t>
  </si>
  <si>
    <t>Vòng 1: vòng cổ chân, ngay trên xương mắt cá chân 1cm: 22-24 cm
Vòng 2: vòng bắp chân, tại nơi lớn nhất: 34-40 cm
Vòng 3: vòng đùi, dưới bẹn 5cm: 51-59 cm</t>
  </si>
  <si>
    <t>Vòng 1: cổ chân, ngay trên mắt cá chân: 17-22cm
Vòng 2: bắp chân ở vị trí lớn nhất: 29-38cm</t>
  </si>
  <si>
    <t>Vòng 1: cổ chân, ngay trên mắt cá chân: 19-24cm
Vòng 2: bắp chân ở vị trí lớn nhất: 31-40cm</t>
  </si>
  <si>
    <t>Vòng 1: cổ chân, ngay trên mắt cá chân: 21-26cm
Vòng 2: bắp chân ở vị trí lớn nhất: 33-43cm</t>
  </si>
  <si>
    <t>Vòng 1: cổ chân, ngay trên mắt cá chân: 24-29cm
Vòng 2: bắp chân ở vị trí lớn nhất: 36-45cm</t>
  </si>
  <si>
    <t>Số đo vòng chân ngực: &lt;50 cm</t>
  </si>
  <si>
    <t>Số đo vòng chân ngực: 50 - 65 cm</t>
  </si>
  <si>
    <t>Số đo vòng chân ngực: 65 - 80 cm</t>
  </si>
  <si>
    <t>Số đo vòng chân ngực: 80 - 95 cm</t>
  </si>
  <si>
    <t>Số đo vòng chân ngực: &gt;95 cm</t>
  </si>
  <si>
    <t>Chiều dài: 16.6-17.5 cm
Chiều rộng: 9-9.5 cm</t>
  </si>
  <si>
    <t>Chiều dài: 17.6-18.5 cm
Chiều rộng: 10-10.5 cm</t>
  </si>
  <si>
    <t>Vòng 1: cổ chân, ngay trên xương mắt cá chân 1cm: 16-18 cm
Vòng 2: bắp chân, tại nơi lớn nhất: 27-37 cm
Vòng 3: chỗ nhỏ nhất dưới gối: 26-36 cm
Vòng 4: đùi, dưới bẹn 5-8cm: 44-59 cm</t>
  </si>
  <si>
    <t>Vòng 1: cổ chân, ngay trên xương mắt cá chân 1cm: 18-22 cm
Vòng 2: bắp chân, tại nơi lớn nhất: 30-39 cm
Vòng 3: chỗ nhỏ nhất dưới gối: 29-38 cm
Vòng 4: đùi, dưới bẹn 5-8cm: 49-63 cm</t>
  </si>
  <si>
    <t>Vòng 1: cổ chân, ngay trên xương mắt cá chân 1cm: 23-25 cm
Vòng 2: bắp chân, tại nơi lớn nhất: 33-41 cm
Vòng 3: chỗ nhỏ nhất dưới gối: 32-40 cm
Vòng 4: đùi, dưới bẹn 5-8cm: 54-66 cm</t>
  </si>
  <si>
    <t>Vòng 1: cổ chân, ngay trên xương mắt cá chân 1cm: 26-28 cm
Vòng 2: bắp chân, tại nơi lớn nhất: 36-44 cm
Vòng 3: chỗ nhỏ nhất dưới gối: 35-43 cm
Vòng 4: đùi, dưới bẹn 5-8cm: 58-70 cm</t>
  </si>
  <si>
    <t>Vòng 1: cổ chân, ngay trên xương mắt cá chân 1cm: 29-31 cm
Vòng 2: bắp chân, tại nơi lớn nhất: 39-47 cm
Vòng 3: chỗ nhỏ nhất dưới gối: 38-46 cm
Vòng 4: đùi, dưới bẹn 5-8cm: 63-74 cm</t>
  </si>
  <si>
    <t>Kích cỡ (size): S (trẻ em)
Chiều dài: 2m</t>
  </si>
  <si>
    <t>Kích cỡ (size): L (Người lớn)
Chiều dài: 2m</t>
  </si>
  <si>
    <t>Size S: dành cho trẻ sơ sinh
Chiều dài dây dẫn có van nối 2 đầu: 2m</t>
  </si>
  <si>
    <t>Size M: dành cho trẻ em
Chiều dài dây dẫn có van nối 2 đầu: 2m</t>
  </si>
  <si>
    <t>Size L: dành cho người lớn
Chiều dài dây dẫn có van nối 2 đầu: 2m</t>
  </si>
  <si>
    <t>Size XL: dành cho người lớn
Chiều dài dây dẫn có van nối 2 đầu: 2m</t>
  </si>
  <si>
    <t>Đường kính trong ID: 6.4 mm
Đường kính ngoài OD: 10.8 mm
Chiều dài: 76 mm</t>
  </si>
  <si>
    <t>Đường kính trong ID: 7.6 mm
Đường kính ngoài OD: 12.2 mm
Chiều dài: 81 mm</t>
  </si>
  <si>
    <t>Size: 5Fr (trẻ em)
OD: 1.7 mm
Chiều dài: 325 mm
Thể tích bơm bóng tối đa: 3 mL</t>
  </si>
  <si>
    <t>Size: 9Fr (người lớn)
OD: 3.0 mm
Chiều dài: 500 mm
Thể tích bơm bóng tối đa: 8 mL</t>
  </si>
  <si>
    <t>Đường kính trong: 4.1/6.5
ID (mm): 9.5/12.3
Đường kính ngoài: 40
OD (mm): 5
Thế tích tối đa của cuff (mL): 35
Bóng chèn khí quản: 4.5/7.0
Bóng chèn phế quản: 10.0/13.3</t>
  </si>
  <si>
    <t>Cân nặng phù hợp: 5 - 10 kg</t>
  </si>
  <si>
    <t>Cân nặng phù hợp: 10 - 20 kg</t>
  </si>
  <si>
    <t>Cân nặng phù hợp: 20 - 30 kg</t>
  </si>
  <si>
    <t>Cân nặng phù hợp: 30 - 50 kg</t>
  </si>
  <si>
    <t>Cân nặng phù hợp: 50 - 70 kg</t>
  </si>
  <si>
    <t>Cân nặng phù hợp: &gt; 70 kg</t>
  </si>
  <si>
    <t>Chiều dài: 500 mm</t>
  </si>
  <si>
    <t>Size: 6Fr (2.0mm)
Chiều dài: 305 mm
Đối tượng sử dụng: Trẻ sơ sinh</t>
  </si>
  <si>
    <t>Size: 10Fr (3.3mm)
Chiều dài: 390 mm
Đối tượng sử dụng: Trẻ em</t>
  </si>
  <si>
    <t>Size: 14Fr (4.7mm)
Chiều dài: 420 mm
Đối tượng sử dụng: Người lớn</t>
  </si>
  <si>
    <t>Đầu nối: 15 mm</t>
  </si>
  <si>
    <t>Đường kính trong ID: 5.0 mm
Đường kính ngoài OD: 8.6 mm
Chiều dài: 55 mm</t>
  </si>
  <si>
    <t>Đường kính trong ID: 6.0 mm
Đường kính ngoài OD: 9.7 mm
Chiều dài: 64 mm</t>
  </si>
  <si>
    <t>Đường kính trong ID: 7.0 mm
Đường kính ngoài OD: 10.8 mm
Chiều dài: 70 mm</t>
  </si>
  <si>
    <t>Đường kính trong ID: 8.0 mm
Đường kính ngoài OD: 12.0 mm
Chiều dài: 75 mm</t>
  </si>
  <si>
    <t>Đường kính trong ID: 7.0 mm
Đường kính ngoài OD: 10.6 mm
Chiều dài: 76 mm</t>
  </si>
  <si>
    <t>Đường kính trong ID: 8.0 mm
Đường kính ngoài OD: 11.7 mm
Chiều dài: 78 mm</t>
  </si>
  <si>
    <t>O.D: 5.4 mm
Dung tích bóng: 5 ml
Chiều dài: 400 mm</t>
  </si>
  <si>
    <t>O.D: 6.1 mm
Dung tích bóng: 5 ml</t>
  </si>
  <si>
    <t>Chiều dài: 225 mm</t>
  </si>
  <si>
    <t>Độ dài: 1200 mm</t>
  </si>
  <si>
    <t>Số đo vòng bụng: 50 - 65 cm
Chiều cao đai: 22 cm</t>
  </si>
  <si>
    <t>Số đo vòng bụng: 65 - 80 cm
Chiều cao đai: 22 cm</t>
  </si>
  <si>
    <t>Số đo vòng bụng: 80 - 95 cm
Chiều cao đai: 22 cm</t>
  </si>
  <si>
    <t>Số đo vòng bụng: 95 - 110 cm
Chiều cao đai: 22 cm</t>
  </si>
  <si>
    <t>Số đo vòng bụng: 110 - 125 cm
Chiều cao đai: 22 cm</t>
  </si>
  <si>
    <t>12 miếng</t>
  </si>
  <si>
    <t>CAMP-005</t>
  </si>
  <si>
    <t>Somaderm-Thin 12 miếng - Tặng 1 nhíp</t>
  </si>
  <si>
    <t>Tặng kèm 1 nhíp</t>
  </si>
  <si>
    <t>CAMP-006</t>
  </si>
  <si>
    <t>Somaderm-Thin 24 miếng - Tặng 1 nhíp</t>
  </si>
  <si>
    <t>BRAND-001</t>
  </si>
  <si>
    <t>BRAND-002</t>
  </si>
  <si>
    <t>BRAND-003</t>
  </si>
  <si>
    <t>BRAND-004</t>
  </si>
  <si>
    <t>BRAND-005</t>
  </si>
  <si>
    <t>BRAND-006</t>
  </si>
  <si>
    <t>BRAND-007</t>
  </si>
  <si>
    <t>BRAND-008</t>
  </si>
  <si>
    <t>BRAND-009</t>
  </si>
  <si>
    <t>BRAND-010</t>
  </si>
  <si>
    <t>BRAND-011</t>
  </si>
  <si>
    <t>BRAND-012</t>
  </si>
  <si>
    <t>BRAND-013</t>
  </si>
  <si>
    <t>BRAND-014</t>
  </si>
  <si>
    <t>BRAND-015</t>
  </si>
  <si>
    <t>BRAND-016</t>
  </si>
  <si>
    <t>BRAND-017</t>
  </si>
  <si>
    <t>BRAND-018</t>
  </si>
  <si>
    <t>BRAND-019</t>
  </si>
  <si>
    <t>BRAND-020</t>
  </si>
  <si>
    <t>BRAND-021</t>
  </si>
  <si>
    <t>BRAND-022</t>
  </si>
  <si>
    <t>BRAND-023</t>
  </si>
  <si>
    <t>BRAND-024</t>
  </si>
  <si>
    <t>BRAND-025</t>
  </si>
  <si>
    <t>BRAND-026</t>
  </si>
  <si>
    <t>BRAND-027</t>
  </si>
  <si>
    <t>BRAND-028</t>
  </si>
  <si>
    <t>BRAND-029</t>
  </si>
  <si>
    <t>BRAND-030</t>
  </si>
  <si>
    <t>BRAND-031</t>
  </si>
  <si>
    <t>BRAND-032</t>
  </si>
  <si>
    <t>BRAND-033</t>
  </si>
  <si>
    <t>BRAND-034</t>
  </si>
  <si>
    <t>BRAND-035</t>
  </si>
  <si>
    <t>BRAND-036</t>
  </si>
  <si>
    <t>BRAND-037</t>
  </si>
  <si>
    <t>BRAND-038</t>
  </si>
  <si>
    <t>BRAND-039</t>
  </si>
  <si>
    <t>BRAND-040</t>
  </si>
  <si>
    <t>BRAND-041</t>
  </si>
  <si>
    <t>BRAND-042</t>
  </si>
  <si>
    <t>BRAND-043</t>
  </si>
  <si>
    <t>BRAND-044</t>
  </si>
  <si>
    <t>BRAND-045</t>
  </si>
  <si>
    <t>BRAND-046</t>
  </si>
  <si>
    <t>BRAND-047</t>
  </si>
  <si>
    <t>BRAND-048</t>
  </si>
  <si>
    <t>BRAND-049</t>
  </si>
  <si>
    <t>BRAND-050</t>
  </si>
  <si>
    <t>BRAND-051</t>
  </si>
  <si>
    <t>BRAND-052</t>
  </si>
  <si>
    <t>BRAND-053</t>
  </si>
  <si>
    <t>BRAND-054</t>
  </si>
  <si>
    <t>BRAND-055</t>
  </si>
  <si>
    <t>BRAND-056</t>
  </si>
  <si>
    <t>BRAND-057</t>
  </si>
  <si>
    <t>BRAND-058</t>
  </si>
  <si>
    <t>BRAND-059</t>
  </si>
  <si>
    <t>BRAND-060</t>
  </si>
  <si>
    <t>BRAND-061</t>
  </si>
  <si>
    <t>BRAND-062</t>
  </si>
  <si>
    <t>BRAND-063</t>
  </si>
  <si>
    <t>BRAND-064</t>
  </si>
  <si>
    <t>BRAND-065</t>
  </si>
  <si>
    <t>BRAND-066</t>
  </si>
  <si>
    <t>BRAND-067</t>
  </si>
  <si>
    <t>BRAND-068</t>
  </si>
  <si>
    <t>BRAND-069</t>
  </si>
  <si>
    <t>BRAND-070</t>
  </si>
  <si>
    <t>BRAND-071</t>
  </si>
  <si>
    <t>BRAND-072</t>
  </si>
  <si>
    <t>BRAND-073</t>
  </si>
  <si>
    <t>BRAND-074</t>
  </si>
  <si>
    <t>BRAND-075</t>
  </si>
  <si>
    <t>PRODUCT-00150-001-01</t>
  </si>
  <si>
    <t>PRODUCT-00152-001-01</t>
  </si>
  <si>
    <t>PRODUCT-00205-001-01</t>
  </si>
  <si>
    <t>PRODUCT-00206-001-01</t>
  </si>
  <si>
    <t>PRODUCT-00009-001-01</t>
  </si>
  <si>
    <t>PRODUCT-00009-001-02</t>
  </si>
  <si>
    <t>INSERT INTO public.medical_supply_product_variant (id, additional_desc, code, color, size, product_code) VALUES (1, '11', '1', '11', '111', 'PRODUCT-00062');</t>
  </si>
  <si>
    <t>INSERT INTO public.medical_supply_sellable_unit (id, code, price, quantity, sale_uom, product_variant_code) VALUES (1, '1', 1, 1, '1', 'PRODUCT-00068-003');</t>
  </si>
  <si>
    <t>Tên danh mục</t>
  </si>
  <si>
    <t>Mô tả</t>
  </si>
  <si>
    <t>Phao và đệm hơi giúp phân tán áp lực, phòng ngừa và hỗ trợ điều trị loét tì đè cho người nằm hoặc ngồi lâu.</t>
  </si>
  <si>
    <t>Thiết bị khuếch đại âm thanh cho người nghe kém, lãng tai; có loại dây đeo, móc vành tai và nhét trong tai.</t>
  </si>
  <si>
    <t>Máy dùng tia nước áp lực làm sạch kẽ răng, khe nướu, hỗ trợ ngừa viêm nướu, phù hợp người niềng răng, implant.</t>
  </si>
  <si>
    <t>Miếng dán mụn</t>
  </si>
  <si>
    <t>Miếng dán hydrocolloid hút dịch mủ, nhân mụn, kháng khuẩn và hạn chế thâm sẹo.</t>
  </si>
  <si>
    <t>Mặt nạ xông hơi mắt</t>
  </si>
  <si>
    <t>Mặt nạ tự sinh nhiệt giúp thư giãn mắt, giảm mỏi mắt và hỗ trợ ngủ ngon.</t>
  </si>
  <si>
    <t>Máy hút áp lực âm (VAC)</t>
  </si>
  <si>
    <t>Máy điều trị vết thương bằng áp lực âm (NPWT), hút dịch, giảm phù nề và kích thích mô hạt cho vết thương mạn tính, khó lành.</t>
  </si>
  <si>
    <t>Bộ gạc áp lực âm (VAC)</t>
  </si>
  <si>
    <t>Bộ gạc xốp phủ vết thương dùng kèm máy hút áp lực âm, có chức năng rửa và dẫn lưu dịch trong hệ thống khép kín.</t>
  </si>
  <si>
    <t>Miếng dán thay chỉ khâu hoặc kim bấm da, khép miệng vết thương sau phẫu thuật, tiểu phẫu hoặc chấn thương.</t>
  </si>
  <si>
    <t>Xịt bảo vệ da</t>
  </si>
  <si>
    <t>Dung dịch xịt tạo màng phim bảo vệ da khỏi nước tiểu, phân, dịch tiết, ngừa hăm và loét da.</t>
  </si>
  <si>
    <t>Băng dán hydrocolloid</t>
  </si>
  <si>
    <t>Băng dán tạo môi trường ẩm cho vết thương tiết dịch ít đến trung bình, giúp mau lành, hạn chế sẹo, chống nước.</t>
  </si>
  <si>
    <t>Gel bôi vết thương</t>
  </si>
  <si>
    <t>Gel giữ ẩm, kháng khuẩn và tái tạo mô cho vết thương hở, bỏng, trầy xước, loét, vết mổ.</t>
  </si>
  <si>
    <t>Dung dịch sát khuẩn vết thương</t>
  </si>
  <si>
    <t>Dung dịch rửa và xịt kháng khuẩn làm sạch vết thương, không đau xót, giúp vết thương mau lành.</t>
  </si>
  <si>
    <t>Bông tẩm cồn</t>
  </si>
  <si>
    <t>Miếng bông tẩm cồn sát khuẩn da trước khi tiêm hoặc thử đường huyết.</t>
  </si>
  <si>
    <t>Gạc xốp hút dịch</t>
  </si>
  <si>
    <t>Gạc xốp polyurethane hoặc alginate thấm hút dịch mạnh, có loại viền dính silicone và tẩm bạc, dùng cho vết thương, vết loét tiết dịch nhiều.</t>
  </si>
  <si>
    <t>Gạc lưới chống dính</t>
  </si>
  <si>
    <t>Gạc lưới không dính vết thương, có loại tẩm bạc kháng khuẩn; thay băng không đau, dùng cho bỏng, trầy xước, vết loét.</t>
  </si>
  <si>
    <t>Gel trị sẹo</t>
  </si>
  <si>
    <t>Kem gel silicone làm mềm, làm phẳng và mờ sẹo lồi, sẹo phì đại, sẹo thâm.</t>
  </si>
  <si>
    <t>Miếng dán trị sẹo</t>
  </si>
  <si>
    <t>Miếng dán silicone y tế làm phẳng và mờ sẹo lồi, sẹo thâm sau phẫu thuật, bỏng, chấn thương.</t>
  </si>
  <si>
    <t>Băng gạc vô trùng</t>
  </si>
  <si>
    <t>Băng gạc tiệt trùng có hoặc không có gạc, nhiều loại chống nước, dùng băng vết thương, vết mổ.</t>
  </si>
  <si>
    <t>Băng keo cá nhân</t>
  </si>
  <si>
    <t>Băng keo có gạc sát khuẩn bảo vệ vết cắt, trầy xước nhỏ; nhiều chất liệu, màu da, trong suốt và in hình trẻ em.</t>
  </si>
  <si>
    <t>Băng keo cuộn</t>
  </si>
  <si>
    <t>Băng keo cuộn vải, giấy, lụa dùng cố định băng gạc, ống truyền, kim luồn.</t>
  </si>
  <si>
    <t>Băng keo cố định kim luồn</t>
  </si>
  <si>
    <t>Miếng dán chuyên dụng cố định kim luồn tĩnh mạch, có hoặc không có gạc, chống nước.</t>
  </si>
  <si>
    <t>Bình xịt làm lạnh tức thời giúp giảm đau, giảm sưng khi bong gân, va chạm, chấn thương thể thao.</t>
  </si>
  <si>
    <t>Đai hỗ trợ đầu gối</t>
  </si>
  <si>
    <t>Đai và băng thun bảo vệ, cố định khớp gối khi tập luyện, vận động hoặc phục hồi chấn thương.</t>
  </si>
  <si>
    <t>Đai cố định, nâng đỡ thắt lưng và cột sống, hỗ trợ giảm đau lưng, thoát vị đĩa đệm.</t>
  </si>
  <si>
    <t>Đai chống gù lưng</t>
  </si>
  <si>
    <t>Đai điều chỉnh tư thế, hỗ trợ giữ lưng thẳng, ngăn ngừa và cải thiện gù lưng.</t>
  </si>
  <si>
    <t>Vớ y khoa giãn tĩnh mạch</t>
  </si>
  <si>
    <t>Vớ nén y khoa dạng gối, đùi, bắp chân hỗ trợ phòng ngừa và điều trị suy giãn tĩnh mạch.</t>
  </si>
  <si>
    <t>Đai và gối chườm thảo dược làm nóng bằng điện cho cổ, vai gáy, lưng bụng, bàn chân, giúp giảm đau, thư giãn.</t>
  </si>
  <si>
    <t>Máy trị liệu xung điện giúp giảm đau cơ, khớp, thư giãn và cải thiện tuần hoàn.</t>
  </si>
  <si>
    <t>Miếng dán điện cực</t>
  </si>
  <si>
    <t>Miếng dán điện cực thay thế dùng cho máy massage xung điện.</t>
  </si>
  <si>
    <t>Găng tay robot phục hồi chức năng</t>
  </si>
  <si>
    <t>Găng tay robot hỗ trợ tập vận động, phục hồi chức năng bàn tay sau tai biến, chấn thương.</t>
  </si>
  <si>
    <t>Túi hậu môn nhân tạo</t>
  </si>
  <si>
    <t>Túi hứng chất thải cho người có hậu môn nhân tạo, gồm loại 1 mảnh, 2 mảnh, bộ túi kèm đế, loại cho trẻ em và sơ sinh.</t>
  </si>
  <si>
    <t>Đế hậu môn nhân tạo</t>
  </si>
  <si>
    <t>Đế dán (lồi, phẳng, có/không viền vải) dùng kèm túi hậu môn nhân tạo 2 mảnh.</t>
  </si>
  <si>
    <t>Phụ kiện hậu môn nhân tạo</t>
  </si>
  <si>
    <t>Bột hút ẩm, kem/keo làm đầy chống rò rỉ, vòng bảo vệ da, chai xịt tẩy keo, dây nịt, khóa kẹp hỗ trợ chăm sóc hậu môn nhân tạo.</t>
  </si>
  <si>
    <t>Túi hứng nước tiểu cho người có lỗ mở niệu quản ra da (urostomy).</t>
  </si>
  <si>
    <t>Dụng cụ tập thở</t>
  </si>
  <si>
    <t>Phế dung kế giúp tập thở, tăng dung tích phổi, phục hồi chức năng hô hấp sau phẫu thuật.</t>
  </si>
  <si>
    <t>Mask thanh quản 1 nòng, 2 nòng kiểm soát đường thở trong gây mê và cấp cứu.</t>
  </si>
  <si>
    <t>Dây thở oxy</t>
  </si>
  <si>
    <t>Dây thở oxy qua mũi 2 nhánh dùng kèm máy tạo oxy hoặc bình oxy.</t>
  </si>
  <si>
    <t>Mặt nạ oxy &amp; xông khí dung</t>
  </si>
  <si>
    <t>Mặt nạ thở oxy và mặt nạ xông khí dung dùng kèm máy tạo oxy, máy xông.</t>
  </si>
  <si>
    <t>Dây hút đàm</t>
  </si>
  <si>
    <t>Dây hút đàm nhớt có/không kiểm soát và hệ thống hút đờm kín.</t>
  </si>
  <si>
    <t>Máy hút dịch</t>
  </si>
  <si>
    <t>Máy hút đàm, hút dịch dùng tại bệnh viện và gia đình.</t>
  </si>
  <si>
    <t>Ống mở khí quản</t>
  </si>
  <si>
    <t>Ống mở khí quản 2 nòng có/không bóng, có/không cửa sổ, có loại kèm ống hút trên bóng.</t>
  </si>
  <si>
    <t>Bộ mở khí quản</t>
  </si>
  <si>
    <t>Bộ dụng cụ mở khí quản cấp cứu và mở khí quản nhanh qua da.</t>
  </si>
  <si>
    <t>Phụ kiện mở khí quản</t>
  </si>
  <si>
    <t>Nòng trong, gạc, dây đai cố định, mũi nhân tạo làm ẩm và van tập nói dùng cho người mở khí quản.</t>
  </si>
  <si>
    <t>Ống nội khí quản</t>
  </si>
  <si>
    <t>Ống nội khí quản các loại (có bóng, hút trên bóng, 2 nòng) và ống chẹn phế quản cô lập phổi.</t>
  </si>
  <si>
    <t>Dụng cụ đặt &amp; cố định nội khí quản</t>
  </si>
  <si>
    <t>Cây nòng đặt nội khí quản (stylet, bougie), dụng cụ cố định ống chống cắn và đồng hồ đo áp lực bóng chèn.</t>
  </si>
  <si>
    <t>Máy tạo oxy 5 lít, 10 lít, có loại tích hợp xông khí dung, cung cấp oxy cho người bệnh hô hấp tại nhà.</t>
  </si>
  <si>
    <t>Máy phun sương thuốc hỗ trợ điều trị bệnh đường hô hấp như hen, viêm phế quản.</t>
  </si>
  <si>
    <t>Máy trợ thở</t>
  </si>
  <si>
    <t>Máy trợ thở CPAP, BiPAP hỗ trợ điều trị ngưng thở khi ngủ và suy hô hấp.</t>
  </si>
  <si>
    <t>Phin lọc máy thở</t>
  </si>
  <si>
    <t>Phin lọc HME giữ ẩm, giữ nhiệt và lọc khuẩn cho đường thở khi dùng máy thở.</t>
  </si>
  <si>
    <t>Máy đo đường huyết</t>
  </si>
  <si>
    <t>Máy đo đường huyết cá nhân, có loại 3 trong 1 đo cả mỡ máu và axit uric (gút).</t>
  </si>
  <si>
    <t>Que thử</t>
  </si>
  <si>
    <t>Que thử đường huyết, cholesterol, axit uric dùng cho máy đo tương ứng.</t>
  </si>
  <si>
    <t>Hệ thống đo đường huyết liên tục (CGM)</t>
  </si>
  <si>
    <t>Hệ thống, cảm biến, bộ truyền tín hiệu và dụng cụ gắn cảm biến theo dõi đường huyết liên tục.</t>
  </si>
  <si>
    <t>Máy đo huyết áp bắp tay tự động, có loại kết nối Bluetooth.</t>
  </si>
  <si>
    <t>Máy đo SpO2</t>
  </si>
  <si>
    <t>Máy đo nồng độ oxy trong máu (SpO2) và nhịp tim.</t>
  </si>
  <si>
    <t>Nhiệt kế điện tử và hồng ngoại đo thân nhiệt nhanh, chính xác.</t>
  </si>
  <si>
    <t>Máy nghe tim thai cá nhân dùng tại nhà cho mẹ bầu.</t>
  </si>
  <si>
    <t>Cân &amp; máy đo thành phần cơ thể</t>
  </si>
  <si>
    <t>Cân sức khỏe điện tử và máy đo chỉ số cơ thể (mỡ, cơ, BMI).</t>
  </si>
  <si>
    <t>Ống thông tiểu ngắt quãng</t>
  </si>
  <si>
    <t>Ống thông tiểu silicone dùng ngắt quãng cho người bí tiểu, bàng quang thần kinh.</t>
  </si>
  <si>
    <t>Ống thông tiểu Foley</t>
  </si>
  <si>
    <t>Ống thông tiểu Foley silicone 2 nhánh, 3 nhánh lưu dài ngày.</t>
  </si>
  <si>
    <t>Dụng cụ hỗ trợ đi tiểu nam</t>
  </si>
  <si>
    <t>Bộ chụp tiểu silicone cho nam giới tiểu không tự chủ.</t>
  </si>
  <si>
    <t>Túi đựng nước tiểu</t>
  </si>
  <si>
    <t>Túi đựng nước tiểu có van khóa, có loại cột chân, dùng kèm ống thông tiểu.</t>
  </si>
  <si>
    <t>Bộ dụng cụ dẫn lưu nước tiểu qua da trên xương mu.</t>
  </si>
  <si>
    <t>Hệ thống dẫn lưu phân</t>
  </si>
  <si>
    <t>Hệ thống dẫn lưu, thu gom phân lỏng cho người bệnh nằm lâu, tiêu chảy, không tự chủ.</t>
  </si>
  <si>
    <t>Máy bơm nuôi ăn qua ống thông với tốc độ kiểm soát.</t>
  </si>
  <si>
    <t>Ống thông nuôi ăn</t>
  </si>
  <si>
    <t>Ống, dây nuôi ăn mũi - dạ dày silicone dùng dài ngày.</t>
  </si>
  <si>
    <t>Bộ dụng cụ mở thông dạ dày qua da (PEG) nuôi ăn dài hạn.</t>
  </si>
  <si>
    <t>Sữa dinh dưỡng y học cho người tiểu đường, ung thư, người nuôi ăn qua ống thông.</t>
  </si>
  <si>
    <t>Ống Sengstaken-Blakemore cầm máu giãn tĩnh mạch thực quản, dạ dày.</t>
  </si>
  <si>
    <t>Bơm tiêm cho ăn</t>
  </si>
  <si>
    <t>Bơm tiêm dùng 1 lần để bơm thức ăn, thuốc qua ống thông.</t>
  </si>
  <si>
    <t>Catheter 2 nòng, 3 nòng dùng cho chạy thận nhân tạo.</t>
  </si>
  <si>
    <t>Máy bơm insulin</t>
  </si>
  <si>
    <t>Máy bơm insulin tự động cho người tiểu đường.</t>
  </si>
  <si>
    <t>Phụ kiện máy bơm insulin</t>
  </si>
  <si>
    <t>Bình chứa insulin, dây truyền và dụng cụ gắn cổng tiêm dùng cho máy bơm insulin.</t>
  </si>
  <si>
    <t>Bơm tiêm insulin</t>
  </si>
  <si>
    <t>Bơm tiêm insulin dùng 1 lần các dung tích.</t>
  </si>
  <si>
    <t>Kim chích máu</t>
  </si>
  <si>
    <t>Kim và thiết bị lấy máu dùng thử đường huyết.</t>
  </si>
  <si>
    <t>Dây truyền dịch</t>
  </si>
  <si>
    <t>Dây truyền dịch đếm giọt và phụ kiện truyền dịch.</t>
  </si>
  <si>
    <t>Khẩu trang y tế lọc bụi mịn, vi khuẩn (N95).</t>
  </si>
  <si>
    <t>Mã thuộc tính</t>
  </si>
  <si>
    <t>Tên thuộc tính</t>
  </si>
  <si>
    <t>Attribute name (EN)</t>
  </si>
  <si>
    <t>Kiểu dữ liệu</t>
  </si>
  <si>
    <t>Áp dụng cho</t>
  </si>
  <si>
    <t>Giá trị có thể có</t>
  </si>
  <si>
    <t>Quy tắc xác định</t>
  </si>
  <si>
    <t>ATTR-01</t>
  </si>
  <si>
    <t>Kích thước</t>
  </si>
  <si>
    <t>Dimensions</t>
  </si>
  <si>
    <t>Text (số + đơn vị)</t>
  </si>
  <si>
    <t>Băng gạc, miếng dán, băng keo, trị sẹo, đai chườm, dây đai, kim</t>
  </si>
  <si>
    <t>Dạng DàixRộng[xDày] hoặc Ø đường kính, VD: 10cmx10cm; 5cmx10m; 10cmx10cmx0.5cm; Ø22mm; Ø0.36mm; Hỗn hợp 4 size</t>
  </si>
  <si>
    <t>Trong ngoặc của tên SP</t>
  </si>
  <si>
    <t>ATTR-02</t>
  </si>
  <si>
    <t>Dung tích</t>
  </si>
  <si>
    <t>Volume</t>
  </si>
  <si>
    <t>Số (ml)</t>
  </si>
  <si>
    <t>Dung dịch, xịt, sữa, bơm tiêm, phế dung kế</t>
  </si>
  <si>
    <t>0.5ml; 1ml; 3ml; 28ml; 50ml; 100ml; 125ml; 150ml; 200ml; 250ml; 300ml; 1000ml; 5000ml</t>
  </si>
  <si>
    <t>Tên SP</t>
  </si>
  <si>
    <t>ATTR-03</t>
  </si>
  <si>
    <t>Khối lượng tịnh</t>
  </si>
  <si>
    <t>Net weight</t>
  </si>
  <si>
    <t>Số (g)</t>
  </si>
  <si>
    <t>Gel, kem, bột, keo, sữa bột</t>
  </si>
  <si>
    <t>5g; 10g; 15g; 28.3g; 30g; 56.7g; 60g; 335g</t>
  </si>
  <si>
    <t>ATTR-04</t>
  </si>
  <si>
    <t>Số miếng / hộp</t>
  </si>
  <si>
    <t>Pack count</t>
  </si>
  <si>
    <t>Số nguyên</t>
  </si>
  <si>
    <t>18 miếng; 24 miếng; 32 miếng</t>
  </si>
  <si>
    <t>ATTR-05</t>
  </si>
  <si>
    <t>Chất liệu</t>
  </si>
  <si>
    <t>Material</t>
  </si>
  <si>
    <t>Danh sách (chọn nhiều)</t>
  </si>
  <si>
    <t>Băng gạc, HMNT, ống thông, đai, khẩu trang, đệm</t>
  </si>
  <si>
    <t>Silicone; Hydrocolloid; Alginate; Polyurethane (PU); Cao su; Giấy; Lụa; Vải; Vải không dệt; Nanofiber; Thảo dược; PVC</t>
  </si>
  <si>
    <t>Tên + mô tả SP</t>
  </si>
  <si>
    <t>ATTR-06</t>
  </si>
  <si>
    <t>Vô trùng</t>
  </si>
  <si>
    <t>Sterile</t>
  </si>
  <si>
    <t>Có/Không</t>
  </si>
  <si>
    <t>Băng gạc, vật tư tiêu hao</t>
  </si>
  <si>
    <t>Có; Không</t>
  </si>
  <si>
    <t>Mô tả có “vô trùng/tiệt trùng”</t>
  </si>
  <si>
    <t>ATTR-07</t>
  </si>
  <si>
    <t>Chống nước</t>
  </si>
  <si>
    <t>Waterproof</t>
  </si>
  <si>
    <t>Băng gạc, băng keo</t>
  </si>
  <si>
    <t>Mô tả có “chống nước/không thấm nước”</t>
  </si>
  <si>
    <t>ATTR-08</t>
  </si>
  <si>
    <t>Thành phần kháng khuẩn</t>
  </si>
  <si>
    <t>Antimicrobial agent</t>
  </si>
  <si>
    <t>Băng gạc, dung dịch rửa, bông tẩm cồn</t>
  </si>
  <si>
    <t>Bạc (Ag); Nano bạc; Berberin; Benzalkonium Chloride; Công nghệ EMWE®; Cồn (Alcohol)</t>
  </si>
  <si>
    <t>ATTR-09</t>
  </si>
  <si>
    <t>Kiểu viền</t>
  </si>
  <si>
    <t>Border type</t>
  </si>
  <si>
    <t>Danh sách</t>
  </si>
  <si>
    <t>Gạc xốp, đế HMNT</t>
  </si>
  <si>
    <t>Viền dính silicone; Có viền dính; Không viền dính; Viền vải không dệt; Không viền vải</t>
  </si>
  <si>
    <t>ATTR-10</t>
  </si>
  <si>
    <t>Hệ thống HMNT</t>
  </si>
  <si>
    <t>Ostomy system</t>
  </si>
  <si>
    <t>1 mảnh; 2 mảnh</t>
  </si>
  <si>
    <t>ATTR-11</t>
  </si>
  <si>
    <t>Kiểu khóa / xả</t>
  </si>
  <si>
    <t>Closure type</t>
  </si>
  <si>
    <t>Túi HMNT, túi nước tiểu</t>
  </si>
  <si>
    <t>Kẹp rời; Khóa kẹp; Khóa dán liền; Khóa cuộn; Van khóa</t>
  </si>
  <si>
    <t>ATTR-12</t>
  </si>
  <si>
    <t>Độ trong của túi</t>
  </si>
  <si>
    <t>Pouch opacity</t>
  </si>
  <si>
    <t>Túi HMNT</t>
  </si>
  <si>
    <t>Đục; Trong suốt</t>
  </si>
  <si>
    <t>ATTR-13</t>
  </si>
  <si>
    <t>Số nòng / nhánh</t>
  </si>
  <si>
    <t>Lumens / ways</t>
  </si>
  <si>
    <t>Ống mở khí quản, nội khí quản, mask thanh quản, Foley, catheter</t>
  </si>
  <si>
    <t>1 nòng; 2 nòng; 3 nòng; 2 nhánh; 3 nhánh</t>
  </si>
  <si>
    <t>ATTR-14</t>
  </si>
  <si>
    <t>Bóng chèn</t>
  </si>
  <si>
    <t>Cuff</t>
  </si>
  <si>
    <t>Ống mở khí quản, nội khí quản</t>
  </si>
  <si>
    <t>Có bóng; Không bóng</t>
  </si>
  <si>
    <t>ATTR-15</t>
  </si>
  <si>
    <t>Cửa sổ</t>
  </si>
  <si>
    <t>Fenestration</t>
  </si>
  <si>
    <t>Ống / nòng trong mở khí quản</t>
  </si>
  <si>
    <t>Có cửa sổ; Không cửa sổ</t>
  </si>
  <si>
    <t>ATTR-16</t>
  </si>
  <si>
    <t>Hút trên bóng</t>
  </si>
  <si>
    <t>Subglottic suction</t>
  </si>
  <si>
    <t>ATTR-17</t>
  </si>
  <si>
    <t>Kết nối</t>
  </si>
  <si>
    <t>Connectivity</t>
  </si>
  <si>
    <t>Máy đo, máy trợ thính</t>
  </si>
  <si>
    <t>Bluetooth; Không dây; Có dây</t>
  </si>
  <si>
    <t>ATTR-18</t>
  </si>
  <si>
    <t>Nguồn điện</t>
  </si>
  <si>
    <t>Power source</t>
  </si>
  <si>
    <t>Máy / thiết bị điện tử, đai chườm</t>
  </si>
  <si>
    <t>Điện (cắm nguồn); Pin sạc; Pin AA; Pin AAA</t>
  </si>
  <si>
    <t>ATTR-19</t>
  </si>
  <si>
    <t>Vị trí sử dụng trên cơ thể</t>
  </si>
  <si>
    <t>Body site</t>
  </si>
  <si>
    <t>Đai, vớ, đai chườm, máy đo, găng tay</t>
  </si>
  <si>
    <t>Bắp tay; Trán; Mắt; Cổ gáy; Vai gáy cổ; Lưng - cột sống; Lưng bụng; Bàn tay; Đầu gối; Đùi; Gối (dưới gối); Bắp chân; Bàn chân</t>
  </si>
  <si>
    <t>ATTR-20</t>
  </si>
  <si>
    <t>Bên</t>
  </si>
  <si>
    <t>Side</t>
  </si>
  <si>
    <t>Găng tay robot, nẹp</t>
  </si>
  <si>
    <t>Trái; Phải</t>
  </si>
  <si>
    <t>ATTR-21</t>
  </si>
  <si>
    <t>Đối tượng sử dụng</t>
  </si>
  <si>
    <t>Target user</t>
  </si>
  <si>
    <t>HMNT, sữa dinh dưỡng, dụng cụ tiết niệu</t>
  </si>
  <si>
    <t>Trẻ sơ sinh; Trẻ em; Nam giới; Người tiểu đường; Bệnh nhân ung thư</t>
  </si>
  <si>
    <t>ATTR-22</t>
  </si>
  <si>
    <t>Thời gian sử dụng</t>
  </si>
  <si>
    <t>Usage duration</t>
  </si>
  <si>
    <t>Ống thông, xông nuôi ăn, mask, bơm tiêm</t>
  </si>
  <si>
    <t>Dùng 1 lần; 29 ngày; 30 ngày; Dài ngày</t>
  </si>
  <si>
    <t>ATTR-23</t>
  </si>
  <si>
    <t>Lưu lượng oxy</t>
  </si>
  <si>
    <t>Oxygen flow rate</t>
  </si>
  <si>
    <t>Số (lít/phút)</t>
  </si>
  <si>
    <t>5 lít/phút; 10 lít/phút</t>
  </si>
  <si>
    <t>ATTR-24</t>
  </si>
  <si>
    <t>Color</t>
  </si>
  <si>
    <t>Băng keo, dây đai, máy bơm insulin</t>
  </si>
  <si>
    <t>ATTR-25</t>
  </si>
  <si>
    <t>Chỉ số đo</t>
  </si>
  <si>
    <t>Measured parameters</t>
  </si>
  <si>
    <t>Đường huyết; Cholesterol; Axit uric; Huyết áp; Nhịp tim; SpO2; Nhiệt độ; Nhịp tim thai; Cân nặng; Thành phần cơ thể</t>
  </si>
  <si>
    <t>ATTR-26</t>
  </si>
  <si>
    <t>Dạng sản phẩm</t>
  </si>
  <si>
    <t>Product form</t>
  </si>
  <si>
    <t>Tất cả sản phẩm</t>
  </si>
  <si>
    <t>Máy / thiết bị điện tử; Cảm biến / phụ kiện điện tử; Que thử; Miếng dán / gạc; Băng keo cá nhân; Băng keo cuộn; Gel / kem; Dung dịch; Xịt; Bột; Keo / hồ dán; Sữa dinh dưỡng; Vớ; Đai / băng thun; Đệm; Túi; Đế; Ống / dây; Mặt nạ / mask; Bơm tiêm / bình chứa; Bộ dụng cụ; Dụng cụ / phụ kiện</t>
  </si>
  <si>
    <t>Giá trị</t>
  </si>
  <si>
    <t>Cao su</t>
  </si>
  <si>
    <t>Đệm</t>
  </si>
  <si>
    <t>Có dây</t>
  </si>
  <si>
    <t>Pin AA</t>
  </si>
  <si>
    <t>Máy / thiết bị điện tử</t>
  </si>
  <si>
    <t>Không dây</t>
  </si>
  <si>
    <t>Pin sạc</t>
  </si>
  <si>
    <t>Hydrocolloid</t>
  </si>
  <si>
    <t>Có</t>
  </si>
  <si>
    <t>Miếng dán / gạc</t>
  </si>
  <si>
    <t>Ø10mm</t>
  </si>
  <si>
    <t>Thảo dược</t>
  </si>
  <si>
    <t>Mắt</t>
  </si>
  <si>
    <t>Bộ dụng cụ</t>
  </si>
  <si>
    <t>3mmx75mm</t>
  </si>
  <si>
    <t>28ml</t>
  </si>
  <si>
    <t>Xịt</t>
  </si>
  <si>
    <t>10cmx10cm</t>
  </si>
  <si>
    <t>10g</t>
  </si>
  <si>
    <t>Gel / kem</t>
  </si>
  <si>
    <t>150ml</t>
  </si>
  <si>
    <t>Nano bạc, Berberin</t>
  </si>
  <si>
    <t>Dung dịch</t>
  </si>
  <si>
    <t>Cồn (Alcohol)</t>
  </si>
  <si>
    <t>18.5cmx24cm</t>
  </si>
  <si>
    <t>Silicone, Polyurethane (PU)</t>
  </si>
  <si>
    <t>Viền dính silicone</t>
  </si>
  <si>
    <t>300ml</t>
  </si>
  <si>
    <t>Công nghệ EMWE®</t>
  </si>
  <si>
    <t>100ml</t>
  </si>
  <si>
    <t>10cmx12cm</t>
  </si>
  <si>
    <t>Bạc (Ag)</t>
  </si>
  <si>
    <t>5g</t>
  </si>
  <si>
    <t>7.5cmx7.5cm</t>
  </si>
  <si>
    <t>Alginate</t>
  </si>
  <si>
    <t>Có viền dính</t>
  </si>
  <si>
    <t>10cmx10cmx0.5cm</t>
  </si>
  <si>
    <t>Không viền dính</t>
  </si>
  <si>
    <t>15g</t>
  </si>
  <si>
    <t>Silicone</t>
  </si>
  <si>
    <t>12cmx15cm</t>
  </si>
  <si>
    <t>18cmx18cm</t>
  </si>
  <si>
    <t>6cmx7cm</t>
  </si>
  <si>
    <t>Benzalkonium Chloride</t>
  </si>
  <si>
    <t>In hình hoạt hình</t>
  </si>
  <si>
    <t>72mmx18mm</t>
  </si>
  <si>
    <t>Ø22mm</t>
  </si>
  <si>
    <t>Màu da</t>
  </si>
  <si>
    <t>Trong suốt</t>
  </si>
  <si>
    <t>60mmx19mm</t>
  </si>
  <si>
    <t>Vải</t>
  </si>
  <si>
    <t>5cmx10m</t>
  </si>
  <si>
    <t>Vải không dệt</t>
  </si>
  <si>
    <t>1.25cmx5m</t>
  </si>
  <si>
    <t>Giấy</t>
  </si>
  <si>
    <t>Lụa</t>
  </si>
  <si>
    <t>10cmx1.7cm</t>
  </si>
  <si>
    <t>250ml</t>
  </si>
  <si>
    <t>Đầu gối</t>
  </si>
  <si>
    <t>Đai / băng thun</t>
  </si>
  <si>
    <t>Lưng - cột sống</t>
  </si>
  <si>
    <t>Đùi</t>
  </si>
  <si>
    <t>Vớ</t>
  </si>
  <si>
    <t>Gối (dưới gối)</t>
  </si>
  <si>
    <t>Điện (cắm nguồn)</t>
  </si>
  <si>
    <t>Bàn chân</t>
  </si>
  <si>
    <t>50cmx11cm</t>
  </si>
  <si>
    <t>Cổ gáy</t>
  </si>
  <si>
    <t>Lưng bụng</t>
  </si>
  <si>
    <t>35cmx48cm</t>
  </si>
  <si>
    <t>Vai gáy cổ</t>
  </si>
  <si>
    <t>34cmx24cm</t>
  </si>
  <si>
    <t>Bắp chân</t>
  </si>
  <si>
    <t>Bàn tay</t>
  </si>
  <si>
    <t>Trái</t>
  </si>
  <si>
    <t>Bột</t>
  </si>
  <si>
    <t>56.7g</t>
  </si>
  <si>
    <t>Keo / hồ dán</t>
  </si>
  <si>
    <t>1 mảnh</t>
  </si>
  <si>
    <t>Đục</t>
  </si>
  <si>
    <t>Trẻ sơ sinh</t>
  </si>
  <si>
    <t>2 mảnh</t>
  </si>
  <si>
    <t>Đế</t>
  </si>
  <si>
    <t>60g</t>
  </si>
  <si>
    <t>Dụng cụ / phụ kiện</t>
  </si>
  <si>
    <t>Kẹp rời</t>
  </si>
  <si>
    <t>Khóa dán liền</t>
  </si>
  <si>
    <t>Khóa kẹp</t>
  </si>
  <si>
    <t>Hydrocolloid, Vải không dệt</t>
  </si>
  <si>
    <t>Viền vải không dệt</t>
  </si>
  <si>
    <t>Khóa cuộn</t>
  </si>
  <si>
    <t>Không viền vải</t>
  </si>
  <si>
    <t>1 nòng</t>
  </si>
  <si>
    <t>Mặt nạ / mask</t>
  </si>
  <si>
    <t>2 nòng</t>
  </si>
  <si>
    <t>PVC</t>
  </si>
  <si>
    <t>2 nhánh</t>
  </si>
  <si>
    <t>Ống / dây</t>
  </si>
  <si>
    <t>Có bóng</t>
  </si>
  <si>
    <t>Có cửa sổ</t>
  </si>
  <si>
    <t>Không bóng</t>
  </si>
  <si>
    <t>Dùng 1 lần</t>
  </si>
  <si>
    <t>5 lít/phút</t>
  </si>
  <si>
    <t>8cmx9cm</t>
  </si>
  <si>
    <t>7cmx11cm</t>
  </si>
  <si>
    <t>Không cửa sổ</t>
  </si>
  <si>
    <t>10 lít/phút</t>
  </si>
  <si>
    <t>5000ml</t>
  </si>
  <si>
    <t>Ø68mm</t>
  </si>
  <si>
    <t>3.6cmx18cm</t>
  </si>
  <si>
    <t>Xanh đậm</t>
  </si>
  <si>
    <t>Đường huyết</t>
  </si>
  <si>
    <t>Cảm biến / phụ kiện điện tử</t>
  </si>
  <si>
    <t>Bluetooth</t>
  </si>
  <si>
    <t>Bắp tay</t>
  </si>
  <si>
    <t>Huyết áp, Nhịp tim</t>
  </si>
  <si>
    <t>SpO2, Nhịp tim</t>
  </si>
  <si>
    <t>Nhiệt độ</t>
  </si>
  <si>
    <t>Đường huyết, Cholesterol, Axit uric</t>
  </si>
  <si>
    <t>Axit uric</t>
  </si>
  <si>
    <t>Cholesterol</t>
  </si>
  <si>
    <t>Nhịp tim thai</t>
  </si>
  <si>
    <t>Cân nặng</t>
  </si>
  <si>
    <t>Cân nặng, Thành phần cơ thể</t>
  </si>
  <si>
    <t>Trán</t>
  </si>
  <si>
    <t>Dài ngày</t>
  </si>
  <si>
    <t>3 nhánh</t>
  </si>
  <si>
    <t>Nam giới</t>
  </si>
  <si>
    <t>Van khóa</t>
  </si>
  <si>
    <t>29 ngày</t>
  </si>
  <si>
    <t>Người tiểu đường</t>
  </si>
  <si>
    <t>30 ngày</t>
  </si>
  <si>
    <t>125ml</t>
  </si>
  <si>
    <t>Bệnh nhân ung thư</t>
  </si>
  <si>
    <t>50ml</t>
  </si>
  <si>
    <t>Bơm tiêm / bình chứa</t>
  </si>
  <si>
    <t>Polyurethane (PU)</t>
  </si>
  <si>
    <t>3 nòng</t>
  </si>
  <si>
    <t>3ml</t>
  </si>
  <si>
    <t>Đen</t>
  </si>
  <si>
    <t>Nanofiber</t>
  </si>
  <si>
    <t>Ø0.36mm</t>
  </si>
  <si>
    <t>0.5ml</t>
  </si>
  <si>
    <t>1ml</t>
  </si>
  <si>
    <t>5.1cmx6cm</t>
  </si>
  <si>
    <t>6mmx100mm</t>
  </si>
  <si>
    <t>12mmx100mm</t>
  </si>
  <si>
    <t>5cmx20cm</t>
  </si>
  <si>
    <t>5cmx10cm</t>
  </si>
  <si>
    <t>30g</t>
  </si>
  <si>
    <t>6mmx38mm</t>
  </si>
  <si>
    <t>15cmx20cm</t>
  </si>
  <si>
    <t>5cmx5cm</t>
  </si>
  <si>
    <t>9cmx15cm</t>
  </si>
  <si>
    <t>9cmx20cm</t>
  </si>
  <si>
    <t>20cmx20cmx0.5cm</t>
  </si>
  <si>
    <t>35cmx50cmx0.5cm</t>
  </si>
  <si>
    <t>30cmx100cmx0.5cm</t>
  </si>
  <si>
    <t>20cmx20cm</t>
  </si>
  <si>
    <t>35cmx50cm</t>
  </si>
  <si>
    <t>3.5cmx15cm</t>
  </si>
  <si>
    <t>5cmx6cm</t>
  </si>
  <si>
    <t>6cmx10cm</t>
  </si>
  <si>
    <t>9cmx10cm</t>
  </si>
  <si>
    <t>9cmx25cm</t>
  </si>
  <si>
    <t>9cmx30cm</t>
  </si>
  <si>
    <t>Hỗn hợp 4 size</t>
  </si>
  <si>
    <t>10cmx10m</t>
  </si>
  <si>
    <t>15cmx10m</t>
  </si>
  <si>
    <t>10cmx2.5m</t>
  </si>
  <si>
    <t>2.5cmx5m</t>
  </si>
  <si>
    <t>14cmx3.8cm</t>
  </si>
  <si>
    <t>2.5cmx33cm</t>
  </si>
  <si>
    <t>Xanh nhạt</t>
  </si>
  <si>
    <t>43cmx2.5cm</t>
  </si>
  <si>
    <t>45cmx3.5cm</t>
  </si>
  <si>
    <t>6.7cmx10cm</t>
  </si>
  <si>
    <t>Phải</t>
  </si>
  <si>
    <t>Thuộc tính phân biệt biến thể</t>
  </si>
  <si>
    <t>ATTR-27</t>
  </si>
  <si>
    <t>Không</t>
  </si>
  <si>
    <t>Màu da; Trong suốt; In hình hoạt hình; Xanh đậm; Xanh nhạt; Đen; Hồng; Vàng; Đen-xám; Đen-đỏ</t>
  </si>
  <si>
    <t>Màu sắc biến thể (Product Variant) hoặc tên SP</t>
  </si>
  <si>
    <t>Size</t>
  </si>
  <si>
    <t>Đai, vớ, ống thông, ống mở khí quản, nội khí quản, mask</t>
  </si>
  <si>
    <t>XS; S; M; L; LL; XL; XXL; Số 1.5 … Số 8 (cỡ ống / mask); 5Fr … 37Fr (cỡ ống thông French)</t>
  </si>
  <si>
    <t>Kích cỡ biến thể (Product Variant)</t>
  </si>
  <si>
    <t>Số SP áp dụng</t>
  </si>
  <si>
    <t>Số biến thể có giá trị</t>
  </si>
  <si>
    <t>Hướng dẫn chọn</t>
  </si>
  <si>
    <t>Chỉ khác màu, công dụng và kích thước như nhau – chọn theo sở thích (Hồng / Vàng).</t>
  </si>
  <si>
    <t>Chọn theo số đo vòng bụng: S 56–71 cm; M 71–84 cm; L 84–97 cm; XL 97–109 cm (chiều cao đai 22 cm). Nếu nằm giữa 2 size, chọn size lớn hơn.</t>
  </si>
  <si>
    <t>Đo vòng cổ chân / bắp chân / đùi: S 18–20 / 31–35 / 45–53 cm; M 20–22 / 33–38 / 48–56 cm; L 22–24 / 34–40 / 51–59 cm. Chiều dài bàn chân → đùi: S, M 66–76 cm; L 70–80 cm. Ưu tiên khớp vòng cổ chân.</t>
  </si>
  <si>
    <t>Đo vòng cổ chân / bắp chân: S 18–20 / 31–35 cm; M 20–22 / 33–38 cm; L 22–24 / 34–40 cm. Chiều dài bàn chân → dưới gối: S, M 66–76 cm; L 70–80 cm.</t>
  </si>
  <si>
    <t>Đo vòng cổ chân / bắp chân / đùi: S 18–20 / 31–35 / 45–53 cm; M 20–22 / 33–38 / 48–56 cm; L 22–24 / 34–40 / 51–59 cm. Ưu tiên khớp vòng cổ chân.</t>
  </si>
  <si>
    <t>Chưa có bảng size trong dữ liệu. Đo vòng gối (ngang giữa xương bánh chè) và đối chiếu bảng size của nhà sản xuất (M &lt; L &lt; LL).</t>
  </si>
  <si>
    <t>Chỉ khác màu (Đen-xám / Đen-đỏ); cùng mức nén và bảng size.</t>
  </si>
  <si>
    <t>Đo vòng cổ chân / bắp chân: S 17–22 / 29–38 cm; M 19–24 / 31–40 cm; L 21–26 / 33–43 cm; LL 24–29 / 36–45 cm.</t>
  </si>
  <si>
    <t>Chọn theo số đo vòng chân ngực: XS &lt; 50 cm; S 50–65 cm; M 65–80 cm; L 80–95 cm; XL &gt; 95 cm.</t>
  </si>
  <si>
    <t>Chọn theo số đo vòng bụng: S 50–65 cm; M 65–80 cm; L 80–95 cm; XL 95–110 cm; XXL 110–125 cm (chiều cao đai 22 cm).</t>
  </si>
  <si>
    <t>Đo bàn tay: M dài 16.6–17.5 cm, rộng 9–9.5 cm; L dài 17.6–18.5 cm, rộng 10–10.5 cm (dài: cổ tay → đầu ngón giữa; rộng: ngang lòng bàn tay).</t>
  </si>
  <si>
    <t>Đo vòng cổ chân / bắp chân / dưới gối / đùi: XS 16–18 / 27–37 / 26–36 / 44–59 cm; S 18–22 / 30–39 / 29–38 / 49–63 cm; M 23–25 / 33–41 / 32–40 / 54–66 cm; L 26–28 / 36–44 / 35–43 / 58–70 cm; XL 29–31 / 39–47 / 38–46 / 63–74 cm. Ưu tiên khớp vòng cổ chân.</t>
  </si>
  <si>
    <t>Chọn theo cân nặng (khuyến cáo NSX phổ biến): Số 3: 30–50 kg; Số 4: 50–70 kg (Số 5: &gt; 70 kg).</t>
  </si>
  <si>
    <t>S: trẻ em; L: người lớn (dây dài 2 m).</t>
  </si>
  <si>
    <t>S: trẻ sơ sinh; M: trẻ em; L: người lớn; XL: người lớn mặt to (dây dẫn 2 m).</t>
  </si>
  <si>
    <t>Chọn theo đường kính trong (ID) ống NKQ/MKQ: Fr ≈ (ID − 1) × 2 → 12Fr cho ống ~7.0 mm; 14Fr cho ống ~8.0 mm. Ống hút không vượt quá ~1/2 lòng ống để tránh mất PEEP.</t>
  </si>
  <si>
    <t>Chọn trùng cỡ với ống mở khí quản Shiley đang dùng (Số 6 ↔ ống Số 6; Số 8 ↔ ống Số 8).</t>
  </si>
  <si>
    <t>Số 6: ID 6.4 / OD 10.8 / dài 76 mm; Số 8: ID 7.6 / OD 12.2 / dài 81 mm. Thường nữ trưởng thành Số 6, nam Số 8; bác sĩ quyết định theo khí quản.</t>
  </si>
  <si>
    <t>5Fr: trẻ em (OD 1.7 mm, dài 325 mm, bóng tối đa 3 ml); 9Fr: người lớn (OD 3.0 mm, dài 500 mm, bóng tối đa 8 ml).</t>
  </si>
  <si>
    <t>Ống nội khí quản 2 nòng chọn theo giới, chiều cao và đường kính khí quản: thường nữ 35–37Fr; người nhỏ con 33Fr. Bác sĩ gây mê quyết định.</t>
  </si>
  <si>
    <t>Chọn theo cân nặng: Số 1.5: 5–10 kg; Số 2: 10–20 kg; Số 2.5: 20–30 kg; Số 3: 30–50 kg; Số 4: 50–70 kg; Số 5: &gt; 70 kg.</t>
  </si>
  <si>
    <t>8Fr: trẻ nhỏ; 10Fr: trẻ lớn; 12Fr: người lớn, đờm loãng; 14Fr: người lớn, đờm đặc. Hút qua ống NKQ/MKQ: Fr ≤ 2 × ID ống (mm).</t>
  </si>
  <si>
    <t>8Fr: trẻ nhỏ; 12Fr: người lớn, đờm loãng; 14Fr: người lớn, đờm đặc. Hút qua ống NKQ/MKQ: Fr ≤ 2 × ID ống (mm).</t>
  </si>
  <si>
    <t>6Fr: trẻ sơ sinh (dài 305 mm); 10Fr: trẻ em (390 mm); 14Fr: người lớn (420 mm). Chọn nhỏ hơn lòng ống NKQ.</t>
  </si>
  <si>
    <t>L: người lớn; S: trẻ em.</t>
  </si>
  <si>
    <t>Chọn trùng cỡ với ống mở khí quản Mera Senko đang dùng (Số 7 ↔ ống Số 7; Số 8 ↔ ống Số 8).</t>
  </si>
  <si>
    <t>Số 5: ID 5.0 / OD 8.6 / dài 55 mm; Số 6: 6.0 / 9.7 / 64 mm; Số 7: 7.0 / 10.8 / 70 mm; Số 8: 8.0 / 12.0 / 75 mm. Thường nữ Số 6–7, nam Số 7–8.</t>
  </si>
  <si>
    <t>Số = đường kính trong (mm). Thường: nữ 7.0–7.5; nam 7.5–8.0; Số 6–6.5 cho người nhỏ con hoặc đặt khó.</t>
  </si>
  <si>
    <t>Số 7: ID 7.0 / OD 10.6 / dài 76 mm; Số 8: ID 8.0 / OD 11.7 / dài 78 mm. Thường nữ Số 7, nam Số 8.</t>
  </si>
  <si>
    <t>12Fr: thường cho nữ; 14Fr: thường cho nam trưởng thành. Chọn cỡ nhỏ nhất vẫn dẫn lưu tốt.</t>
  </si>
  <si>
    <t>Người lớn thường 14–18Fr: 16Fr tiêu chuẩn; 18Fr khi nước tiểu có cặn/máu cục; 20–22Fr chỉ khi có máu cục nhiều theo chỉ định tiết niệu. Chọn cỡ nhỏ nhất vẫn dẫn lưu tốt.</t>
  </si>
  <si>
    <t>Foley 3 nhánh dùng rửa bàng quang liên tục: 20Fr tiêu chuẩn; 22Fr khi máu cục nhiều.</t>
  </si>
  <si>
    <t>Người lớn thường 14–18Fr: 16Fr tiêu chuẩn; 18Fr khi nước tiểu có cặn/máu cục; 20Fr khi có máu cục nhiều. Chọn cỡ nhỏ nhất vẫn dẫn lưu tốt.</t>
  </si>
  <si>
    <t>16Fr: OD 5.4 mm, bóng 5 ml (thường dùng ban đầu); 18Fr: OD 6.1 mm, bóng 5 ml (khi ống hay tắc).</t>
  </si>
  <si>
    <t>16Fr: tiêu chuẩn cho người lớn; 18Fr khi nước tiểu có cặn/máu cục. Chọn cỡ nhỏ nhất vẫn dẫn lưu tốt.</t>
  </si>
  <si>
    <t>Người lớn thường 20–24Fr; cỡ lớn ít tắc khi bơm thức ăn đặc/thuốc nghiền, cỡ nhỏ hơn cho người nhỏ con. Khi thay, dùng cùng cỡ với lỗ mở thông hiện có.</t>
  </si>
  <si>
    <t>16Fr: dễ chịu hơn, dùng cho thức ăn lỏng; 18Fr: cho thức ăn đặc, ít tắc ống.</t>
  </si>
  <si>
    <t>So với không dây: giá thấp, dễ dùng, ít hỏng; kém thẩm mỹ.</t>
  </si>
  <si>
    <t>So với có dây: gọn, kín đáo, thoải mái; giá cao hơn, cần sạc / thay pin.</t>
  </si>
  <si>
    <t>So với EMWE®: kháng khuẩn bằng nano bạc kết hợp berberin (thảo dược).</t>
  </si>
  <si>
    <t>So với dạng xịt: dùng rửa / đắp gạc, làm sạch được vết thương rộng, có dịch, bẩn.</t>
  </si>
  <si>
    <t>So với alginate: xốp PU với lớp silicone không dính vết thương, tháo không đau, lưu được nhiều ngày; dùng cho vết thương dịch vừa–nhiều, da mỏng. Không nhét vào hốc sâu.</t>
  </si>
  <si>
    <t>So với viền dính thường: keo silicone bóc nhẹ, ít đau và ít tổn thương da khi thay – phù hợp da mỏng, người già. So với không viền: không cần băng cố định.</t>
  </si>
  <si>
    <t>So với nano bạc + berberin: dùng công nghệ điện hoá EMWE®, không chứa bạc.</t>
  </si>
  <si>
    <t>So với dạng dung dịch: xịt phủ nhanh, không chạm tay vào vết thương, tiện mang theo; phù hợp vết thương nhỏ, nông.</t>
  </si>
  <si>
    <t>So với foam silicone/PU: alginate hút dịch rất mạnh và tạo gel, hỗ trợ cầm máu nhẹ, nhét được vào hốc vết thương. Cần gạc phủ ngoài; không dùng cho vết thương khô / ít dịch.</t>
  </si>
  <si>
    <t>So với không viền: tự dán cố định, không cần băng keo phủ. Nhược: không cắt được theo vết thương, không dùng trên da tổn thương rộng.</t>
  </si>
  <si>
    <t>So với có viền: cắt được theo kích thước vết thương, dùng được cho hốc/da tổn thương rộng. Nhược: cần băng keo hoặc băng cuộn cố định bên ngoài.</t>
  </si>
  <si>
    <t>So với giấy/lụa: bám chắc, co giãn, thoáng – cố định gạc diện rộng, vùng cử động. Nhược: bóc mạnh hơn giấy.</t>
  </si>
  <si>
    <t>So với vải/lụa: dịu nhẹ nhất, ít kích ứng, bóc ít đau – cho da nhạy cảm, trẻ em, người già. Nhược: lực dính và độ bền kém hơn.</t>
  </si>
  <si>
    <t>So với giấy: dính chắc hơn, xé tay dễ, bền – cố định ống, dây truyền. So với vải không dệt: ít co giãn hơn.</t>
  </si>
  <si>
    <t>So với đai: dán trực tiếp, mỏng, mặc dưới quần áo được; hỗ trợ giảm đau tại chỗ, không cố định khớp.</t>
  </si>
  <si>
    <t>So với miếng dán: nâng đỡ, ổn định khớp gối cơ học khi vận động; tháo ra được, dùng lại.</t>
  </si>
  <si>
    <t>So với vớ gối / bắp chân: nén lên tới đùi – cho giãn tĩnh mạch lan lên trên gối hoặc sau phẫu thuật. Nhược: khó mang, nóng hơn.</t>
  </si>
  <si>
    <t>So với vớ đùi: dễ mang, mát hơn – đủ cho giãn tĩnh mạch vùng cẳng chân (phổ biến nhất). So với vớ bắp chân: nén cả bàn chân và cổ chân.</t>
  </si>
  <si>
    <t>So với vớ gối / đùi: chỉ nén vùng bắp chân, hở bàn chân – thoải mái khi thể thao, mang cùng tất thường; không thay thế vớ điều trị khi giãn ở cổ chân.</t>
  </si>
  <si>
    <t>So với miếng dán thay thế: là máy chính, có điều khiển cường độ / chế độ.</t>
  </si>
  <si>
    <t>So với máy: là miếng điện cực thay thế, dùng khi miếng cũ hết dính; cần đúng loại máy.</t>
  </si>
  <si>
    <t>So với bên phải: dùng khi tay trái bị yếu / liệt.</t>
  </si>
  <si>
    <t>So với 2 mảnh: túi và đế liền nhau – dễ thao tác, mỏng, kín đáo, chi phí mỗi lần thay thấp hơn. Nhược: mỗi lần thay túi phải bóc đế khỏi da → dễ kích ứng nếu thay thường xuyên. Phù hợp người mới dùng, ít khéo tay, thay ~1 lần/ngày.</t>
  </si>
  <si>
    <t>So với túi trong suốt: kín đáo, thẩm mỹ hơn khi dùng hằng ngày. Nhược: khó quan sát lỗ mở và chất thải.</t>
  </si>
  <si>
    <t>So với túi đục: quan sát được lỗ mở và chất thải – thuận tiện giai đoạn sau mổ, khi canh chỉnh lúc dán. Nhược: kém kín đáo khi dùng hằng ngày.</t>
  </si>
  <si>
    <t>So với loại cho trẻ em: túi và đế nhỏ hơn, dung tích ít hơn, keo dịu nhẹ cho da sơ sinh.</t>
  </si>
  <si>
    <t>So với khóa dán liền / khóa cuộn: kẹp chắc, xả nhanh, tái sử dụng được. Nhược: kẹp rời dễ thất lạc, cứng, có thể cấn khi nằm hoặc mặc đồ sát.</t>
  </si>
  <si>
    <t>So với loại cho trẻ sơ sinh: túi lớn hơn, dung tích nhiều hơn, phù hợp trẻ đã vận động nhiều.</t>
  </si>
  <si>
    <t>So với kẹp rời: khóa tích hợp trên túi, không lo mất kẹp, mềm, kín đáo. Nhược: cần lau sạch mép xả trước khi dán lại để giữ kín.</t>
  </si>
  <si>
    <t>So với khóa dán liền / khóa cuộn: kẹp chắc, xả nhanh. Nhược: cứng, có thể cấn khi nằm hoặc mặc đồ sát.</t>
  </si>
  <si>
    <t>So với đế chỉ hydrocolloid: thêm lớp vải không dệt giúp mép bám chắc và thoáng hơn.</t>
  </si>
  <si>
    <t>So với đế không viền: viền vải tăng độ bám, mép mềm, ít bong mép khi vận động / ra mồ hôi. Nhược: diện tích dán lớn hơn.</t>
  </si>
  <si>
    <t>So với 1 mảnh: đế dán riêng, túi gắn vào khoen – thay túi không cần bóc đế (đế giữ 3–5 ngày) → ít tổn thương da, dễ đổi loại túi. Nhược: dày/cồng kềnh hơn, phải chọn đúng cỡ khoen giữa đế và túi.</t>
  </si>
  <si>
    <t>So với kẹp rời: cuộn mép và cố định ngay trên túi, không lo mất kẹp, mềm, kín đáo. Nhược: cần lau sạch mép xả trước khi cuộn lại.</t>
  </si>
  <si>
    <t>So với đế có viền vải không dệt: toàn bộ là hydrocolloid, ôm da, dễ cắt; mép kém bám hơn khi ra mồ hôi.</t>
  </si>
  <si>
    <t>So với đế viền vải: mỏng, gọn, dễ cắt chỉnh, phù hợp vùng da hẹp hoặc gần nếp gấp. Nhược: mép dễ bong hơn khi vận động nhiều.</t>
  </si>
  <si>
    <t>So với 2 nòng: đơn giản, rẻ, đặt nhanh – cho thủ thuật ngắn, bệnh nhân nhịn ăn tốt. Không có kênh dẫn lưu dạ dày.</t>
  </si>
  <si>
    <t>So với 1 nòng: có thêm kênh dẫn lưu dạ dày (luồn được sonde), bóng kín hơn → giảm nguy cơ trào ngược, thông khí áp lực dương tốt hơn; giá cao hơn.</t>
  </si>
  <si>
    <t>So với không bóng: bóng chèn bịt kín khí quản → dùng khi thở máy, nguy cơ hít sặc. Cần theo dõi áp lực bóng (20–30 cmH2O).</t>
  </si>
  <si>
    <t>So với không cửa sổ: lỗ trên thân ống cho khí đi lên thanh quản → bệnh nhân nói được (khi bịt ống), hỗ trợ cai ống. Không dùng khi thở máy hoặc ngay sau mổ.</t>
  </si>
  <si>
    <t>So với có bóng: không gây áp lực lên niêm mạc khí quản, cho bệnh nhân tự thở, nuốt tốt, giai đoạn cai ống / dùng dài ngày tại nhà.</t>
  </si>
  <si>
    <t>So với 10 lít/phút: nhỏ gọn, ít ồn, tiết kiệm điện – đủ cho đa số bệnh nhân COPD thở oxy tại nhà (1–5 l/phút).</t>
  </si>
  <si>
    <t>So với nòng không cửa sổ: dùng với ống có cửa sổ để bệnh nhân nói được.</t>
  </si>
  <si>
    <t>So với nòng có cửa sổ: bịt cửa sổ của ống ngoài – dùng khi cần thở máy / hút đờm.</t>
  </si>
  <si>
    <t>So với 5 lít/phút: cho bệnh nhân cần oxy lưu lượng cao hoặc 2 người dùng cùng lúc; lớn, ồn và tốn điện hơn.</t>
  </si>
  <si>
    <t>So với có cửa sổ: toàn bộ khí đi qua ống – dùng khi thở máy, ngay sau mở khí quản; bệnh nhân không nói được qua ống.</t>
  </si>
  <si>
    <t>So với máy 3 trong 1: chỉ đo đường huyết – đơn giản, que thử rẻ hơn.</t>
  </si>
  <si>
    <t>So với máy chỉ đo đường huyết: đo thêm cholesterol và axit uric (que riêng cho từng chỉ số) – cho người tiểu đường kèm mỡ máu / gút.</t>
  </si>
  <si>
    <t>So với cân thành phần cơ thể: chỉ đo cân nặng, đơn giản, rẻ.</t>
  </si>
  <si>
    <t>So với cân thường: đo thêm mỡ, cơ, nước… để theo dõi dinh dưỡng / giảm cân. Không dùng cho người mang máy tạo nhịp.</t>
  </si>
  <si>
    <t>So với ống rời: bộ có sẵn túi chứa / phụ kiện, tiện khi ra ngoài, giảm chạm tay → ít nhiễm khuẩn.</t>
  </si>
  <si>
    <t>So với bộ dụng cụ: chỉ có ống, gọn, chi phí thấp hơn; cần nơi xả nước tiểu hoặc túi riêng.</t>
  </si>
  <si>
    <t>So với 3 nhánh: 1 nhánh dẫn lưu + 1 nhánh bơm bóng – dùng lưu thông tiểu thông thường.</t>
  </si>
  <si>
    <t>So với 2 nhánh: thêm nhánh bơm rửa bàng quang liên tục – dùng sau mổ tiền liệt tuyến / bàng quang, tiểu máu cục.</t>
  </si>
  <si>
    <t>So với loại dài ngày: thời gian lưu ống tối đa ~1 tháng, sau đó phải thay.</t>
  </si>
  <si>
    <t>So với sữa cho bệnh nhân ung thư: chỉ số đường huyết thấp, kiểm soát đường huyết.</t>
  </si>
  <si>
    <t>So với loại 29–30 ngày: lưu lâu hơn, ít phải thay ống. Theo khuyến cáo NSX.</t>
  </si>
  <si>
    <t>So với sữa tiểu đường: giàu năng lượng và đạm, hỗ trợ chống sụt cân; không ưu tiên kiểm soát đường huyết.</t>
  </si>
  <si>
    <t>So với 3 nòng: 2 nòng chỉ cho lọc máu (rút/trả máu).</t>
  </si>
  <si>
    <t>So với 2 nòng: thêm 1 nòng để truyền dịch / thuốc / lấy máu xét nghiệm mà không gián đoạn lọc máu.</t>
  </si>
  <si>
    <t>So với 1ml: cho liều ≤ 50 UI, vạch chia mịn → đo liều nhỏ chính xác hơn.</t>
  </si>
  <si>
    <t>So với 0.5ml: cho liều đến 100 UI mỗi lần tiêm.</t>
  </si>
  <si>
    <t>So với bên trái: dùng khi tay phải bị yếu / liệt.</t>
  </si>
  <si>
    <t>So sánh với sản phẩm khác</t>
  </si>
  <si>
    <t>Sản phẩm cùng danh mục có giá trị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</si>
</sst>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quot;-&quot;"/>
  </numFmts>
  <fonts count="13" x14ac:knownFonts="1">
    <font>
      <sz val="11"/>
      <color theme="1"/>
      <name val="Calibri"/>
      <family val="2"/>
      <scheme val="minor"/>
    </font>
    <font>
      <sz val="9"/>
      <color indexed="81"/>
      <name val="Tahoma"/>
      <charset val="1"/>
    </font>
    <font>
      <b/>
      <sz val="9"/>
      <color indexed="81"/>
      <name val="Tahoma"/>
      <charset val="1"/>
    </font>
    <font>
      <b/>
      <sz val="11"/>
      <color theme="1"/>
      <name val="Calibri"/>
      <family val="2"/>
      <scheme val="minor"/>
    </font>
    <font>
      <sz val="9"/>
      <color indexed="81"/>
      <name val="Tahoma"/>
    </font>
    <font>
      <b/>
      <sz val="11"/>
      <color theme="1"/>
      <name val="Calibri"/>
      <scheme val="minor"/>
    </font>
    <font>
      <b/>
      <sz val="9"/>
      <color indexed="81"/>
      <name val="Tahoma"/>
    </font>
    <font>
      <sz val="11"/>
      <color rgb="FF000000"/>
      <name val="Calibri"/>
      <family val="2"/>
      <scheme val="minor"/>
    </font>
    <font>
      <sz val="11"/>
      <color rgb="FF0000FF"/>
      <name val="Calibri"/>
      <family val="2"/>
      <scheme val="minor"/>
    </font>
    <font>
      <sz val="11"/>
      <color rgb="FF008000"/>
      <name val="Calibri"/>
      <family val="2"/>
      <scheme val="minor"/>
    </font>
    <font>
      <sz val="11"/>
      <color rgb="FF000000"/>
      <name val="Calibri"/>
      <scheme val="minor"/>
    </font>
    <font>
      <b/>
      <sz val="11"/>
      <color rgb="FF000000"/>
      <name val="Calibri"/>
      <scheme val="minor"/>
    </font>
    <font>
      <sz val="11"/>
      <color theme="1"/>
      <name val="Calibri"/>
      <scheme val="minor"/>
    </font>
  </fonts>
  <fills count="4">
    <fill>
      <patternFill patternType="none"/>
    </fill>
    <fill>
      <patternFill patternType="gray125"/>
    </fill>
    <fill>
      <patternFill patternType="solid">
        <fgColor rgb="FFFFFF00"/>
        <bgColor indexed="64"/>
      </patternFill>
    </fill>
    <fill>
      <patternFill patternType="solid">
        <fgColor rgb="FFD9E1F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0" fontId="0" fillId="0" borderId="0" xfId="0" applyAlignment="1">
      <alignment vertical="center" wrapText="1"/>
    </xf>
    <xf numFmtId="0" fontId="3" fillId="3" borderId="0" xfId="0" applyFont="1" applyFill="1" applyAlignment="1">
      <alignment vertical="center" wrapText="1"/>
    </xf>
    <xf numFmtId="0" fontId="0" fillId="0" borderId="1" xfId="0" applyBorder="1"/>
    <xf numFmtId="0" fontId="0" fillId="2" borderId="1" xfId="0" applyFill="1" applyBorder="1"/>
    <xf numFmtId="0" fontId="3" fillId="0" borderId="1" xfId="0" applyFont="1" applyBorder="1" applyAlignment="1">
      <alignment horizontal="center" vertical="center"/>
    </xf>
    <xf numFmtId="49" fontId="0" fillId="0" borderId="1" xfId="0" applyNumberFormat="1" applyBorder="1"/>
    <xf numFmtId="49" fontId="0" fillId="0" borderId="0" xfId="0" applyNumberFormat="1" applyAlignment="1">
      <alignment vertical="center"/>
    </xf>
    <xf numFmtId="0" fontId="3" fillId="0" borderId="2" xfId="0" applyFont="1" applyBorder="1" applyAlignment="1">
      <alignment horizontal="left" vertical="center"/>
    </xf>
    <xf numFmtId="0" fontId="5" fillId="3" borderId="0" xfId="0" applyFont="1" applyFill="1"/>
    <xf numFmtId="0" fontId="7" fillId="0" borderId="0" xfId="0" applyFont="1"/>
    <xf numFmtId="0" fontId="8" fillId="0" borderId="0" xfId="0" applyFont="1"/>
    <xf numFmtId="0" fontId="7" fillId="0" borderId="0" xfId="0" applyFont="1" applyAlignment="1">
      <alignment horizontal="left"/>
    </xf>
    <xf numFmtId="0" fontId="7" fillId="0" borderId="0" xfId="0" applyFont="1" applyAlignment="1">
      <alignment horizontal="center"/>
    </xf>
    <xf numFmtId="0" fontId="8" fillId="2" borderId="0" xfId="0" applyFont="1" applyFill="1"/>
    <xf numFmtId="0" fontId="8" fillId="0" borderId="0" xfId="0" applyFont="1" applyAlignment="1">
      <alignment horizontal="center"/>
    </xf>
    <xf numFmtId="0" fontId="9" fillId="0" borderId="0" xfId="0" applyFont="1" applyAlignment="1">
      <alignment horizontal="center"/>
    </xf>
    <xf numFmtId="0" fontId="5" fillId="3" borderId="0" xfId="0" applyFont="1" applyFill="1" applyAlignment="1">
      <alignment wrapText="1"/>
    </xf>
    <xf numFmtId="0" fontId="9" fillId="0" borderId="0" xfId="0" applyFont="1"/>
    <xf numFmtId="164" fontId="8" fillId="2" borderId="0" xfId="0" applyNumberFormat="1" applyFont="1" applyFill="1"/>
    <xf numFmtId="165" fontId="8" fillId="0" borderId="0" xfId="0" applyNumberFormat="1" applyFont="1" applyAlignment="1">
      <alignment horizontal="center"/>
    </xf>
    <xf numFmtId="0" fontId="8" fillId="0" borderId="0" xfId="0" applyFont="1" applyAlignment="1">
      <alignment horizontal="left"/>
    </xf>
    <xf numFmtId="165" fontId="8" fillId="2" borderId="0" xfId="0" applyNumberFormat="1" applyFont="1" applyFill="1" applyAlignment="1">
      <alignment horizontal="center"/>
    </xf>
    <xf numFmtId="0" fontId="0" fillId="0" borderId="0" xfId="0" applyAlignment="1">
      <alignment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5" fillId="3" borderId="0" xfId="0" applyFont="1" applyFill="1" applyAlignment="1">
      <alignment vertical="center"/>
    </xf>
    <xf numFmtId="0" fontId="0" fillId="2" borderId="0" xfId="0" applyFill="1" applyAlignment="1">
      <alignment vertical="center"/>
    </xf>
    <xf numFmtId="0" fontId="11" fillId="3" borderId="0" xfId="0" applyFont="1" applyFill="1" applyAlignment="1">
      <alignment vertical="center" wrapText="1"/>
    </xf>
    <xf numFmtId="0" fontId="10" fillId="0" borderId="0" xfId="0" applyFont="1" applyAlignment="1">
      <alignment vertical="center" wrapText="1"/>
    </xf>
    <xf numFmtId="0" fontId="3" fillId="3" borderId="0" xfId="0" applyFont="1" applyFill="1" applyAlignment="1">
      <alignment vertical="center"/>
    </xf>
    <xf numFmtId="0" fontId="5" fillId="3" borderId="0" xfId="0" applyFont="1" applyFill="1" applyAlignment="1">
      <alignment vertical="center" wrapText="1"/>
    </xf>
    <xf numFmtId="0" fontId="12" fillId="0" borderId="0" xfId="0" applyFont="1" applyAlignment="1">
      <alignment vertical="top"/>
    </xf>
    <xf numFmtId="0" fontId="12" fillId="0" borderId="0" xfId="0" applyFont="1" applyAlignment="1">
      <alignment vertical="top" wrapText="1"/>
    </xf>
    <xf numFmtId="49" fontId="0" fillId="0" borderId="0" xfId="0" applyNumberFormat="1"/>
    <xf numFmtId="0" fontId="12" fillId="0" borderId="0" xfId="0" applyFont="1" applyAlignment="1">
      <alignment horizontal="center"/>
    </xf>
    <xf numFmtId="0" fontId="0" fillId="0" borderId="0" xfId="0" applyAlignment="1">
      <alignment horizontal="center"/>
    </xf>
    <xf numFmtId="0" fontId="9" fillId="0" borderId="0" xfId="0" applyFont="1" applyAlignment="1">
      <alignment vertical="center"/>
    </xf>
    <xf numFmtId="0" fontId="0" fillId="0" borderId="0" xfId="0" applyAlignment="1">
      <alignment horizontal="center" vertical="center"/>
    </xf>
    <xf numFmtId="0" fontId="9"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Tran The Quang" id="{69439B3C-0CF6-4A3E-8D1A-D34F9F8FFC10}" userId="S::tranthe.quang@aurionpro.com::146159f2-3cb7-437e-807f-53e9d898b57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 dT="2026-09-30T15:10:44.00" personId="{69439B3C-0CF6-4A3E-8D1A-D34F9F8FFC10}" id="{841B532B-D67F-44E4-B268-1B9E13782313}">
    <text>UOM = base unit the product is counted in (used by 'Sellable Unit' Quy cách, e.g. Hộp 10 miếng → 10 × miếng). Derived 2026-09-30 from the most common unit in each product's packaging spec on 'Sellable Unit' (source: Merinco-Product - Draft.xlsx). Yellow = inferred from product type because the source had no count unit or only a weight/volume (g, ml) — please confirm.</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9-30T14:45:54.54" personId="{69439B3C-0CF6-4A3E-8D1A-D34F9F8FFC10}" id="{5EAE1409-46FA-4E34-9187-E1E7571B1440}">
    <text>Source: Merinco-Product - Draft.xlsx, sheet 'Product-Basic Info' A1:L556 (name col A, short name B, Phân loại E), 555 rows, shared by the Draft workbook's Excel session on 2026-09-30. Mã sản phẩm assigned by matching product names (no shared code). Kích cỡ / Màu sắc / Dung tích-Khối lượng / Quy cách were split out of Phân loại (gốc) by Claude; colors 'xanh đậm/xanh nhạt' taken from the source name. Yellow Mã sản phẩm = duplicate product names in Product tab or weak match — review. Changes 2026-09-30: removed Quy cách column; deduplicated on Mã sản phẩm + Kích cỡ + Màu sắc + Dung tích (555→430 rows; merged source rows listed in Dòng nguồn); dropped pack-only blank rows for products with real variants; trimmed extra spaces. Standardized 2026-09-30: dimensions without spaces and with units on every side (e.g. 3mmx75mm, 10cmx10cmx0.5cm); bare catheter/Silbroncho sizes → Fr, other bare sizes → 'Số N'; ∅→Ø; volume units ml/g/L (cc→ml, lít→L); new column Kiểu/Mẫu for style/side/model (Vớ gối/đùi, Bên phải/trái, Mẫu 7805/7806, Hỗn hợp 4 size).</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9-30T15:08:17.41" personId="{69439B3C-0CF6-4A3E-8D1A-D34F9F8FFC10}" id="{F26F9F79-970F-47BE-9E1B-A9B6E5807E38}">
    <text>Source: Merinco-Product - Draft.xlsx, sheet 'Product-Basic Info' (retail_units.csv shared by the Draft workbook's Excel session), 555 rows, retrieved 2026-09-30. Uploaded file / shared file; not a query. One row per sellable unit = variant + packaging; duplicates (same Mã biến thể + Quy cách + Đơn vị bán lẻ) merged → 457 rows, merged source rows listed in Dòng nguồn. Mã biến thể assigned by matching Dòng nguồn to 'Product Variant'. Yellow = unit/packaging missing in source.</text>
  </threadedComment>
  <threadedComment ref="J1" dT="2026-09-30T15:34:40.81" personId="{69439B3C-0CF6-4A3E-8D1A-D34F9F8FFC10}" id="{2F5D94EA-6A60-474B-B6BA-2BF10AE3C954}">
    <text>Source: Merinco-Product - Draft.xlsx, sheet 'Product' A2:Y559 (col G 'Giá', col E 'Giá sản phẩm'), 558 rows, shared as prices.csv by the Draft workbook's Excel session, 2026-09-30. Matched to Sellable Unit through 'Product-Basic Info' row (Dòng nguồn). Rule: use Giá (variant price) if present, else Giá sản phẩm (product price). Yellow = no price, or several different prices in merged source rows — please check. 'khớp theo tên' = matched on unique product name only.</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6-09-30T15:30:28.81" personId="{69439B3C-0CF6-4A3E-8D1A-D34F9F8FFC10}" id="{79951791-E147-4BD5-B15A-C851B23A27D6}">
    <text>Source: gift/“tặng kèm” text found in 'Sellable Unit' Quy cách and Tên sản phẩm (nguồn) (from Merinco-Product - Draft.xlsx), extracted 2026-09-30; row numbers in column O. One row per gift line; CAMP-003 has 2 gift lines. Yellow: H2 (SPO2 meter — 00178 iMedicare or 00184 Jumper?), H3 (Mặt nạ thở oxy assumed PRODUCT-00114 Bornsun), L:M dates to fill.</text>
  </threadedComment>
</ThreadedComments>
</file>

<file path=xl/threadedComments/threadedComment5.xml><?xml version="1.0" encoding="utf-8"?>
<ThreadedComments xmlns="http://schemas.microsoft.com/office/spreadsheetml/2018/threadedcomments" xmlns:x="http://schemas.openxmlformats.org/spreadsheetml/2006/main">
  <threadedComment ref="I1" dT="2026-10-01T09:52:21.15" personId="{69439B3C-0CF6-4A3E-8D1A-D34F9F8FFC10}" id="{8C78694C-5479-435A-A547-54E70460DA92}">
    <text>Nguồn: kiến thức lâm sàng/sản phẩm phổ biến, tổng hợp bởi Claude – cần dược sĩ/bác sĩ xác nhận trước khi công bố.</text>
  </threadedComment>
  <threadedComment ref="H153" dT="2026-10-01T09:48:25.48" personId="{69439B3C-0CF6-4A3E-8D1A-D34F9F8FFC10}" id="{3530838E-0362-4C8E-B9DF-8F35AD736D64}">
    <text>Nguồn: dữ liệu 'Thông tin bổ sung' trên sheet Product Variant</text>
  </threadedComment>
  <threadedComment ref="H157" dT="2026-10-01T09:48:25.49" personId="{69439B3C-0CF6-4A3E-8D1A-D34F9F8FFC10}" id="{1259B1D4-C491-4CFA-96D5-B79FBD7C8BB4}">
    <text>Nguồn: dữ liệu 'Thông tin bổ sung' trên sheet Product Variant</text>
  </threadedComment>
  <threadedComment ref="H160" dT="2026-10-01T09:48:25.49" personId="{69439B3C-0CF6-4A3E-8D1A-D34F9F8FFC10}" id="{AB29BE5A-5A42-47EB-9630-C285015F2CD4}">
    <text>Nguồn: dữ liệu 'Thông tin bổ sung' trên sheet Product Variant</text>
  </threadedComment>
  <threadedComment ref="H163" dT="2026-10-01T09:48:25.49" personId="{69439B3C-0CF6-4A3E-8D1A-D34F9F8FFC10}" id="{9DFCD1CF-6195-4CB8-B7C5-2E2C936A4524}">
    <text>Nguồn: dữ liệu 'Thông tin bổ sung' trên sheet Product Variant</text>
  </threadedComment>
  <threadedComment ref="H188" dT="2026-10-01T09:48:25.50" personId="{69439B3C-0CF6-4A3E-8D1A-D34F9F8FFC10}" id="{991CA1EF-81E5-4556-8236-B46C6F924A37}">
    <text>Hướng dẫn chung (kiến thức lâm sàng phổ biến) – cần bác sĩ xác nhận</text>
  </threadedComment>
  <threadedComment ref="H192" dT="2026-10-01T09:48:25.50" personId="{69439B3C-0CF6-4A3E-8D1A-D34F9F8FFC10}" id="{0AEA4D66-9531-46A6-AF0D-39DECF666F6C}">
    <text>Nguồn: dữ liệu 'Thông tin bổ sung' trên sheet Product Variant</text>
  </threadedComment>
  <threadedComment ref="H199" dT="2026-10-01T09:48:25.50" personId="{69439B3C-0CF6-4A3E-8D1A-D34F9F8FFC10}" id="{005EC4A4-1933-45CD-AF0E-30E86DE9D5B4}">
    <text>Nguồn: dữ liệu 'Thông tin bổ sung' trên sheet Product Variant</text>
  </threadedComment>
  <threadedComment ref="H202" dT="2026-10-01T09:48:25.50" personId="{69439B3C-0CF6-4A3E-8D1A-D34F9F8FFC10}" id="{ABF313FC-369E-435C-9FE2-1FEB794B96C4}">
    <text>Nguồn: dữ liệu 'Thông tin bổ sung' trên sheet Product Variant</text>
  </threadedComment>
  <threadedComment ref="H206" dT="2026-10-01T09:48:25.50" personId="{69439B3C-0CF6-4A3E-8D1A-D34F9F8FFC10}" id="{EB79278F-1B94-4470-B053-C43E21538975}">
    <text>Nguồn: dữ liệu 'Thông tin bổ sung' trên sheet Product Variant</text>
  </threadedComment>
  <threadedComment ref="H208" dT="2026-10-01T09:48:25.50" personId="{69439B3C-0CF6-4A3E-8D1A-D34F9F8FFC10}" id="{2B97D785-A7FC-4B2D-8D7A-76B80A1C17E4}">
    <text>Nguồn: dữ liệu 'Thông tin bổ sung' trên sheet Product Variant</text>
  </threadedComment>
  <threadedComment ref="H306" dT="2026-10-01T09:48:25.50" personId="{69439B3C-0CF6-4A3E-8D1A-D34F9F8FFC10}" id="{B661E62A-113B-423C-81B2-7DB66352BEFE}">
    <text>Source: Laryngeal mask sizing by weight (manufacturer recommendation cited in), https://www.sciencedirect.com/science/article/pii/S1726490114001312 ; https://clinicaltrials.gov/study/NCT04618926</text>
  </threadedComment>
  <threadedComment ref="H310" dT="2026-10-01T09:48:25.51" personId="{69439B3C-0CF6-4A3E-8D1A-D34F9F8FFC10}" id="{CFE7FCCA-42D3-419B-903E-0A7378941E0C}">
    <text>Source: Laryngeal mask sizing by weight (manufacturer recommendation cited in), https://www.sciencedirect.com/science/article/pii/S1726490114001312 ; https://clinicaltrials.gov/study/NCT04618926</text>
  </threadedComment>
  <threadedComment ref="H314" dT="2026-10-01T09:48:25.51" personId="{69439B3C-0CF6-4A3E-8D1A-D34F9F8FFC10}" id="{8317EB04-53E4-4C7F-B3BD-F154088E31EC}">
    <text>Nguồn: dữ liệu 'Thông tin bổ sung' trên sheet Product Variant</text>
  </threadedComment>
  <threadedComment ref="H317" dT="2026-10-01T09:48:25.51" personId="{69439B3C-0CF6-4A3E-8D1A-D34F9F8FFC10}" id="{65106869-57A9-4831-B43D-0B0185519640}">
    <text>Nguồn: dữ liệu 'Thông tin bổ sung' trên sheet Product Variant</text>
  </threadedComment>
  <threadedComment ref="H320" dT="2026-10-01T09:48:25.51" personId="{69439B3C-0CF6-4A3E-8D1A-D34F9F8FFC10}" id="{DC1A8988-E455-4BDB-88C1-64F976D96978}">
    <text>Source: Suction catheter sizing, https://edaochi.com/en/blog/suction-catheter-sizes-types-guide/ ; https://respiratory-therapy.com/department-management/clinical/10-considerations-for-endotracheal-suctioning/</text>
  </threadedComment>
  <threadedComment ref="H322" dT="2026-10-01T09:48:25.51" personId="{69439B3C-0CF6-4A3E-8D1A-D34F9F8FFC10}" id="{4EC594C7-78F0-46C4-8800-87E6E09B9B72}">
    <text>Hướng dẫn chung (kiến thức lâm sàng phổ biến) – cần bác sĩ xác nhận</text>
  </threadedComment>
  <threadedComment ref="H326" dT="2026-10-01T09:48:25.51" personId="{69439B3C-0CF6-4A3E-8D1A-D34F9F8FFC10}" id="{144E7316-F75A-4BE0-B518-D504BCDFD451}">
    <text>Nguồn: dữ liệu 'Thông tin bổ sung' trên sheet Product Variant</text>
  </threadedComment>
  <threadedComment ref="H331" dT="2026-10-01T09:48:25.51" personId="{69439B3C-0CF6-4A3E-8D1A-D34F9F8FFC10}" id="{42527FF3-9BDD-4BB9-90A5-85944229F867}">
    <text>Nguồn: dữ liệu 'Thông tin bổ sung' trên sheet Product Variant</text>
  </threadedComment>
  <threadedComment ref="H336" dT="2026-10-01T09:48:25.51" personId="{69439B3C-0CF6-4A3E-8D1A-D34F9F8FFC10}" id="{3FA422F7-E6CA-4DCA-9329-21CB911B4703}">
    <text>Nguồn: dữ liệu 'Thông tin bổ sung' trên sheet Product Variant</text>
  </threadedComment>
  <threadedComment ref="H338" dT="2026-10-01T09:48:25.51" personId="{69439B3C-0CF6-4A3E-8D1A-D34F9F8FFC10}" id="{F2C49C78-0F31-44BF-B8DB-885E2503CBCC}">
    <text>Nguồn: dữ liệu 'Thông tin bổ sung' trên sheet Product Variant</text>
  </threadedComment>
  <threadedComment ref="H342" dT="2026-10-01T09:48:25.51" personId="{69439B3C-0CF6-4A3E-8D1A-D34F9F8FFC10}" id="{382F3B3E-45FF-46CB-8C51-0D3282C5E4F7}">
    <text>Hướng dẫn chung (kiến thức lâm sàng phổ biến) – cần bác sĩ xác nhận</text>
  </threadedComment>
  <threadedComment ref="H347" dT="2026-10-01T09:48:25.51" personId="{69439B3C-0CF6-4A3E-8D1A-D34F9F8FFC10}" id="{0C6501F1-A416-4AAF-890C-A0588E0CC6B9}">
    <text>Nguồn: dữ liệu 'Thông tin bổ sung' trên sheet Product Variant</text>
  </threadedComment>
  <threadedComment ref="H349" dT="2026-10-01T09:48:25.51" personId="{69439B3C-0CF6-4A3E-8D1A-D34F9F8FFC10}" id="{B5C5A55B-61F1-4EBD-9E6A-F0481117F057}">
    <text>Source: Suction catheter sizing, https://edaochi.com/en/blog/suction-catheter-sizes-types-guide/ ; https://respiratory-therapy.com/department-management/clinical/10-considerations-for-endotracheal-suctioning/</text>
  </threadedComment>
  <threadedComment ref="H351" dT="2026-10-01T09:48:25.52" personId="{69439B3C-0CF6-4A3E-8D1A-D34F9F8FFC10}" id="{06403664-207F-4DEE-A58F-F3E21AF0154D}">
    <text>Source: Suction catheter sizing, https://edaochi.com/en/blog/suction-catheter-sizes-types-guide/ ; https://respiratory-therapy.com/department-management/clinical/10-considerations-for-endotracheal-suctioning/</text>
  </threadedComment>
  <threadedComment ref="H356" dT="2026-10-01T09:48:25.52" personId="{69439B3C-0CF6-4A3E-8D1A-D34F9F8FFC10}" id="{606F97CE-45B7-46F4-9A65-7C1E7486B180}">
    <text>Nguồn: dữ liệu 'Thông tin bổ sung' trên sheet Product Variant</text>
  </threadedComment>
  <threadedComment ref="H372" dT="2026-10-01T09:48:25.52" personId="{69439B3C-0CF6-4A3E-8D1A-D34F9F8FFC10}" id="{2F81D823-73BE-4F59-9D81-64F64B176137}">
    <text>Nguồn: dữ liệu 'Thông tin bổ sung' trên sheet Product Variant</text>
  </threadedComment>
  <threadedComment ref="H375" dT="2026-10-01T09:48:25.52" personId="{69439B3C-0CF6-4A3E-8D1A-D34F9F8FFC10}" id="{1E575930-F987-4D8F-8F8A-F843ECAE5411}">
    <text>Hướng dẫn chung (kiến thức lâm sàng phổ biến) – cần bác sĩ xác nhận</text>
  </threadedComment>
  <threadedComment ref="H378" dT="2026-10-01T09:48:25.52" personId="{69439B3C-0CF6-4A3E-8D1A-D34F9F8FFC10}" id="{0C943626-7CAA-4B04-A640-B715CF9F74D8}">
    <text>Hướng dẫn chung (kiến thức lâm sàng phổ biến) – cần bác sĩ xác nhận</text>
  </threadedComment>
  <threadedComment ref="H382" dT="2026-10-01T09:48:25.52" personId="{69439B3C-0CF6-4A3E-8D1A-D34F9F8FFC10}" id="{B1275FDE-2EBA-4FF4-AD79-943A60F3033F}">
    <text>Nguồn: dữ liệu 'Thông tin bổ sung' trên sheet Product Variant</text>
  </threadedComment>
  <threadedComment ref="H387" dT="2026-10-01T09:48:25.52" personId="{69439B3C-0CF6-4A3E-8D1A-D34F9F8FFC10}" id="{A07FF739-5BBE-44ED-9869-FFE72479039D}">
    <text>Nguồn: dữ liệu 'Thông tin bổ sung' trên sheet Product Variant</text>
  </threadedComment>
  <threadedComment ref="H392" dT="2026-10-01T09:48:25.52" personId="{69439B3C-0CF6-4A3E-8D1A-D34F9F8FFC10}" id="{CFC17D60-14A7-4F6F-837B-2583EFD3F8A3}">
    <text>Nguồn: dữ liệu 'Thông tin bổ sung' trên sheet Product Variant</text>
  </threadedComment>
  <threadedComment ref="H398" dT="2026-10-01T09:48:25.52" personId="{69439B3C-0CF6-4A3E-8D1A-D34F9F8FFC10}" id="{BE71D2B4-448B-41E0-942B-E5762D50FF24}">
    <text>Nguồn: dữ liệu 'Thông tin bổ sung' trên sheet Product Variant</text>
  </threadedComment>
  <threadedComment ref="H402" dT="2026-10-01T09:48:25.52" personId="{69439B3C-0CF6-4A3E-8D1A-D34F9F8FFC10}" id="{ED002C91-21BC-4D0F-A26E-7AA8163C1FF0}">
    <text>Nguồn: dữ liệu 'Thông tin bổ sung' trên sheet Product Variant</text>
  </threadedComment>
  <threadedComment ref="H407" dT="2026-10-01T09:48:25.52" personId="{69439B3C-0CF6-4A3E-8D1A-D34F9F8FFC10}" id="{052C0EDA-C3D7-4473-9748-B471837100E6}">
    <text>Nguồn: dữ liệu 'Thông tin bổ sung' trên sheet Product Variant</text>
  </threadedComment>
  <threadedComment ref="H430" dT="2026-10-01T09:48:25.53" personId="{69439B3C-0CF6-4A3E-8D1A-D34F9F8FFC10}" id="{2D84B106-F2B3-49B5-801D-0719301D1F28}">
    <text>Hướng dẫn chung (kiến thức lâm sàng phổ biến) – cần bác sĩ xác nhận</text>
  </threadedComment>
  <threadedComment ref="H437" dT="2026-10-01T09:48:25.53" personId="{69439B3C-0CF6-4A3E-8D1A-D34F9F8FFC10}" id="{C41ADB2C-142A-48ED-9AE3-15B7333FD238}">
    <text>Nguồn: dữ liệu 'Thông tin bổ sung' trên sheet Product Variant</text>
  </threadedComment>
  <threadedComment ref="H442" dT="2026-10-01T09:48:25.53" personId="{69439B3C-0CF6-4A3E-8D1A-D34F9F8FFC10}" id="{73975BEF-A427-495C-B793-52E6AF076812}">
    <text>Nguồn: dữ liệu 'Thông tin bổ sung' trên sheet Product Variant</text>
  </threadedComment>
  <threadedComment ref="H447" dT="2026-10-01T09:48:25.53" personId="{69439B3C-0CF6-4A3E-8D1A-D34F9F8FFC10}" id="{3D41DA7E-05B3-42C4-8E5E-503E65496E81}">
    <text>Nguồn: dữ liệu 'Thông tin bổ sung' trên sheet Product Variant</text>
  </threadedComment>
  <threadedComment ref="H452" dT="2026-10-01T09:48:25.53" personId="{69439B3C-0CF6-4A3E-8D1A-D34F9F8FFC10}" id="{8F170DA5-ABD1-484E-B7EE-70B2FA21EB4C}">
    <text>Nguồn: dữ liệu 'Thông tin bổ sung' trên sheet Product Variant</text>
  </threadedComment>
  <threadedComment ref="H541" dT="2026-10-01T09:48:25.53" personId="{69439B3C-0CF6-4A3E-8D1A-D34F9F8FFC10}" id="{4EE31996-4E36-4F56-99C3-A56AB78A9548}">
    <text>Source: Foley catheter size guide, https://www.backtable.com/shows/urology/tools/foley-catheter-size-guide ; https://www.liberatormedical.com/catheters/catheter-tips-and-guides/intermittent-catheter-sizing-guide/</text>
  </threadedComment>
  <threadedComment ref="H548" dT="2026-10-01T09:48:25.53" personId="{69439B3C-0CF6-4A3E-8D1A-D34F9F8FFC10}" id="{39D5B964-AE06-4920-B9C5-9126AD3E51CB}">
    <text>Source: Foley catheter size guide, https://www.backtable.com/shows/urology/tools/foley-catheter-size-guide ; https://www.liberatormedical.com/catheters/catheter-tips-and-guides/intermittent-catheter-sizing-guide/</text>
  </threadedComment>
  <threadedComment ref="H553" dT="2026-10-01T09:48:25.53" personId="{69439B3C-0CF6-4A3E-8D1A-D34F9F8FFC10}" id="{BFF82937-320B-47DB-ADD4-34FA2F520DD0}">
    <text>Source: Foley catheter size guide, https://www.backtable.com/shows/urology/tools/foley-catheter-size-guide ; https://www.liberatormedical.com/catheters/catheter-tips-and-guides/intermittent-catheter-sizing-guide/</text>
  </threadedComment>
  <threadedComment ref="H558" dT="2026-10-01T09:48:25.53" personId="{69439B3C-0CF6-4A3E-8D1A-D34F9F8FFC10}" id="{7326296D-B490-400F-86B8-3B235BD1EE22}">
    <text>Source: Foley catheter size guide, https://www.backtable.com/shows/urology/tools/foley-catheter-size-guide ; https://www.liberatormedical.com/catheters/catheter-tips-and-guides/intermittent-catheter-sizing-guide/</text>
  </threadedComment>
  <threadedComment ref="H566" dT="2026-10-01T09:48:25.53" personId="{69439B3C-0CF6-4A3E-8D1A-D34F9F8FFC10}" id="{D75D1B83-B74E-4D89-A5EB-82AA7F514621}">
    <text>Nguồn: dữ liệu 'Thông tin bổ sung' trên sheet Product Variant</text>
  </threadedComment>
  <threadedComment ref="H571" dT="2026-10-01T09:48:25.53" personId="{69439B3C-0CF6-4A3E-8D1A-D34F9F8FFC10}" id="{7073BB20-46F4-4BA4-A2BD-46F3CA2F9127}">
    <text>Source: Foley catheter size guide, https://www.backtable.com/shows/urology/tools/foley-catheter-size-guide ; https://www.liberatormedical.com/catheters/catheter-tips-and-guides/intermittent-catheter-sizing-guide/</text>
  </threadedComment>
  <threadedComment ref="H574" dT="2026-10-01T09:48:25.54" personId="{69439B3C-0CF6-4A3E-8D1A-D34F9F8FFC10}" id="{625E654E-E57F-4348-BF00-CFE1EDFDED34}">
    <text>Source: Foley catheter size guide, https://www.backtable.com/shows/urology/tools/foley-catheter-size-guide ; https://www.liberatormedical.com/catheters/catheter-tips-and-guides/intermittent-catheter-sizing-guide/</text>
  </threadedComment>
  <threadedComment ref="H583" dT="2026-10-01T09:48:25.54" personId="{69439B3C-0CF6-4A3E-8D1A-D34F9F8FFC10}" id="{ABBADFFA-8998-45B9-82DC-C6F9137F46F6}">
    <text>Hướng dẫn chung (kiến thức lâm sàng phổ biến) – cần bác sĩ xác nhận</text>
  </threadedComment>
  <threadedComment ref="H589" dT="2026-10-01T09:48:25.54" personId="{69439B3C-0CF6-4A3E-8D1A-D34F9F8FFC10}" id="{EC712125-CBB1-4B38-A907-1BCA8F400349}">
    <text>Hướng dẫn chung (kiến thức lâm sàng phổ biến) – cần bác sĩ xác nhận</text>
  </threadedComment>
  <threadedComment ref="H594" dT="2026-10-01T09:48:25.54" personId="{69439B3C-0CF6-4A3E-8D1A-D34F9F8FFC10}" id="{A5868653-E1E5-4B2A-8449-F3C236645257}">
    <text>Hướng dẫn chung (kiến thức lâm sàng phổ biến) – cần bác sĩ xác nhận</text>
  </threadedComment>
  <threadedComment ref="H599" dT="2026-10-01T09:48:25.54" personId="{69439B3C-0CF6-4A3E-8D1A-D34F9F8FFC10}" id="{A254601D-1870-4AFF-B8AC-9F4BB847CD3C}">
    <text>Hướng dẫn chung (kiến thức lâm sàng phổ biến) – cần bác sĩ xác nhận</text>
  </threadedComment>
  <threadedComment ref="H609" dT="2026-10-01T09:48:25.54" personId="{69439B3C-0CF6-4A3E-8D1A-D34F9F8FFC10}" id="{8AE94DC3-76EE-4D9B-BBD5-CA5BA7170439}">
    <text>Hướng dẫn chung (kiến thức lâm sàng phổ biến) – cần bác sĩ xác nhận</text>
  </threadedComment>
  <threadedComment ref="H614" dT="2026-10-01T09:48:25.54" personId="{69439B3C-0CF6-4A3E-8D1A-D34F9F8FFC10}" id="{FC90EBC2-6D58-41D5-B332-2225B13BF18B}">
    <text>Hướng dẫn chung (kiến thức lâm sàng phổ biến) – cần bác sĩ xác nhận</text>
  </threadedComment>
  <threadedComment ref="H623" dT="2026-10-01T09:48:25.54" personId="{69439B3C-0CF6-4A3E-8D1A-D34F9F8FFC10}" id="{1E3F880D-AE0A-41C2-ACA4-B72D994C036B}">
    <text>Hướng dẫn chung (kiến thức lâm sàng phổ biến) – cần bác sĩ xác nhận</text>
  </threadedComment>
  <threadedComment ref="H806" dT="2026-10-01T09:48:25.54" personId="{69439B3C-0CF6-4A3E-8D1A-D34F9F8FFC10}" id="{71E76C96-2407-4E27-B60B-3C9B9C71E4F2}">
    <text>Nguồn: dữ liệu 'Thông tin bổ sung' trên sheet Product Variant</text>
  </threadedComment>
  <threadedComment ref="H810" dT="2026-10-01T09:48:25.54" personId="{69439B3C-0CF6-4A3E-8D1A-D34F9F8FFC10}" id="{F88A32D1-7784-4064-84EF-45B9CC10D8F5}">
    <text>Nguồn: dữ liệu 'Thông tin bổ sung' trên sheet Product Variant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51"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BF3F153-0544-4E56-B573-8B69EB1BAA69}">
  <we:reference id="WA200009404" version="1.0.0.8" store="Omex" storeType="OMEX"/>
  <we:alternateReferences>
    <we:reference id="WA200009404" version="1.0.0.8" store="WA200009404" storeType="OMEX"/>
  </we:alternateReferences>
  <we:properties>
    <we:property name="claude.fileId" value="&quot;4673ef25-ff6d-4f30-b3b1-10049ab0d1b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ED1C5-1142-496E-9F03-7CAF2930C494}">
  <dimension ref="A1:D76"/>
  <sheetViews>
    <sheetView workbookViewId="0">
      <selection activeCell="D40" sqref="D40"/>
    </sheetView>
  </sheetViews>
  <sheetFormatPr defaultRowHeight="15" x14ac:dyDescent="0.25"/>
  <cols>
    <col min="1" max="1" width="22.140625" bestFit="1" customWidth="1"/>
    <col min="2" max="2" width="18.28515625" bestFit="1" customWidth="1"/>
    <col min="3" max="3" width="17.140625" bestFit="1" customWidth="1"/>
    <col min="4" max="4" width="92" bestFit="1" customWidth="1"/>
  </cols>
  <sheetData>
    <row r="1" spans="1:4" x14ac:dyDescent="0.25">
      <c r="A1" s="5" t="s">
        <v>561</v>
      </c>
      <c r="B1" s="5" t="s">
        <v>81</v>
      </c>
      <c r="C1" s="5" t="s">
        <v>82</v>
      </c>
      <c r="D1" s="8" t="s">
        <v>812</v>
      </c>
    </row>
    <row r="2" spans="1:4" x14ac:dyDescent="0.25">
      <c r="A2" s="6" t="s">
        <v>2120</v>
      </c>
      <c r="B2" s="3" t="s">
        <v>11</v>
      </c>
      <c r="C2" s="3" t="s">
        <v>13</v>
      </c>
      <c r="D2" t="str">
        <f>"INSERT INTO medical_supply_brand (name, country, code) VALUES ('"&amp;SUBSTITUTE(B2,"'","''")&amp;"', '"&amp;SUBSTITUTE(C2,"'","''")&amp;"', '"&amp;SUBSTITUTE(A2,"'","''")&amp;"');"</f>
        <v>INSERT INTO medical_supply_brand (name, country, code) VALUES ('3M™', 'Mỹ', 'BRAND-001');</v>
      </c>
    </row>
    <row r="3" spans="1:4" x14ac:dyDescent="0.25">
      <c r="A3" s="6" t="s">
        <v>2121</v>
      </c>
      <c r="B3" s="3" t="s">
        <v>16</v>
      </c>
      <c r="C3" s="3" t="s">
        <v>13</v>
      </c>
      <c r="D3" t="str">
        <f t="shared" ref="D3:D66" si="0">"INSERT INTO medical_supply_brand (name, country, code) VALUES ('"&amp;SUBSTITUTE(B3,"'","''")&amp;"', '"&amp;SUBSTITUTE(C3,"'","''")&amp;"', '"&amp;SUBSTITUTE(A3,"'","''")&amp;"');"</f>
        <v>INSERT INTO medical_supply_brand (name, country, code) VALUES ('Abbott', 'Mỹ', 'BRAND-002');</v>
      </c>
    </row>
    <row r="4" spans="1:4" x14ac:dyDescent="0.25">
      <c r="A4" s="6" t="s">
        <v>2122</v>
      </c>
      <c r="B4" s="3" t="s">
        <v>17</v>
      </c>
      <c r="C4" s="3" t="s">
        <v>13</v>
      </c>
      <c r="D4" t="str">
        <f t="shared" si="0"/>
        <v>INSERT INTO medical_supply_brand (name, country, code) VALUES ('Acon', 'Mỹ', 'BRAND-003');</v>
      </c>
    </row>
    <row r="5" spans="1:4" x14ac:dyDescent="0.25">
      <c r="A5" s="6" t="s">
        <v>2123</v>
      </c>
      <c r="B5" s="3" t="s">
        <v>18</v>
      </c>
      <c r="C5" s="3" t="s">
        <v>83</v>
      </c>
      <c r="D5" t="str">
        <f t="shared" si="0"/>
        <v>INSERT INTO medical_supply_brand (name, country, code) VALUES ('Aveflor', 'Cộng hòa Séc', 'BRAND-004');</v>
      </c>
    </row>
    <row r="6" spans="1:4" x14ac:dyDescent="0.25">
      <c r="A6" s="6" t="s">
        <v>2124</v>
      </c>
      <c r="B6" s="3" t="s">
        <v>19</v>
      </c>
      <c r="C6" s="3" t="s">
        <v>84</v>
      </c>
      <c r="D6" t="str">
        <f t="shared" si="0"/>
        <v>INSERT INTO medical_supply_brand (name, country, code) VALUES ('Bicakcilar', 'Thổ Nhĩ Kỳ', 'BRAND-005');</v>
      </c>
    </row>
    <row r="7" spans="1:4" x14ac:dyDescent="0.25">
      <c r="A7" s="6" t="s">
        <v>2125</v>
      </c>
      <c r="B7" s="3" t="s">
        <v>20</v>
      </c>
      <c r="C7" s="3" t="s">
        <v>85</v>
      </c>
      <c r="D7" t="str">
        <f t="shared" si="0"/>
        <v>INSERT INTO medical_supply_brand (name, country, code) VALUES ('Biotek', 'Trung Quốc', 'BRAND-006');</v>
      </c>
    </row>
    <row r="8" spans="1:4" x14ac:dyDescent="0.25">
      <c r="A8" s="6" t="s">
        <v>2126</v>
      </c>
      <c r="B8" s="3" t="s">
        <v>21</v>
      </c>
      <c r="C8" s="3" t="s">
        <v>85</v>
      </c>
      <c r="D8" t="str">
        <f t="shared" si="0"/>
        <v>INSERT INTO medical_supply_brand (name, country, code) VALUES ('Bornsun', 'Trung Quốc', 'BRAND-007');</v>
      </c>
    </row>
    <row r="9" spans="1:4" x14ac:dyDescent="0.25">
      <c r="A9" s="6" t="s">
        <v>2127</v>
      </c>
      <c r="B9" s="3" t="s">
        <v>6</v>
      </c>
      <c r="C9" s="3" t="s">
        <v>7</v>
      </c>
      <c r="D9" t="str">
        <f t="shared" si="0"/>
        <v>INSERT INTO medical_supply_brand (name, country, code) VALUES ('CODY', 'Hàn Quốc', 'BRAND-008');</v>
      </c>
    </row>
    <row r="10" spans="1:4" x14ac:dyDescent="0.25">
      <c r="A10" s="6" t="s">
        <v>2128</v>
      </c>
      <c r="B10" s="3" t="s">
        <v>22</v>
      </c>
      <c r="C10" s="3" t="s">
        <v>91</v>
      </c>
      <c r="D10" t="str">
        <f t="shared" si="0"/>
        <v>INSERT INTO medical_supply_brand (name, country, code) VALUES ('CODY Health', 'Đài Loan', 'BRAND-009');</v>
      </c>
    </row>
    <row r="11" spans="1:4" x14ac:dyDescent="0.25">
      <c r="A11" s="6" t="s">
        <v>2129</v>
      </c>
      <c r="B11" s="3" t="s">
        <v>14</v>
      </c>
      <c r="C11" s="3" t="s">
        <v>15</v>
      </c>
      <c r="D11" t="str">
        <f t="shared" si="0"/>
        <v>INSERT INTO medical_supply_brand (name, country, code) VALUES ('Coloplast', 'Đan Mạch', 'BRAND-010');</v>
      </c>
    </row>
    <row r="12" spans="1:4" x14ac:dyDescent="0.25">
      <c r="A12" s="6" t="s">
        <v>2130</v>
      </c>
      <c r="B12" s="3" t="s">
        <v>23</v>
      </c>
      <c r="C12" s="3" t="s">
        <v>115</v>
      </c>
      <c r="D12" t="str">
        <f t="shared" si="0"/>
        <v>INSERT INTO medical_supply_brand (name, country, code) VALUES ('ConvaTec', 'Cộng hòa Dominica', 'BRAND-011');</v>
      </c>
    </row>
    <row r="13" spans="1:4" x14ac:dyDescent="0.25">
      <c r="A13" s="6" t="s">
        <v>2131</v>
      </c>
      <c r="B13" s="3" t="s">
        <v>24</v>
      </c>
      <c r="C13" s="3" t="s">
        <v>13</v>
      </c>
      <c r="D13" t="str">
        <f t="shared" si="0"/>
        <v>INSERT INTO medical_supply_brand (name, country, code) VALUES ('Covidien', 'Mỹ', 'BRAND-012');</v>
      </c>
    </row>
    <row r="14" spans="1:4" x14ac:dyDescent="0.25">
      <c r="A14" s="6" t="s">
        <v>2132</v>
      </c>
      <c r="B14" s="3" t="s">
        <v>25</v>
      </c>
      <c r="C14" s="3" t="s">
        <v>4</v>
      </c>
      <c r="D14" t="str">
        <f t="shared" si="0"/>
        <v>INSERT INTO medical_supply_brand (name, country, code) VALUES ('Create Medic', 'Nhật Bản', 'BRAND-013');</v>
      </c>
    </row>
    <row r="15" spans="1:4" x14ac:dyDescent="0.25">
      <c r="A15" s="6" t="s">
        <v>2133</v>
      </c>
      <c r="B15" s="3" t="s">
        <v>26</v>
      </c>
      <c r="C15" s="3" t="s">
        <v>7</v>
      </c>
      <c r="D15" t="str">
        <f t="shared" si="0"/>
        <v>INSERT INTO medical_supply_brand (name, country, code) VALUES ('Daesang Wellife', 'Hàn Quốc', 'BRAND-014');</v>
      </c>
    </row>
    <row r="16" spans="1:4" x14ac:dyDescent="0.25">
      <c r="A16" s="6" t="s">
        <v>2134</v>
      </c>
      <c r="B16" s="3" t="s">
        <v>27</v>
      </c>
      <c r="C16" s="3" t="s">
        <v>83</v>
      </c>
      <c r="D16" t="str">
        <f t="shared" si="0"/>
        <v>INSERT INTO medical_supply_brand (name, country, code) VALUES ('Dr.Muller Pharma', 'Cộng hòa Séc', 'BRAND-015');</v>
      </c>
    </row>
    <row r="17" spans="1:4" x14ac:dyDescent="0.25">
      <c r="A17" s="6" t="s">
        <v>2135</v>
      </c>
      <c r="B17" s="3" t="s">
        <v>28</v>
      </c>
      <c r="C17" s="4" t="s">
        <v>91</v>
      </c>
      <c r="D17" t="str">
        <f t="shared" si="0"/>
        <v>INSERT INTO medical_supply_brand (name, country, code) VALUES ('Fortune', 'Đài Loan', 'BRAND-016');</v>
      </c>
    </row>
    <row r="18" spans="1:4" x14ac:dyDescent="0.25">
      <c r="A18" s="6" t="s">
        <v>2136</v>
      </c>
      <c r="B18" s="3" t="s">
        <v>9</v>
      </c>
      <c r="C18" s="3" t="s">
        <v>10</v>
      </c>
      <c r="D18" t="str">
        <f t="shared" si="0"/>
        <v>INSERT INTO medical_supply_brand (name, country, code) VALUES ('Frewi', 'Đức', 'BRAND-017');</v>
      </c>
    </row>
    <row r="19" spans="1:4" x14ac:dyDescent="0.25">
      <c r="A19" s="6" t="s">
        <v>2137</v>
      </c>
      <c r="B19" s="3" t="s">
        <v>29</v>
      </c>
      <c r="C19" s="3" t="s">
        <v>4</v>
      </c>
      <c r="D19" t="str">
        <f t="shared" si="0"/>
        <v>INSERT INTO medical_supply_brand (name, country, code) VALUES ('Fuji System', 'Nhật Bản', 'BRAND-018');</v>
      </c>
    </row>
    <row r="20" spans="1:4" x14ac:dyDescent="0.25">
      <c r="A20" s="6" t="s">
        <v>2138</v>
      </c>
      <c r="B20" s="3" t="s">
        <v>0</v>
      </c>
      <c r="C20" s="3" t="s">
        <v>13</v>
      </c>
      <c r="D20" t="str">
        <f t="shared" si="0"/>
        <v>INSERT INTO medical_supply_brand (name, country, code) VALUES ('GE Healthcare', 'Mỹ', 'BRAND-019');</v>
      </c>
    </row>
    <row r="21" spans="1:4" x14ac:dyDescent="0.25">
      <c r="A21" s="6" t="s">
        <v>2139</v>
      </c>
      <c r="B21" s="3" t="s">
        <v>30</v>
      </c>
      <c r="C21" s="3" t="s">
        <v>85</v>
      </c>
      <c r="D21" t="str">
        <f t="shared" si="0"/>
        <v>INSERT INTO medical_supply_brand (name, country, code) VALUES ('Greetmed', 'Trung Quốc', 'BRAND-020');</v>
      </c>
    </row>
    <row r="22" spans="1:4" x14ac:dyDescent="0.25">
      <c r="A22" s="6" t="s">
        <v>2140</v>
      </c>
      <c r="B22" s="3" t="s">
        <v>31</v>
      </c>
      <c r="C22" s="3" t="s">
        <v>85</v>
      </c>
      <c r="D22" t="str">
        <f t="shared" si="0"/>
        <v>INSERT INTO medical_supply_brand (name, country, code) VALUES ('HangZhou', 'Trung Quốc', 'BRAND-021');</v>
      </c>
    </row>
    <row r="23" spans="1:4" x14ac:dyDescent="0.25">
      <c r="A23" s="6" t="s">
        <v>2141</v>
      </c>
      <c r="B23" s="3" t="s">
        <v>32</v>
      </c>
      <c r="C23" s="3" t="s">
        <v>86</v>
      </c>
      <c r="D23" t="str">
        <f t="shared" si="0"/>
        <v>INSERT INTO medical_supply_brand (name, country, code) VALUES ('Hapaku', 'Việt Nam', 'BRAND-022');</v>
      </c>
    </row>
    <row r="24" spans="1:4" x14ac:dyDescent="0.25">
      <c r="A24" s="6" t="s">
        <v>2142</v>
      </c>
      <c r="B24" s="3" t="s">
        <v>33</v>
      </c>
      <c r="C24" s="3" t="s">
        <v>86</v>
      </c>
      <c r="D24" t="str">
        <f t="shared" si="0"/>
        <v>INSERT INTO medical_supply_brand (name, country, code) VALUES ('Hoàng Sơn', 'Việt Nam', 'BRAND-023');</v>
      </c>
    </row>
    <row r="25" spans="1:4" x14ac:dyDescent="0.25">
      <c r="A25" s="6" t="s">
        <v>2143</v>
      </c>
      <c r="B25" s="3" t="s">
        <v>12</v>
      </c>
      <c r="C25" s="3" t="s">
        <v>13</v>
      </c>
      <c r="D25" t="str">
        <f t="shared" si="0"/>
        <v>INSERT INTO medical_supply_brand (name, country, code) VALUES ('Hollister', 'Mỹ', 'BRAND-024');</v>
      </c>
    </row>
    <row r="26" spans="1:4" x14ac:dyDescent="0.25">
      <c r="A26" s="6" t="s">
        <v>2144</v>
      </c>
      <c r="B26" s="3" t="s">
        <v>34</v>
      </c>
      <c r="C26" s="4" t="s">
        <v>86</v>
      </c>
      <c r="D26" t="str">
        <f t="shared" si="0"/>
        <v>INSERT INTO medical_supply_brand (name, country, code) VALUES ('ICM', 'Việt Nam', 'BRAND-025');</v>
      </c>
    </row>
    <row r="27" spans="1:4" x14ac:dyDescent="0.25">
      <c r="A27" s="6" t="s">
        <v>2145</v>
      </c>
      <c r="B27" s="3" t="s">
        <v>35</v>
      </c>
      <c r="C27" s="3" t="s">
        <v>116</v>
      </c>
      <c r="D27" t="str">
        <f t="shared" si="0"/>
        <v>INSERT INTO medical_supply_brand (name, country, code) VALUES ('ICU Medical', 'Mexico', 'BRAND-026');</v>
      </c>
    </row>
    <row r="28" spans="1:4" x14ac:dyDescent="0.25">
      <c r="A28" s="6" t="s">
        <v>2146</v>
      </c>
      <c r="B28" s="3" t="s">
        <v>37</v>
      </c>
      <c r="C28" s="4" t="s">
        <v>90</v>
      </c>
      <c r="D28" t="str">
        <f t="shared" si="0"/>
        <v>INSERT INTO medical_supply_brand (name, country, code) VALUES ('Idealcare', 'Malaysia', 'BRAND-027');</v>
      </c>
    </row>
    <row r="29" spans="1:4" x14ac:dyDescent="0.25">
      <c r="A29" s="6" t="s">
        <v>2147</v>
      </c>
      <c r="B29" s="3" t="s">
        <v>8</v>
      </c>
      <c r="C29" s="3" t="s">
        <v>114</v>
      </c>
      <c r="D29" t="str">
        <f t="shared" si="0"/>
        <v>INSERT INTO medical_supply_brand (name, country, code) VALUES ('iMedicare', 'Singapore', 'BRAND-028');</v>
      </c>
    </row>
    <row r="30" spans="1:4" x14ac:dyDescent="0.25">
      <c r="A30" s="6" t="s">
        <v>2148</v>
      </c>
      <c r="B30" s="3" t="s">
        <v>36</v>
      </c>
      <c r="C30" s="4" t="s">
        <v>91</v>
      </c>
      <c r="D30" t="str">
        <f t="shared" si="0"/>
        <v>INSERT INTO medical_supply_brand (name, country, code) VALUES ('IN4 Care', 'Đài Loan', 'BRAND-029');</v>
      </c>
    </row>
    <row r="31" spans="1:4" x14ac:dyDescent="0.25">
      <c r="A31" s="6" t="s">
        <v>2149</v>
      </c>
      <c r="B31" s="3" t="s">
        <v>38</v>
      </c>
      <c r="C31" s="3" t="s">
        <v>85</v>
      </c>
      <c r="D31" t="str">
        <f t="shared" si="0"/>
        <v>INSERT INTO medical_supply_brand (name, country, code) VALUES ('Jumper', 'Trung Quốc', 'BRAND-030');</v>
      </c>
    </row>
    <row r="32" spans="1:4" x14ac:dyDescent="0.25">
      <c r="A32" s="6" t="s">
        <v>2150</v>
      </c>
      <c r="B32" s="3" t="s">
        <v>39</v>
      </c>
      <c r="C32" s="3"/>
      <c r="D32" t="str">
        <f t="shared" si="0"/>
        <v>INSERT INTO medical_supply_brand (name, country, code) VALUES ('Khác', '', 'BRAND-031');</v>
      </c>
    </row>
    <row r="33" spans="1:4" x14ac:dyDescent="0.25">
      <c r="A33" s="6" t="s">
        <v>2151</v>
      </c>
      <c r="B33" s="3" t="s">
        <v>40</v>
      </c>
      <c r="C33" s="3" t="s">
        <v>85</v>
      </c>
      <c r="D33" t="str">
        <f t="shared" si="0"/>
        <v>INSERT INTO medical_supply_brand (name, country, code) VALUES ('Lepu Medical', 'Trung Quốc', 'BRAND-032');</v>
      </c>
    </row>
    <row r="34" spans="1:4" x14ac:dyDescent="0.25">
      <c r="A34" s="6" t="s">
        <v>2152</v>
      </c>
      <c r="B34" s="3" t="s">
        <v>41</v>
      </c>
      <c r="C34" s="3" t="s">
        <v>10</v>
      </c>
      <c r="D34" t="str">
        <f t="shared" si="0"/>
        <v>INSERT INTO medical_supply_brand (name, country, code) VALUES ('Lohmann-Rauscher', 'Đức', 'BRAND-033');</v>
      </c>
    </row>
    <row r="35" spans="1:4" x14ac:dyDescent="0.25">
      <c r="A35" s="6" t="s">
        <v>2153</v>
      </c>
      <c r="B35" s="3" t="s">
        <v>42</v>
      </c>
      <c r="C35" s="4" t="s">
        <v>85</v>
      </c>
      <c r="D35" t="str">
        <f t="shared" si="0"/>
        <v>INSERT INTO medical_supply_brand (name, country, code) VALUES ('Long-term Health', 'Trung Quốc', 'BRAND-034');</v>
      </c>
    </row>
    <row r="36" spans="1:4" x14ac:dyDescent="0.25">
      <c r="A36" s="6" t="s">
        <v>2154</v>
      </c>
      <c r="B36" s="3" t="s">
        <v>43</v>
      </c>
      <c r="C36" s="3" t="s">
        <v>13</v>
      </c>
      <c r="D36" t="str">
        <f t="shared" si="0"/>
        <v>INSERT INTO medical_supply_brand (name, country, code) VALUES ('Lucass', 'Mỹ', 'BRAND-035');</v>
      </c>
    </row>
    <row r="37" spans="1:4" x14ac:dyDescent="0.25">
      <c r="A37" s="6" t="s">
        <v>2155</v>
      </c>
      <c r="B37" s="3" t="s">
        <v>44</v>
      </c>
      <c r="C37" s="4" t="s">
        <v>85</v>
      </c>
      <c r="D37" t="str">
        <f t="shared" si="0"/>
        <v>INSERT INTO medical_supply_brand (name, country, code) VALUES ('Medis Medical', 'Trung Quốc', 'BRAND-036');</v>
      </c>
    </row>
    <row r="38" spans="1:4" x14ac:dyDescent="0.25">
      <c r="A38" s="6" t="s">
        <v>2156</v>
      </c>
      <c r="B38" s="3" t="s">
        <v>45</v>
      </c>
      <c r="C38" s="4" t="s">
        <v>84</v>
      </c>
      <c r="D38" t="str">
        <f t="shared" si="0"/>
        <v>INSERT INTO medical_supply_brand (name, country, code) VALUES ('Meditera', 'Thổ Nhĩ Kỳ', 'BRAND-037');</v>
      </c>
    </row>
    <row r="39" spans="1:4" x14ac:dyDescent="0.25">
      <c r="A39" s="6" t="s">
        <v>2157</v>
      </c>
      <c r="B39" s="3" t="s">
        <v>46</v>
      </c>
      <c r="C39" s="3" t="s">
        <v>13</v>
      </c>
      <c r="D39" t="str">
        <f t="shared" si="0"/>
        <v>INSERT INTO medical_supply_brand (name, country, code) VALUES ('Medtronic', 'Mỹ', 'BRAND-038');</v>
      </c>
    </row>
    <row r="40" spans="1:4" x14ac:dyDescent="0.25">
      <c r="A40" s="6" t="s">
        <v>2158</v>
      </c>
      <c r="B40" s="3" t="s">
        <v>47</v>
      </c>
      <c r="C40" s="3" t="s">
        <v>86</v>
      </c>
      <c r="D40" t="str">
        <f t="shared" si="0"/>
        <v>INSERT INTO medical_supply_brand (name, country, code) VALUES ('Mepro', 'Việt Nam', 'BRAND-039');</v>
      </c>
    </row>
    <row r="41" spans="1:4" x14ac:dyDescent="0.25">
      <c r="A41" s="6" t="s">
        <v>2159</v>
      </c>
      <c r="B41" s="3" t="s">
        <v>3</v>
      </c>
      <c r="C41" s="3" t="s">
        <v>4</v>
      </c>
      <c r="D41" t="str">
        <f t="shared" si="0"/>
        <v>INSERT INTO medical_supply_brand (name, country, code) VALUES ('MERA', 'Nhật Bản', 'BRAND-040');</v>
      </c>
    </row>
    <row r="42" spans="1:4" x14ac:dyDescent="0.25">
      <c r="A42" s="6" t="s">
        <v>2160</v>
      </c>
      <c r="B42" s="3" t="s">
        <v>48</v>
      </c>
      <c r="C42" s="3" t="s">
        <v>4</v>
      </c>
      <c r="D42" t="str">
        <f t="shared" si="0"/>
        <v>INSERT INTO medical_supply_brand (name, country, code) VALUES ('Mera Senko', 'Nhật Bản', 'BRAND-041');</v>
      </c>
    </row>
    <row r="43" spans="1:4" x14ac:dyDescent="0.25">
      <c r="A43" s="6" t="s">
        <v>2161</v>
      </c>
      <c r="B43" s="3" t="s">
        <v>49</v>
      </c>
      <c r="C43" s="3" t="s">
        <v>4</v>
      </c>
      <c r="D43" t="str">
        <f t="shared" si="0"/>
        <v>INSERT INTO medical_supply_brand (name, country, code) VALUES ('Merisocks', 'Nhật Bản', 'BRAND-042');</v>
      </c>
    </row>
    <row r="44" spans="1:4" x14ac:dyDescent="0.25">
      <c r="A44" s="6" t="s">
        <v>2162</v>
      </c>
      <c r="B44" s="3" t="s">
        <v>50</v>
      </c>
      <c r="C44" s="3" t="s">
        <v>85</v>
      </c>
      <c r="D44" t="str">
        <f t="shared" si="0"/>
        <v>INSERT INTO medical_supply_brand (name, country, code) VALUES ('MiKiDo', 'Trung Quốc', 'BRAND-043');</v>
      </c>
    </row>
    <row r="45" spans="1:4" x14ac:dyDescent="0.25">
      <c r="A45" s="6" t="s">
        <v>2163</v>
      </c>
      <c r="B45" s="3" t="s">
        <v>51</v>
      </c>
      <c r="C45" s="3" t="s">
        <v>87</v>
      </c>
      <c r="D45" t="str">
        <f t="shared" si="0"/>
        <v>INSERT INTO medical_supply_brand (name, country, code) VALUES ('Nutricia', 'Hà Lan', 'BRAND-044');</v>
      </c>
    </row>
    <row r="46" spans="1:4" x14ac:dyDescent="0.25">
      <c r="A46" s="6" t="s">
        <v>2164</v>
      </c>
      <c r="B46" s="3" t="s">
        <v>5</v>
      </c>
      <c r="C46" s="3" t="s">
        <v>4</v>
      </c>
      <c r="D46" t="str">
        <f t="shared" si="0"/>
        <v>INSERT INTO medical_supply_brand (name, country, code) VALUES ('Omron', 'Nhật Bản', 'BRAND-045');</v>
      </c>
    </row>
    <row r="47" spans="1:4" x14ac:dyDescent="0.25">
      <c r="A47" s="6" t="s">
        <v>2165</v>
      </c>
      <c r="B47" s="3" t="s">
        <v>52</v>
      </c>
      <c r="C47" s="3" t="s">
        <v>86</v>
      </c>
      <c r="D47" t="str">
        <f t="shared" si="0"/>
        <v>INSERT INTO medical_supply_brand (name, country, code) VALUES ('Orbe', 'Việt Nam', 'BRAND-046');</v>
      </c>
    </row>
    <row r="48" spans="1:4" x14ac:dyDescent="0.25">
      <c r="A48" s="6" t="s">
        <v>2166</v>
      </c>
      <c r="B48" s="3" t="s">
        <v>53</v>
      </c>
      <c r="C48" s="4" t="s">
        <v>85</v>
      </c>
      <c r="D48" t="str">
        <f t="shared" si="0"/>
        <v>INSERT INTO medical_supply_brand (name, country, code) VALUES ('Ostomy Care', 'Trung Quốc', 'BRAND-047');</v>
      </c>
    </row>
    <row r="49" spans="1:4" x14ac:dyDescent="0.25">
      <c r="A49" s="6" t="s">
        <v>2167</v>
      </c>
      <c r="B49" s="3" t="s">
        <v>54</v>
      </c>
      <c r="C49" s="4" t="s">
        <v>85</v>
      </c>
      <c r="D49" t="str">
        <f t="shared" si="0"/>
        <v>INSERT INTO medical_supply_brand (name, country, code) VALUES ('Owgels', 'Trung Quốc', 'BRAND-048');</v>
      </c>
    </row>
    <row r="50" spans="1:4" x14ac:dyDescent="0.25">
      <c r="A50" s="6" t="s">
        <v>2168</v>
      </c>
      <c r="B50" s="3" t="s">
        <v>55</v>
      </c>
      <c r="C50" s="3" t="s">
        <v>113</v>
      </c>
      <c r="D50" t="str">
        <f t="shared" si="0"/>
        <v>INSERT INTO medical_supply_brand (name, country, code) VALUES ('Pharma', 'Thụy Điển', 'BRAND-049');</v>
      </c>
    </row>
    <row r="51" spans="1:4" x14ac:dyDescent="0.25">
      <c r="A51" s="6" t="s">
        <v>2169</v>
      </c>
      <c r="B51" s="3" t="s">
        <v>56</v>
      </c>
      <c r="C51" s="4" t="s">
        <v>85</v>
      </c>
      <c r="D51" t="str">
        <f t="shared" si="0"/>
        <v>INSERT INTO medical_supply_brand (name, country, code) VALUES ('Pitr Med', 'Trung Quốc', 'BRAND-050');</v>
      </c>
    </row>
    <row r="52" spans="1:4" x14ac:dyDescent="0.25">
      <c r="A52" s="6" t="s">
        <v>2170</v>
      </c>
      <c r="B52" s="3" t="s">
        <v>57</v>
      </c>
      <c r="C52" s="4" t="s">
        <v>85</v>
      </c>
      <c r="D52" t="str">
        <f t="shared" si="0"/>
        <v>INSERT INTO medical_supply_brand (name, country, code) VALUES ('Profit Royal', 'Trung Quốc', 'BRAND-051');</v>
      </c>
    </row>
    <row r="53" spans="1:4" x14ac:dyDescent="0.25">
      <c r="A53" s="6" t="s">
        <v>2171</v>
      </c>
      <c r="B53" s="3" t="s">
        <v>58</v>
      </c>
      <c r="C53" s="3" t="s">
        <v>4</v>
      </c>
      <c r="D53" t="str">
        <f t="shared" si="0"/>
        <v>INSERT INTO medical_supply_brand (name, country, code) VALUES ('Rionet', 'Nhật Bản', 'BRAND-052');</v>
      </c>
    </row>
    <row r="54" spans="1:4" x14ac:dyDescent="0.25">
      <c r="A54" s="6" t="s">
        <v>2172</v>
      </c>
      <c r="B54" s="3" t="s">
        <v>59</v>
      </c>
      <c r="C54" s="3" t="s">
        <v>10</v>
      </c>
      <c r="D54" t="str">
        <f t="shared" si="0"/>
        <v>INSERT INTO medical_supply_brand (name, country, code) VALUES ('Roche', 'Đức', 'BRAND-053');</v>
      </c>
    </row>
    <row r="55" spans="1:4" x14ac:dyDescent="0.25">
      <c r="A55" s="6" t="s">
        <v>2173</v>
      </c>
      <c r="B55" s="3" t="s">
        <v>60</v>
      </c>
      <c r="C55" s="4" t="s">
        <v>85</v>
      </c>
      <c r="D55" t="str">
        <f t="shared" si="0"/>
        <v>INSERT INTO medical_supply_brand (name, country, code) VALUES ('SeaSight', 'Trung Quốc', 'BRAND-054');</v>
      </c>
    </row>
    <row r="56" spans="1:4" x14ac:dyDescent="0.25">
      <c r="A56" s="6" t="s">
        <v>2174</v>
      </c>
      <c r="B56" s="3" t="s">
        <v>61</v>
      </c>
      <c r="C56" s="3" t="s">
        <v>85</v>
      </c>
      <c r="D56" t="str">
        <f t="shared" si="0"/>
        <v>INSERT INTO medical_supply_brand (name, country, code) VALUES ('Sinocare', 'Trung Quốc', 'BRAND-055');</v>
      </c>
    </row>
    <row r="57" spans="1:4" x14ac:dyDescent="0.25">
      <c r="A57" s="6" t="s">
        <v>2175</v>
      </c>
      <c r="B57" s="3" t="s">
        <v>62</v>
      </c>
      <c r="C57" s="3" t="s">
        <v>116</v>
      </c>
      <c r="D57" t="str">
        <f t="shared" si="0"/>
        <v>INSERT INTO medical_supply_brand (name, country, code) VALUES ('Smiths', 'Mexico', 'BRAND-056');</v>
      </c>
    </row>
    <row r="58" spans="1:4" x14ac:dyDescent="0.25">
      <c r="A58" s="6" t="s">
        <v>2176</v>
      </c>
      <c r="B58" s="3" t="s">
        <v>1</v>
      </c>
      <c r="C58" s="3" t="s">
        <v>2</v>
      </c>
      <c r="D58" t="str">
        <f t="shared" si="0"/>
        <v>INSERT INTO medical_supply_brand (name, country, code) VALUES ('Smiths Medical', 'Anh Quốc', 'BRAND-057');</v>
      </c>
    </row>
    <row r="59" spans="1:4" x14ac:dyDescent="0.25">
      <c r="A59" s="6" t="s">
        <v>2177</v>
      </c>
      <c r="B59" s="3" t="s">
        <v>63</v>
      </c>
      <c r="C59" s="3" t="s">
        <v>7</v>
      </c>
      <c r="D59" t="str">
        <f t="shared" si="0"/>
        <v>INSERT INTO medical_supply_brand (name, country, code) VALUES ('SungShim', 'Hàn Quốc', 'BRAND-058');</v>
      </c>
    </row>
    <row r="60" spans="1:4" x14ac:dyDescent="0.25">
      <c r="A60" s="6" t="s">
        <v>2178</v>
      </c>
      <c r="B60" s="3" t="s">
        <v>64</v>
      </c>
      <c r="C60" s="3" t="s">
        <v>86</v>
      </c>
      <c r="D60" t="str">
        <f t="shared" si="0"/>
        <v>INSERT INTO medical_supply_brand (name, country, code) VALUES ('Tanaphar', 'Việt Nam', 'BRAND-059');</v>
      </c>
    </row>
    <row r="61" spans="1:4" x14ac:dyDescent="0.25">
      <c r="A61" s="6" t="s">
        <v>2179</v>
      </c>
      <c r="B61" s="3" t="s">
        <v>65</v>
      </c>
      <c r="C61" s="3" t="s">
        <v>13</v>
      </c>
      <c r="D61" t="str">
        <f t="shared" si="0"/>
        <v>INSERT INTO medical_supply_brand (name, country, code) VALUES ('Teleflex', 'Mỹ', 'BRAND-060');</v>
      </c>
    </row>
    <row r="62" spans="1:4" x14ac:dyDescent="0.25">
      <c r="A62" s="6" t="s">
        <v>2180</v>
      </c>
      <c r="B62" s="3" t="s">
        <v>66</v>
      </c>
      <c r="C62" s="3" t="s">
        <v>86</v>
      </c>
      <c r="D62" t="str">
        <f t="shared" si="0"/>
        <v>INSERT INTO medical_supply_brand (name, country, code) VALUES ('Terrapharm', 'Việt Nam', 'BRAND-061');</v>
      </c>
    </row>
    <row r="63" spans="1:4" x14ac:dyDescent="0.25">
      <c r="A63" s="6" t="s">
        <v>2181</v>
      </c>
      <c r="B63" s="3" t="s">
        <v>67</v>
      </c>
      <c r="C63" s="4" t="s">
        <v>85</v>
      </c>
      <c r="D63" t="str">
        <f t="shared" si="0"/>
        <v>INSERT INTO medical_supply_brand (name, country, code) VALUES ('Timelock', 'Trung Quốc', 'BRAND-062');</v>
      </c>
    </row>
    <row r="64" spans="1:4" x14ac:dyDescent="0.25">
      <c r="A64" s="6" t="s">
        <v>2182</v>
      </c>
      <c r="B64" s="3" t="s">
        <v>68</v>
      </c>
      <c r="C64" s="3" t="s">
        <v>89</v>
      </c>
      <c r="D64" t="str">
        <f t="shared" si="0"/>
        <v>INSERT INTO medical_supply_brand (name, country, code) VALUES ('Urgo', 'Pháp', 'BRAND-063');</v>
      </c>
    </row>
    <row r="65" spans="1:4" x14ac:dyDescent="0.25">
      <c r="A65" s="6" t="s">
        <v>2183</v>
      </c>
      <c r="B65" s="3" t="s">
        <v>69</v>
      </c>
      <c r="C65" s="3" t="s">
        <v>10</v>
      </c>
      <c r="D65" t="str">
        <f t="shared" si="0"/>
        <v>INSERT INTO medical_supply_brand (name, country, code) VALUES ('VBM', 'Đức', 'BRAND-064');</v>
      </c>
    </row>
    <row r="66" spans="1:4" x14ac:dyDescent="0.25">
      <c r="A66" s="6" t="s">
        <v>2184</v>
      </c>
      <c r="B66" s="3" t="s">
        <v>71</v>
      </c>
      <c r="C66" s="3" t="s">
        <v>88</v>
      </c>
      <c r="D66" t="str">
        <f t="shared" si="0"/>
        <v>INSERT INTO medical_supply_brand (name, country, code) VALUES ('Venosan', 'Thụy Sĩ', 'BRAND-065');</v>
      </c>
    </row>
    <row r="67" spans="1:4" x14ac:dyDescent="0.25">
      <c r="A67" s="6" t="s">
        <v>2185</v>
      </c>
      <c r="B67" s="3" t="s">
        <v>70</v>
      </c>
      <c r="C67" s="4" t="s">
        <v>83</v>
      </c>
      <c r="D67" t="str">
        <f t="shared" ref="D67:D76" si="1">"INSERT INTO medical_supply_brand (name, country, code) VALUES ('"&amp;SUBSTITUTE(B67,"'","''")&amp;"', '"&amp;SUBSTITUTE(C67,"'","''")&amp;"', '"&amp;SUBSTITUTE(A67,"'","''")&amp;"');"</f>
        <v>INSERT INTO medical_supply_brand (name, country, code) VALUES ('VH Pharma', 'Cộng hòa Séc', 'BRAND-066');</v>
      </c>
    </row>
    <row r="68" spans="1:4" x14ac:dyDescent="0.25">
      <c r="A68" s="6" t="s">
        <v>2186</v>
      </c>
      <c r="B68" s="3" t="s">
        <v>72</v>
      </c>
      <c r="C68" s="3" t="s">
        <v>86</v>
      </c>
      <c r="D68" t="str">
        <f t="shared" si="1"/>
        <v>INSERT INTO medical_supply_brand (name, country, code) VALUES ('Vinahankook', 'Việt Nam', 'BRAND-067');</v>
      </c>
    </row>
    <row r="69" spans="1:4" x14ac:dyDescent="0.25">
      <c r="A69" s="6" t="s">
        <v>2187</v>
      </c>
      <c r="B69" s="3" t="s">
        <v>73</v>
      </c>
      <c r="C69" s="3" t="s">
        <v>91</v>
      </c>
      <c r="D69" t="str">
        <f t="shared" si="1"/>
        <v>INSERT INTO medical_supply_brand (name, country, code) VALUES ('Vitaltec', 'Đài Loan', 'BRAND-068');</v>
      </c>
    </row>
    <row r="70" spans="1:4" x14ac:dyDescent="0.25">
      <c r="A70" s="6" t="s">
        <v>2188</v>
      </c>
      <c r="B70" s="3" t="s">
        <v>74</v>
      </c>
      <c r="C70" s="3" t="s">
        <v>13</v>
      </c>
      <c r="D70" t="str">
        <f t="shared" si="1"/>
        <v>INSERT INTO medical_supply_brand (name, country, code) VALUES ('WaterJet', 'Mỹ', 'BRAND-069');</v>
      </c>
    </row>
    <row r="71" spans="1:4" x14ac:dyDescent="0.25">
      <c r="A71" s="6" t="s">
        <v>2189</v>
      </c>
      <c r="B71" s="3" t="s">
        <v>75</v>
      </c>
      <c r="C71" s="4" t="s">
        <v>90</v>
      </c>
      <c r="D71" t="str">
        <f t="shared" si="1"/>
        <v>INSERT INTO medical_supply_brand (name, country, code) VALUES ('Welford', 'Malaysia', 'BRAND-070');</v>
      </c>
    </row>
    <row r="72" spans="1:4" x14ac:dyDescent="0.25">
      <c r="A72" s="6" t="s">
        <v>2190</v>
      </c>
      <c r="B72" s="3" t="s">
        <v>76</v>
      </c>
      <c r="C72" s="3" t="s">
        <v>7</v>
      </c>
      <c r="D72" t="str">
        <f t="shared" si="1"/>
        <v>INSERT INTO medical_supply_brand (name, country, code) VALUES ('Wonbiogen', 'Hàn Quốc', 'BRAND-071');</v>
      </c>
    </row>
    <row r="73" spans="1:4" x14ac:dyDescent="0.25">
      <c r="A73" s="6" t="s">
        <v>2191</v>
      </c>
      <c r="B73" s="3" t="s">
        <v>77</v>
      </c>
      <c r="C73" s="3" t="s">
        <v>85</v>
      </c>
      <c r="D73" t="str">
        <f t="shared" si="1"/>
        <v>INSERT INTO medical_supply_brand (name, country, code) VALUES ('Yafho', 'Trung Quốc', 'BRAND-072');</v>
      </c>
    </row>
    <row r="74" spans="1:4" x14ac:dyDescent="0.25">
      <c r="A74" s="6" t="s">
        <v>2192</v>
      </c>
      <c r="B74" s="3" t="s">
        <v>78</v>
      </c>
      <c r="C74" s="3" t="s">
        <v>7</v>
      </c>
      <c r="D74" t="str">
        <f t="shared" si="1"/>
        <v>INSERT INTO medical_supply_brand (name, country, code) VALUES ('Young Chemical Vina', 'Hàn Quốc', 'BRAND-073');</v>
      </c>
    </row>
    <row r="75" spans="1:4" x14ac:dyDescent="0.25">
      <c r="A75" s="6" t="s">
        <v>2193</v>
      </c>
      <c r="B75" s="3" t="s">
        <v>79</v>
      </c>
      <c r="C75" s="4" t="s">
        <v>7</v>
      </c>
      <c r="D75" t="str">
        <f t="shared" si="1"/>
        <v>INSERT INTO medical_supply_brand (name, country, code) VALUES ('Yushin', 'Hàn Quốc', 'BRAND-074');</v>
      </c>
    </row>
    <row r="76" spans="1:4" x14ac:dyDescent="0.25">
      <c r="A76" s="6" t="s">
        <v>2194</v>
      </c>
      <c r="B76" s="3" t="s">
        <v>80</v>
      </c>
      <c r="C76" s="3" t="s">
        <v>85</v>
      </c>
      <c r="D76" t="str">
        <f t="shared" si="1"/>
        <v>INSERT INTO medical_supply_brand (name, country, code) VALUES ('Yuwell', 'Trung Quốc', 'BRAND-075');</v>
      </c>
    </row>
  </sheetData>
  <autoFilter ref="A1:D1" xr:uid="{3D9ED1C5-1142-496E-9F03-7CAF2930C494}">
    <sortState xmlns:xlrd2="http://schemas.microsoft.com/office/spreadsheetml/2017/richdata2" ref="A2:D76">
      <sortCondition ref="B1"/>
    </sortState>
  </autoFilter>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76BA-CBBD-4282-B373-4A25057A7797}">
  <dimension ref="A1:B77"/>
  <sheetViews>
    <sheetView zoomScaleNormal="100" workbookViewId="0">
      <pane ySplit="1" topLeftCell="A2" activePane="bottomLeft" state="frozen"/>
      <selection pane="bottomLeft" activeCell="C14" sqref="C14"/>
    </sheetView>
  </sheetViews>
  <sheetFormatPr defaultRowHeight="15" x14ac:dyDescent="0.25"/>
  <cols>
    <col min="1" max="1" width="38.140625" customWidth="1"/>
    <col min="2" max="2" width="60.7109375" customWidth="1"/>
    <col min="3" max="3" width="28.5703125" customWidth="1"/>
    <col min="4" max="4" width="55" bestFit="1" customWidth="1"/>
    <col min="5" max="5" width="28.5703125" customWidth="1"/>
    <col min="6" max="6" width="50.7109375" customWidth="1"/>
    <col min="7" max="7" width="22.42578125" bestFit="1" customWidth="1"/>
    <col min="8" max="8" width="16.42578125" customWidth="1"/>
    <col min="9" max="9" width="197.85546875" customWidth="1"/>
  </cols>
  <sheetData>
    <row r="1" spans="1:2" x14ac:dyDescent="0.25">
      <c r="A1" s="28" t="s">
        <v>2203</v>
      </c>
      <c r="B1" s="28" t="s">
        <v>2204</v>
      </c>
    </row>
    <row r="2" spans="1:2" ht="30" x14ac:dyDescent="0.25">
      <c r="A2" s="29" t="s">
        <v>95</v>
      </c>
      <c r="B2" s="29" t="s">
        <v>2205</v>
      </c>
    </row>
    <row r="3" spans="1:2" ht="30" x14ac:dyDescent="0.25">
      <c r="A3" s="29" t="s">
        <v>104</v>
      </c>
      <c r="B3" s="29" t="s">
        <v>2206</v>
      </c>
    </row>
    <row r="4" spans="1:2" ht="30" x14ac:dyDescent="0.25">
      <c r="A4" s="29" t="s">
        <v>102</v>
      </c>
      <c r="B4" s="29" t="s">
        <v>2207</v>
      </c>
    </row>
    <row r="5" spans="1:2" ht="30" x14ac:dyDescent="0.25">
      <c r="A5" s="29" t="s">
        <v>2208</v>
      </c>
      <c r="B5" s="29" t="s">
        <v>2209</v>
      </c>
    </row>
    <row r="6" spans="1:2" ht="30" x14ac:dyDescent="0.25">
      <c r="A6" s="29" t="s">
        <v>2210</v>
      </c>
      <c r="B6" s="29" t="s">
        <v>2211</v>
      </c>
    </row>
    <row r="7" spans="1:2" ht="30" x14ac:dyDescent="0.25">
      <c r="A7" s="29" t="s">
        <v>2212</v>
      </c>
      <c r="B7" s="29" t="s">
        <v>2213</v>
      </c>
    </row>
    <row r="8" spans="1:2" ht="30" x14ac:dyDescent="0.25">
      <c r="A8" s="29" t="s">
        <v>2214</v>
      </c>
      <c r="B8" s="29" t="s">
        <v>2215</v>
      </c>
    </row>
    <row r="9" spans="1:2" ht="30" x14ac:dyDescent="0.25">
      <c r="A9" s="29" t="s">
        <v>307</v>
      </c>
      <c r="B9" s="29" t="s">
        <v>2216</v>
      </c>
    </row>
    <row r="10" spans="1:2" ht="30" x14ac:dyDescent="0.25">
      <c r="A10" s="29" t="s">
        <v>2217</v>
      </c>
      <c r="B10" s="29" t="s">
        <v>2218</v>
      </c>
    </row>
    <row r="11" spans="1:2" ht="30" x14ac:dyDescent="0.25">
      <c r="A11" s="29" t="s">
        <v>2219</v>
      </c>
      <c r="B11" s="29" t="s">
        <v>2220</v>
      </c>
    </row>
    <row r="12" spans="1:2" ht="30" x14ac:dyDescent="0.25">
      <c r="A12" s="29" t="s">
        <v>2221</v>
      </c>
      <c r="B12" s="29" t="s">
        <v>2222</v>
      </c>
    </row>
    <row r="13" spans="1:2" ht="30" x14ac:dyDescent="0.25">
      <c r="A13" s="29" t="s">
        <v>2223</v>
      </c>
      <c r="B13" s="29" t="s">
        <v>2224</v>
      </c>
    </row>
    <row r="14" spans="1:2" ht="30" x14ac:dyDescent="0.25">
      <c r="A14" s="29" t="s">
        <v>2225</v>
      </c>
      <c r="B14" s="29" t="s">
        <v>2226</v>
      </c>
    </row>
    <row r="15" spans="1:2" ht="45" x14ac:dyDescent="0.25">
      <c r="A15" s="29" t="s">
        <v>2227</v>
      </c>
      <c r="B15" s="29" t="s">
        <v>2228</v>
      </c>
    </row>
    <row r="16" spans="1:2" ht="30" x14ac:dyDescent="0.25">
      <c r="A16" s="29" t="s">
        <v>2229</v>
      </c>
      <c r="B16" s="29" t="s">
        <v>2230</v>
      </c>
    </row>
    <row r="17" spans="1:2" ht="30" x14ac:dyDescent="0.25">
      <c r="A17" s="29" t="s">
        <v>2231</v>
      </c>
      <c r="B17" s="29" t="s">
        <v>2232</v>
      </c>
    </row>
    <row r="18" spans="1:2" ht="30" x14ac:dyDescent="0.25">
      <c r="A18" s="29" t="s">
        <v>2233</v>
      </c>
      <c r="B18" s="29" t="s">
        <v>2234</v>
      </c>
    </row>
    <row r="19" spans="1:2" ht="30" x14ac:dyDescent="0.25">
      <c r="A19" s="29" t="s">
        <v>2235</v>
      </c>
      <c r="B19" s="29" t="s">
        <v>2236</v>
      </c>
    </row>
    <row r="20" spans="1:2" ht="30" x14ac:dyDescent="0.25">
      <c r="A20" s="29" t="s">
        <v>2237</v>
      </c>
      <c r="B20" s="29" t="s">
        <v>2238</v>
      </c>
    </row>
    <row r="21" spans="1:2" ht="30" x14ac:dyDescent="0.25">
      <c r="A21" s="29" t="s">
        <v>2239</v>
      </c>
      <c r="B21" s="29" t="s">
        <v>2240</v>
      </c>
    </row>
    <row r="22" spans="1:2" ht="30" x14ac:dyDescent="0.25">
      <c r="A22" s="29" t="s">
        <v>2241</v>
      </c>
      <c r="B22" s="29" t="s">
        <v>2242</v>
      </c>
    </row>
    <row r="23" spans="1:2" ht="30" x14ac:dyDescent="0.25">
      <c r="A23" s="29" t="s">
        <v>309</v>
      </c>
      <c r="B23" s="29" t="s">
        <v>2243</v>
      </c>
    </row>
    <row r="24" spans="1:2" ht="30" x14ac:dyDescent="0.25">
      <c r="A24" s="29" t="s">
        <v>2244</v>
      </c>
      <c r="B24" s="29" t="s">
        <v>2245</v>
      </c>
    </row>
    <row r="25" spans="1:2" ht="30" x14ac:dyDescent="0.25">
      <c r="A25" s="29" t="s">
        <v>103</v>
      </c>
      <c r="B25" s="29" t="s">
        <v>2246</v>
      </c>
    </row>
    <row r="26" spans="1:2" ht="30" x14ac:dyDescent="0.25">
      <c r="A26" s="29" t="s">
        <v>2247</v>
      </c>
      <c r="B26" s="29" t="s">
        <v>2248</v>
      </c>
    </row>
    <row r="27" spans="1:2" ht="30" x14ac:dyDescent="0.25">
      <c r="A27" s="29" t="s">
        <v>2249</v>
      </c>
      <c r="B27" s="29" t="s">
        <v>2250</v>
      </c>
    </row>
    <row r="28" spans="1:2" ht="30" x14ac:dyDescent="0.25">
      <c r="A28" s="29" t="s">
        <v>105</v>
      </c>
      <c r="B28" s="29" t="s">
        <v>2251</v>
      </c>
    </row>
    <row r="29" spans="1:2" ht="30" x14ac:dyDescent="0.25">
      <c r="A29" s="29" t="s">
        <v>99</v>
      </c>
      <c r="B29" s="29" t="s">
        <v>2252</v>
      </c>
    </row>
    <row r="30" spans="1:2" x14ac:dyDescent="0.25">
      <c r="A30" s="29" t="s">
        <v>2253</v>
      </c>
      <c r="B30" s="29" t="s">
        <v>2254</v>
      </c>
    </row>
    <row r="31" spans="1:2" ht="30" x14ac:dyDescent="0.25">
      <c r="A31" s="29" t="s">
        <v>2255</v>
      </c>
      <c r="B31" s="29" t="s">
        <v>2256</v>
      </c>
    </row>
    <row r="32" spans="1:2" ht="30" x14ac:dyDescent="0.25">
      <c r="A32" s="29" t="s">
        <v>2257</v>
      </c>
      <c r="B32" s="29" t="s">
        <v>2258</v>
      </c>
    </row>
    <row r="33" spans="1:2" ht="30" x14ac:dyDescent="0.25">
      <c r="A33" s="29" t="s">
        <v>2259</v>
      </c>
      <c r="B33" s="29" t="s">
        <v>2260</v>
      </c>
    </row>
    <row r="34" spans="1:2" ht="30" x14ac:dyDescent="0.25">
      <c r="A34" s="29" t="s">
        <v>2261</v>
      </c>
      <c r="B34" s="29" t="s">
        <v>2262</v>
      </c>
    </row>
    <row r="35" spans="1:2" ht="30" x14ac:dyDescent="0.25">
      <c r="A35" s="29" t="s">
        <v>305</v>
      </c>
      <c r="B35" s="29" t="s">
        <v>2263</v>
      </c>
    </row>
    <row r="36" spans="1:2" ht="30" x14ac:dyDescent="0.25">
      <c r="A36" s="29" t="s">
        <v>2264</v>
      </c>
      <c r="B36" s="29" t="s">
        <v>2265</v>
      </c>
    </row>
    <row r="37" spans="1:2" ht="30" x14ac:dyDescent="0.25">
      <c r="A37" s="29" t="s">
        <v>92</v>
      </c>
      <c r="B37" s="29" t="s">
        <v>2266</v>
      </c>
    </row>
    <row r="38" spans="1:2" ht="30" x14ac:dyDescent="0.25">
      <c r="A38" s="29" t="s">
        <v>2267</v>
      </c>
      <c r="B38" s="29" t="s">
        <v>2268</v>
      </c>
    </row>
    <row r="39" spans="1:2" ht="30" x14ac:dyDescent="0.25">
      <c r="A39" s="29" t="s">
        <v>2269</v>
      </c>
      <c r="B39" s="29" t="s">
        <v>2270</v>
      </c>
    </row>
    <row r="40" spans="1:2" x14ac:dyDescent="0.25">
      <c r="A40" s="29" t="s">
        <v>2271</v>
      </c>
      <c r="B40" s="29" t="s">
        <v>2272</v>
      </c>
    </row>
    <row r="41" spans="1:2" x14ac:dyDescent="0.25">
      <c r="A41" s="29" t="s">
        <v>2273</v>
      </c>
      <c r="B41" s="29" t="s">
        <v>2274</v>
      </c>
    </row>
    <row r="42" spans="1:2" ht="30" x14ac:dyDescent="0.25">
      <c r="A42" s="29" t="s">
        <v>2275</v>
      </c>
      <c r="B42" s="29" t="s">
        <v>2276</v>
      </c>
    </row>
    <row r="43" spans="1:2" x14ac:dyDescent="0.25">
      <c r="A43" s="29" t="s">
        <v>2277</v>
      </c>
      <c r="B43" s="29" t="s">
        <v>2278</v>
      </c>
    </row>
    <row r="44" spans="1:2" ht="30" x14ac:dyDescent="0.25">
      <c r="A44" s="29" t="s">
        <v>2279</v>
      </c>
      <c r="B44" s="29" t="s">
        <v>2280</v>
      </c>
    </row>
    <row r="45" spans="1:2" ht="30" x14ac:dyDescent="0.25">
      <c r="A45" s="29" t="s">
        <v>2281</v>
      </c>
      <c r="B45" s="29" t="s">
        <v>2282</v>
      </c>
    </row>
    <row r="46" spans="1:2" ht="30" x14ac:dyDescent="0.25">
      <c r="A46" s="29" t="s">
        <v>2283</v>
      </c>
      <c r="B46" s="29" t="s">
        <v>2284</v>
      </c>
    </row>
    <row r="47" spans="1:2" ht="30" x14ac:dyDescent="0.25">
      <c r="A47" s="29" t="s">
        <v>96</v>
      </c>
      <c r="B47" s="29" t="s">
        <v>2285</v>
      </c>
    </row>
    <row r="48" spans="1:2" ht="30" x14ac:dyDescent="0.25">
      <c r="A48" s="29" t="s">
        <v>98</v>
      </c>
      <c r="B48" s="29" t="s">
        <v>2286</v>
      </c>
    </row>
    <row r="49" spans="1:2" ht="30" x14ac:dyDescent="0.25">
      <c r="A49" s="29" t="s">
        <v>2287</v>
      </c>
      <c r="B49" s="29" t="s">
        <v>2288</v>
      </c>
    </row>
    <row r="50" spans="1:2" ht="30" x14ac:dyDescent="0.25">
      <c r="A50" s="29" t="s">
        <v>2289</v>
      </c>
      <c r="B50" s="29" t="s">
        <v>2290</v>
      </c>
    </row>
    <row r="51" spans="1:2" ht="30" x14ac:dyDescent="0.25">
      <c r="A51" s="29" t="s">
        <v>2291</v>
      </c>
      <c r="B51" s="29" t="s">
        <v>2292</v>
      </c>
    </row>
    <row r="52" spans="1:2" ht="30" x14ac:dyDescent="0.25">
      <c r="A52" s="29" t="s">
        <v>2293</v>
      </c>
      <c r="B52" s="29" t="s">
        <v>2294</v>
      </c>
    </row>
    <row r="53" spans="1:2" ht="30" x14ac:dyDescent="0.25">
      <c r="A53" s="29" t="s">
        <v>2295</v>
      </c>
      <c r="B53" s="29" t="s">
        <v>2296</v>
      </c>
    </row>
    <row r="54" spans="1:2" x14ac:dyDescent="0.25">
      <c r="A54" s="29" t="s">
        <v>93</v>
      </c>
      <c r="B54" s="29" t="s">
        <v>2297</v>
      </c>
    </row>
    <row r="55" spans="1:2" x14ac:dyDescent="0.25">
      <c r="A55" s="29" t="s">
        <v>2298</v>
      </c>
      <c r="B55" s="29" t="s">
        <v>2299</v>
      </c>
    </row>
    <row r="56" spans="1:2" x14ac:dyDescent="0.25">
      <c r="A56" s="29" t="s">
        <v>94</v>
      </c>
      <c r="B56" s="29" t="s">
        <v>2300</v>
      </c>
    </row>
    <row r="57" spans="1:2" x14ac:dyDescent="0.25">
      <c r="A57" s="29" t="s">
        <v>311</v>
      </c>
      <c r="B57" s="29" t="s">
        <v>2301</v>
      </c>
    </row>
    <row r="58" spans="1:2" x14ac:dyDescent="0.25">
      <c r="A58" s="29" t="s">
        <v>2302</v>
      </c>
      <c r="B58" s="29" t="s">
        <v>2303</v>
      </c>
    </row>
    <row r="59" spans="1:2" ht="30" x14ac:dyDescent="0.25">
      <c r="A59" s="29" t="s">
        <v>2304</v>
      </c>
      <c r="B59" s="29" t="s">
        <v>2305</v>
      </c>
    </row>
    <row r="60" spans="1:2" x14ac:dyDescent="0.25">
      <c r="A60" s="29" t="s">
        <v>2306</v>
      </c>
      <c r="B60" s="29" t="s">
        <v>2307</v>
      </c>
    </row>
    <row r="61" spans="1:2" x14ac:dyDescent="0.25">
      <c r="A61" s="29" t="s">
        <v>2308</v>
      </c>
      <c r="B61" s="29" t="s">
        <v>2309</v>
      </c>
    </row>
    <row r="62" spans="1:2" ht="30" x14ac:dyDescent="0.25">
      <c r="A62" s="29" t="s">
        <v>2310</v>
      </c>
      <c r="B62" s="29" t="s">
        <v>2311</v>
      </c>
    </row>
    <row r="63" spans="1:2" x14ac:dyDescent="0.25">
      <c r="A63" s="29" t="s">
        <v>108</v>
      </c>
      <c r="B63" s="29" t="s">
        <v>2312</v>
      </c>
    </row>
    <row r="64" spans="1:2" ht="30" x14ac:dyDescent="0.25">
      <c r="A64" s="29" t="s">
        <v>2313</v>
      </c>
      <c r="B64" s="29" t="s">
        <v>2314</v>
      </c>
    </row>
    <row r="65" spans="1:2" x14ac:dyDescent="0.25">
      <c r="A65" s="29" t="s">
        <v>310</v>
      </c>
      <c r="B65" s="29" t="s">
        <v>2315</v>
      </c>
    </row>
    <row r="66" spans="1:2" x14ac:dyDescent="0.25">
      <c r="A66" s="29" t="s">
        <v>2316</v>
      </c>
      <c r="B66" s="29" t="s">
        <v>2317</v>
      </c>
    </row>
    <row r="67" spans="1:2" x14ac:dyDescent="0.25">
      <c r="A67" s="29" t="s">
        <v>101</v>
      </c>
      <c r="B67" s="29" t="s">
        <v>2318</v>
      </c>
    </row>
    <row r="68" spans="1:2" ht="30" x14ac:dyDescent="0.25">
      <c r="A68" s="29" t="s">
        <v>106</v>
      </c>
      <c r="B68" s="29" t="s">
        <v>2319</v>
      </c>
    </row>
    <row r="69" spans="1:2" ht="30" x14ac:dyDescent="0.25">
      <c r="A69" s="29" t="s">
        <v>100</v>
      </c>
      <c r="B69" s="29" t="s">
        <v>2320</v>
      </c>
    </row>
    <row r="70" spans="1:2" x14ac:dyDescent="0.25">
      <c r="A70" s="29" t="s">
        <v>2321</v>
      </c>
      <c r="B70" s="29" t="s">
        <v>2322</v>
      </c>
    </row>
    <row r="71" spans="1:2" x14ac:dyDescent="0.25">
      <c r="A71" s="29" t="s">
        <v>312</v>
      </c>
      <c r="B71" s="29" t="s">
        <v>2323</v>
      </c>
    </row>
    <row r="72" spans="1:2" x14ac:dyDescent="0.25">
      <c r="A72" s="29" t="s">
        <v>2324</v>
      </c>
      <c r="B72" s="29" t="s">
        <v>2325</v>
      </c>
    </row>
    <row r="73" spans="1:2" ht="30" x14ac:dyDescent="0.25">
      <c r="A73" s="29" t="s">
        <v>2326</v>
      </c>
      <c r="B73" s="29" t="s">
        <v>2327</v>
      </c>
    </row>
    <row r="74" spans="1:2" x14ac:dyDescent="0.25">
      <c r="A74" s="29" t="s">
        <v>2328</v>
      </c>
      <c r="B74" s="29" t="s">
        <v>2329</v>
      </c>
    </row>
    <row r="75" spans="1:2" x14ac:dyDescent="0.25">
      <c r="A75" s="29" t="s">
        <v>2330</v>
      </c>
      <c r="B75" s="29" t="s">
        <v>2331</v>
      </c>
    </row>
    <row r="76" spans="1:2" x14ac:dyDescent="0.25">
      <c r="A76" s="29" t="s">
        <v>2332</v>
      </c>
      <c r="B76" s="29" t="s">
        <v>2333</v>
      </c>
    </row>
    <row r="77" spans="1:2" x14ac:dyDescent="0.25">
      <c r="A77" s="29" t="s">
        <v>97</v>
      </c>
      <c r="B77" s="29" t="s">
        <v>2334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7095D-ABFA-4076-812A-FBB2D37B799E}">
  <dimension ref="A1:H301"/>
  <sheetViews>
    <sheetView topLeftCell="B1" zoomScaleNormal="100" workbookViewId="0">
      <pane ySplit="1" topLeftCell="A2" activePane="bottomLeft" state="frozen"/>
      <selection pane="bottomLeft" activeCell="D3" sqref="D3"/>
    </sheetView>
  </sheetViews>
  <sheetFormatPr defaultRowHeight="15" x14ac:dyDescent="0.25"/>
  <cols>
    <col min="1" max="1" width="15.140625" bestFit="1" customWidth="1"/>
    <col min="2" max="2" width="95" bestFit="1" customWidth="1"/>
    <col min="3" max="4" width="28.5703125" customWidth="1"/>
    <col min="5" max="5" width="50.7109375" customWidth="1"/>
    <col min="6" max="6" width="22.42578125" bestFit="1" customWidth="1"/>
    <col min="7" max="7" width="16.42578125" customWidth="1"/>
    <col min="8" max="8" width="197.85546875" customWidth="1"/>
  </cols>
  <sheetData>
    <row r="1" spans="1:8" ht="30" x14ac:dyDescent="0.25">
      <c r="A1" s="2" t="s">
        <v>811</v>
      </c>
      <c r="B1" s="2" t="s">
        <v>122</v>
      </c>
      <c r="C1" s="2" t="s">
        <v>117</v>
      </c>
      <c r="D1" s="2" t="s">
        <v>118</v>
      </c>
      <c r="E1" s="2" t="s">
        <v>119</v>
      </c>
      <c r="F1" s="2" t="s">
        <v>561</v>
      </c>
      <c r="G1" s="2" t="s">
        <v>1273</v>
      </c>
      <c r="H1" s="2" t="s">
        <v>813</v>
      </c>
    </row>
    <row r="2" spans="1:8" ht="75" x14ac:dyDescent="0.25">
      <c r="A2" s="7" t="s">
        <v>562</v>
      </c>
      <c r="B2" s="1" t="s">
        <v>273</v>
      </c>
      <c r="C2" s="1" t="s">
        <v>30</v>
      </c>
      <c r="D2" s="1" t="s">
        <v>95</v>
      </c>
      <c r="E2" s="1" t="s">
        <v>313</v>
      </c>
      <c r="F2" s="23" t="str">
        <f>IFERROR(INDEX(Brand!$A:$A,MATCH(TRIM(C2),Brand!$B:$B,0)),"NOT FOUND")</f>
        <v>BRAND-020</v>
      </c>
      <c r="G2" s="24" t="s">
        <v>1274</v>
      </c>
      <c r="H2" s="23" t="str">
        <f>"INSERT INTO medical_supply_product (active, category, description, name, code, brand_code, uom) VALUES (true, '"&amp;SUBSTITUTE(D2,"'","''")&amp;"', '"&amp;SUBSTITUTE(E2,"'","''")&amp;"', '"&amp;SUBSTITUTE(B2,"'","''")&amp;"', '"&amp;SUBSTITUTE(A2,"'","''")&amp;"', '"&amp;SUBSTITUTE(F2,"'","''")&amp;"', '"&amp;SUBSTITUTE(G2,"'","''")&amp;"');"</f>
        <v>INSERT INTO medical_supply_product (active, category, description, name, code, brand_code, uom) VALUES (true, 'Đệm chống lở loét', 'Phao chống loét cao su Greetmed (Ø30cm, van đồng) nâng đỡ và phân tán áp lực lên vùng mông, hông, lưng, giúp phòng ngừa và hỗ trợ điều trị loét tì đè. Phù hợp cho người phải nằm hoặc ngồi lâu, dùng tại nhà hoặc cơ sở y tế.', '[Greetmed] Phao chống loét cao su', 'PRODUCT-00001', 'BRAND-020', 'cái');</v>
      </c>
    </row>
    <row r="3" spans="1:8" ht="75" x14ac:dyDescent="0.25">
      <c r="A3" s="7" t="s">
        <v>563</v>
      </c>
      <c r="B3" s="1" t="s">
        <v>174</v>
      </c>
      <c r="C3" s="1" t="s">
        <v>8</v>
      </c>
      <c r="D3" s="1" t="s">
        <v>95</v>
      </c>
      <c r="E3" s="1" t="s">
        <v>314</v>
      </c>
      <c r="F3" s="23" t="str">
        <f>IFERROR(INDEX(Brand!$A:$A,MATCH(TRIM(C3),Brand!$B:$B,0)),"NOT FOUND")</f>
        <v>BRAND-028</v>
      </c>
      <c r="G3" s="25" t="s">
        <v>1275</v>
      </c>
      <c r="H3" s="23" t="str">
        <f t="shared" ref="H3:H66" si="0">"INSERT INTO medical_supply_product (active, category, description, name, code, brand_code, uom) VALUES (true, '"&amp;SUBSTITUTE(D3,"'","''")&amp;"', '"&amp;SUBSTITUTE(E3,"'","''")&amp;"', '"&amp;SUBSTITUTE(B3,"'","''")&amp;"', '"&amp;SUBSTITUTE(A3,"'","''")&amp;"', '"&amp;SUBSTITUTE(F3,"'","''")&amp;"', '"&amp;SUBSTITUTE(G3,"'","''")&amp;"');"</f>
        <v>INSERT INTO medical_supply_product (active, category, description, name, code, brand_code, uom) VALUES (true, 'Đệm chống lở loét', 'Đệm hơi chống lở loét iMedicare iAM-8P giúp phòng ngừa và hỗ trợ điều trị lở loét cho người nằm lâu như bệnh nhân liệt, bỏng, gãy xương, sau phẫu thuật, người cao tuổi. Bơm điện chạy êm, đệm dễ gấp gọn, vệ sinh; đạt tiêu chuẩn CE.', '[iMedicare] Đệm hơi chống lở loét - iAM-8P', 'PRODUCT-00002', 'BRAND-028', 'bộ');</v>
      </c>
    </row>
    <row r="4" spans="1:8" ht="75" x14ac:dyDescent="0.25">
      <c r="A4" s="7" t="s">
        <v>564</v>
      </c>
      <c r="B4" s="1" t="s">
        <v>175</v>
      </c>
      <c r="C4" s="1" t="s">
        <v>43</v>
      </c>
      <c r="D4" s="1" t="s">
        <v>95</v>
      </c>
      <c r="E4" s="1" t="s">
        <v>315</v>
      </c>
      <c r="F4" s="23" t="str">
        <f>IFERROR(INDEX(Brand!$A:$A,MATCH(TRIM(C4),Brand!$B:$B,0)),"NOT FOUND")</f>
        <v>BRAND-035</v>
      </c>
      <c r="G4" s="25" t="s">
        <v>1275</v>
      </c>
      <c r="H4" s="23" t="str">
        <f t="shared" si="0"/>
        <v>INSERT INTO medical_supply_product (active, category, description, name, code, brand_code, uom) VALUES (true, 'Đệm chống lở loét', 'Đệm hơi chống lở loét Lucass LC-389 giúp phòng ngừa và hỗ trợ điều trị lở loét cho người nằm lâu như bệnh nhân liệt, bỏng, gãy xương, sau phẫu thuật, người cao tuổi. Bơm điện chạy êm, đệm dễ di chuyển, gấp gọn và vệ sinh.', '[Lucass] Đệm hơi chống lở loét - LC-389', 'PRODUCT-00003', 'BRAND-035', 'bộ');</v>
      </c>
    </row>
    <row r="5" spans="1:8" ht="60" x14ac:dyDescent="0.25">
      <c r="A5" s="7" t="s">
        <v>565</v>
      </c>
      <c r="B5" s="1" t="s">
        <v>231</v>
      </c>
      <c r="C5" s="1" t="s">
        <v>58</v>
      </c>
      <c r="D5" s="1" t="s">
        <v>104</v>
      </c>
      <c r="E5" s="1" t="s">
        <v>316</v>
      </c>
      <c r="F5" s="23" t="str">
        <f>IFERROR(INDEX(Brand!$A:$A,MATCH(TRIM(C5),Brand!$B:$B,0)),"NOT FOUND")</f>
        <v>BRAND-052</v>
      </c>
      <c r="G5" s="24" t="s">
        <v>1274</v>
      </c>
      <c r="H5" s="23" t="str">
        <f t="shared" si="0"/>
        <v>INSERT INTO medical_supply_product (active, category, description, name, code, brand_code, uom) VALUES (true, 'Máy trợ thính', 'Máy trợ thính có dây Rionet HA-20DX khuếch đại âm thanh cho người nghe kém, lãng tai, đặc biệt là người cao tuổi. Nút bấm lớn dễ dùng, 10 mức âm lượng, 3 chế độ âm thanh có lọc tạp âm, dùng pin AA.', '[Rionet] Máy trợ thính có dây đeo - HA-20DX', 'PRODUCT-00004', 'BRAND-052', 'cái');</v>
      </c>
    </row>
    <row r="6" spans="1:8" ht="60" x14ac:dyDescent="0.25">
      <c r="A6" s="7" t="s">
        <v>566</v>
      </c>
      <c r="B6" s="1" t="s">
        <v>232</v>
      </c>
      <c r="C6" s="1" t="s">
        <v>58</v>
      </c>
      <c r="D6" s="1" t="s">
        <v>104</v>
      </c>
      <c r="E6" s="1" t="s">
        <v>317</v>
      </c>
      <c r="F6" s="23" t="str">
        <f>IFERROR(INDEX(Brand!$A:$A,MATCH(TRIM(C6),Brand!$B:$B,0)),"NOT FOUND")</f>
        <v>BRAND-052</v>
      </c>
      <c r="G6" s="24" t="s">
        <v>1274</v>
      </c>
      <c r="H6" s="23" t="str">
        <f t="shared" si="0"/>
        <v>INSERT INTO medical_supply_product (active, category, description, name, code, brand_code, uom) VALUES (true, 'Máy trợ thính', 'Máy trợ thính không dây Rionet HB-23P dạng móc vành tai, màu da kín đáo, hỗ trợ người lãng tai, nghe kém ở mọi lứa tuổi. Âm thanh rõ, có lọc ồn, chỉ 2 nút điều khiển nên dễ sử dụng.', '[Rionet] Máy trợ thính không dây - HB-23P', 'PRODUCT-00005', 'BRAND-052', 'cái');</v>
      </c>
    </row>
    <row r="7" spans="1:8" ht="60" x14ac:dyDescent="0.25">
      <c r="A7" s="7" t="s">
        <v>567</v>
      </c>
      <c r="B7" s="1" t="s">
        <v>233</v>
      </c>
      <c r="C7" s="1" t="s">
        <v>58</v>
      </c>
      <c r="D7" s="1" t="s">
        <v>104</v>
      </c>
      <c r="E7" s="1" t="s">
        <v>318</v>
      </c>
      <c r="F7" s="23" t="str">
        <f>IFERROR(INDEX(Brand!$A:$A,MATCH(TRIM(C7),Brand!$B:$B,0)),"NOT FOUND")</f>
        <v>BRAND-052</v>
      </c>
      <c r="G7" s="24" t="s">
        <v>1274</v>
      </c>
      <c r="H7" s="23" t="str">
        <f t="shared" si="0"/>
        <v>INSERT INTO medical_supply_product (active, category, description, name, code, brand_code, uom) VALUES (true, 'Máy trợ thính', 'Máy trợ thính kỹ thuật số Rionet HM-06 siêu nhỏ, đeo trong tai kín đáo và thoải mái khi đeo lâu. Lọc âm và giảm ồn hiệu quả, âm thanh tự nhiên; phù hợp người trẻ, trung niên, dân văn phòng.', '[Rionet] Máy trợ thính không dây thông minh - HM-06', 'PRODUCT-00006', 'BRAND-052', 'cái');</v>
      </c>
    </row>
    <row r="8" spans="1:8" ht="75" x14ac:dyDescent="0.25">
      <c r="A8" s="7" t="s">
        <v>568</v>
      </c>
      <c r="B8" s="1" t="s">
        <v>226</v>
      </c>
      <c r="C8" s="1" t="s">
        <v>74</v>
      </c>
      <c r="D8" s="1" t="s">
        <v>102</v>
      </c>
      <c r="E8" s="1" t="s">
        <v>319</v>
      </c>
      <c r="F8" s="23" t="str">
        <f>IFERROR(INDEX(Brand!$A:$A,MATCH(TRIM(C8),Brand!$B:$B,0)),"NOT FOUND")</f>
        <v>BRAND-069</v>
      </c>
      <c r="G8" s="24" t="s">
        <v>1274</v>
      </c>
      <c r="H8" s="23" t="str">
        <f t="shared" si="0"/>
        <v>INSERT INTO medical_supply_product (active, category, description, name, code, brand_code, uom) VALUES (true, 'Máy tăm nước', 'Máy tăm nước không dây WaterJet Cordless Maxi làm sạch kẽ răng, khe nướu và vùng khó chải, giúp ngừa viêm nướu. Áp lực 40–90 PSI với 4 chế độ, bình chứa lớn; phù hợp người niềng răng, implant, bọc sứ, nướu nhạy cảm.', '[WaterJet] Máy tăm nước - Cordless Maxi', 'PRODUCT-00007', 'BRAND-069', 'cái');</v>
      </c>
    </row>
    <row r="9" spans="1:8" ht="60" x14ac:dyDescent="0.25">
      <c r="A9" s="7" t="s">
        <v>569</v>
      </c>
      <c r="B9" s="1" t="s">
        <v>1478</v>
      </c>
      <c r="C9" s="1" t="s">
        <v>78</v>
      </c>
      <c r="D9" s="1" t="s">
        <v>2208</v>
      </c>
      <c r="E9" s="1" t="s">
        <v>320</v>
      </c>
      <c r="F9" s="23" t="str">
        <f>IFERROR(INDEX(Brand!$A:$A,MATCH(TRIM(C9),Brand!$B:$B,0)),"NOT FOUND")</f>
        <v>BRAND-073</v>
      </c>
      <c r="G9" s="25" t="s">
        <v>1276</v>
      </c>
      <c r="H9" s="23" t="str">
        <f t="shared" si="0"/>
        <v>INSERT INTO medical_supply_product (active, category, description, name, code, brand_code, uom) VALUES (true, 'Miếng dán mụn', 'Miếng dán mụn Somaderm Spot chứa hydrocolloid giúp hút dịch mủ, nhân mụn, kháng khuẩn và hạn chế sẹo thâm. Miếng tròn nhỏ, cùng màu da, chống nước, dùng được cho mọi loại da.', '[Young Chemical Vina] Miếng dán mụn - Somaderm Spot S (32 miếng)', 'PRODUCT-00008', 'BRAND-073', 'miếng');</v>
      </c>
    </row>
    <row r="10" spans="1:8" ht="60" x14ac:dyDescent="0.25">
      <c r="A10" s="7" t="s">
        <v>570</v>
      </c>
      <c r="B10" s="1" t="s">
        <v>1489</v>
      </c>
      <c r="C10" s="1" t="s">
        <v>78</v>
      </c>
      <c r="D10" s="1" t="s">
        <v>2208</v>
      </c>
      <c r="E10" s="1" t="s">
        <v>321</v>
      </c>
      <c r="F10" s="23" t="str">
        <f>IFERROR(INDEX(Brand!$A:$A,MATCH(TRIM(C10),Brand!$B:$B,0)),"NOT FOUND")</f>
        <v>BRAND-073</v>
      </c>
      <c r="G10" s="25" t="s">
        <v>1276</v>
      </c>
      <c r="H10" s="23" t="str">
        <f t="shared" si="0"/>
        <v>INSERT INTO medical_supply_product (active, category, description, name, code, brand_code, uom) VALUES (true, 'Miếng dán mụn', 'Miếng dán mụn Somaderm-Thin chứa hydrocolloid giúp hút dịch mủ, nhân mụn, giữ ẩm và hạn chế thâm sẹo. Miếng tròn siêu mỏng, cùng màu da, ít kích ứng, dùng được cho da nhạy cảm.', '[Young Chemical Vina] Miếng dán mụn - Somaderm-Thin (Ø10mm)', 'PRODUCT-00009', 'BRAND-073', 'miếng');</v>
      </c>
    </row>
    <row r="11" spans="1:8" ht="60" x14ac:dyDescent="0.25">
      <c r="A11" s="7" t="s">
        <v>571</v>
      </c>
      <c r="B11" s="1" t="s">
        <v>197</v>
      </c>
      <c r="C11" s="1" t="s">
        <v>39</v>
      </c>
      <c r="D11" s="1" t="s">
        <v>2210</v>
      </c>
      <c r="E11" s="1" t="s">
        <v>322</v>
      </c>
      <c r="F11" s="23" t="str">
        <f>IFERROR(INDEX(Brand!$A:$A,MATCH(TRIM(C11),Brand!$B:$B,0)),"NOT FOUND")</f>
        <v>BRAND-031</v>
      </c>
      <c r="G11" s="24" t="s">
        <v>1276</v>
      </c>
      <c r="H11" s="23" t="str">
        <f t="shared" si="0"/>
        <v>INSERT INTO medical_supply_product (active, category, description, name, code, brand_code, uom) VALUES (true, 'Mặt nạ xông hơi mắt', 'Mặt nạ xông hơi mắt ngải cứu tự sinh nhiệt khoảng 40°C khi mở, giúp thư giãn mắt, giảm mỏi mắt và quầng thâm, hỗ trợ ngủ ngon. Phù hợp người thường dùng máy tính, đọc sách, thức khuya, mất ngủ.', 'Mặt nạ xông hơi mắt ngải cứu - Mugwort Steam Eyes Mask', 'PRODUCT-00010', 'BRAND-031', 'miếng');</v>
      </c>
    </row>
    <row r="12" spans="1:8" ht="60" x14ac:dyDescent="0.25">
      <c r="A12" s="7" t="s">
        <v>572</v>
      </c>
      <c r="B12" s="1" t="s">
        <v>130</v>
      </c>
      <c r="C12" s="1" t="s">
        <v>11</v>
      </c>
      <c r="D12" s="1" t="s">
        <v>2214</v>
      </c>
      <c r="E12" s="1" t="s">
        <v>323</v>
      </c>
      <c r="F12" s="23" t="str">
        <f>IFERROR(INDEX(Brand!$A:$A,MATCH(TRIM(C12),Brand!$B:$B,0)),"NOT FOUND")</f>
        <v>BRAND-001</v>
      </c>
      <c r="G12" s="25" t="s">
        <v>1275</v>
      </c>
      <c r="H12" s="23" t="str">
        <f t="shared" si="0"/>
        <v>INSERT INTO medical_supply_product (active, category, description, name, code, brand_code, uom) VALUES (true, 'Bộ gạc áp lực âm (VAC)', 'Bộ gạc xốp 3M™ Veraflo™ dùng kèm máy hút áp lực âm VAC có chức năng rửa, điều trị vết thương mạn tính, khó lành. Hệ thống khép kín giúp rửa, dẫn lưu dịch, giữ ẩm và kích thích mô hạt phát triển.', '[3M™] Bộ gạc xốp phủ vết thương điều trị áp lực âm VAC kèm chức năng rửa - Veraflo™', 'PRODUCT-00011', 'BRAND-001', 'bộ');</v>
      </c>
    </row>
    <row r="13" spans="1:8" ht="60" x14ac:dyDescent="0.25">
      <c r="A13" s="7" t="s">
        <v>573</v>
      </c>
      <c r="B13" s="1" t="s">
        <v>1490</v>
      </c>
      <c r="C13" s="1" t="s">
        <v>11</v>
      </c>
      <c r="D13" s="1" t="s">
        <v>307</v>
      </c>
      <c r="E13" s="1" t="s">
        <v>324</v>
      </c>
      <c r="F13" s="23" t="str">
        <f>IFERROR(INDEX(Brand!$A:$A,MATCH(TRIM(C13),Brand!$B:$B,0)),"NOT FOUND")</f>
        <v>BRAND-001</v>
      </c>
      <c r="G13" s="25" t="s">
        <v>1277</v>
      </c>
      <c r="H13" s="23" t="str">
        <f t="shared" si="0"/>
        <v>INSERT INTO medical_supply_product (active, category, description, name, code, brand_code, uom) VALUES (true, 'Miếng dán khép miệng vết thương', 'Miếng dán 3M™ Steri-Strip™ thay chỉ khâu hoặc kim bấm da, giúp khép miệng vết thương sau phẫu thuật, tiểu phẫu hoặc vết rách do chấn thương. Không xâm lấn, thao tác dễ, hạn chế giãn sẹo.', '[3M™] Miếng dán vết thương thay chỉ khâu - STERI-STRIP™ (3mmx75mm)', 'PRODUCT-00012', 'BRAND-001', 'sợi');</v>
      </c>
    </row>
    <row r="14" spans="1:8" ht="60" x14ac:dyDescent="0.25">
      <c r="A14" s="7" t="s">
        <v>574</v>
      </c>
      <c r="B14" s="1" t="s">
        <v>1491</v>
      </c>
      <c r="C14" s="1" t="s">
        <v>11</v>
      </c>
      <c r="D14" s="1" t="s">
        <v>2217</v>
      </c>
      <c r="E14" s="1" t="s">
        <v>325</v>
      </c>
      <c r="F14" s="23" t="str">
        <f>IFERROR(INDEX(Brand!$A:$A,MATCH(TRIM(C14),Brand!$B:$B,0)),"NOT FOUND")</f>
        <v>BRAND-001</v>
      </c>
      <c r="G14" s="24" t="s">
        <v>1278</v>
      </c>
      <c r="H14" s="23" t="str">
        <f t="shared" si="0"/>
        <v>INSERT INTO medical_supply_product (active, category, description, name, code, brand_code, uom) VALUES (true, 'Xịt bảo vệ da', 'Xịt 3M™ Cavilon tạo màng phim bán thấm bảo vệ da khỏi nước tiểu, phân và dịch tiết, giúp ngừa hăm, loét da. Dùng cho người bài tiết không tự chủ, loét tì đè, vùng da quanh hậu môn nhân tạo; tác dụng đến 72 giờ.', '[3M™] Xịt bảo vệ chống hăm loét da - Cavilon (28ml)', 'PRODUCT-00013', 'BRAND-001', 'chai');</v>
      </c>
    </row>
    <row r="15" spans="1:8" ht="75" x14ac:dyDescent="0.25">
      <c r="A15" s="7" t="s">
        <v>575</v>
      </c>
      <c r="B15" s="1" t="s">
        <v>1492</v>
      </c>
      <c r="C15" s="1" t="s">
        <v>23</v>
      </c>
      <c r="D15" s="1" t="s">
        <v>2219</v>
      </c>
      <c r="E15" s="1" t="s">
        <v>326</v>
      </c>
      <c r="F15" s="23" t="str">
        <f>IFERROR(INDEX(Brand!$A:$A,MATCH(TRIM(C15),Brand!$B:$B,0)),"NOT FOUND")</f>
        <v>BRAND-011</v>
      </c>
      <c r="G15" s="25" t="s">
        <v>1276</v>
      </c>
      <c r="H15" s="23" t="str">
        <f t="shared" si="0"/>
        <v>INSERT INTO medical_supply_product (active, category, description, name, code, brand_code, uom) VALUES (true, 'Băng dán hydrocolloid', 'Băng dán hydrocolloid DuoDerm Extra Thin (10x10cm) cho vết thương tiết dịch ít đến trung bình, tạo môi trường ẩm giúp mau lành và hạn chế sẹo. Không dính vết thương khi tháo, chống nước tốt, lưu băng đến 7 ngày.', '[ConvaTec] Băng dán vết thương - DuoDerm Extra Thin (10cmx10cm)', 'PRODUCT-00014', 'BRAND-011', 'miếng');</v>
      </c>
    </row>
    <row r="16" spans="1:8" ht="60" x14ac:dyDescent="0.25">
      <c r="A16" s="7" t="s">
        <v>576</v>
      </c>
      <c r="B16" s="1" t="s">
        <v>1493</v>
      </c>
      <c r="C16" s="1" t="s">
        <v>27</v>
      </c>
      <c r="D16" s="1" t="s">
        <v>2221</v>
      </c>
      <c r="E16" s="1" t="s">
        <v>327</v>
      </c>
      <c r="F16" s="23" t="str">
        <f>IFERROR(INDEX(Brand!$A:$A,MATCH(TRIM(C16),Brand!$B:$B,0)),"NOT FOUND")</f>
        <v>BRAND-015</v>
      </c>
      <c r="G16" s="25" t="s">
        <v>1279</v>
      </c>
      <c r="H16" s="23" t="str">
        <f t="shared" si="0"/>
        <v>INSERT INTO medical_supply_product (active, category, description, name, code, brand_code, uom) VALUES (true, 'Gel bôi vết thương', 'Gel Okuskin (Cộng hòa Séc) giúp vết thương hở mau lành, tái tạo da, hạn chế sẹo và thâm. Dùng cho bỏng, trầy xước, nứt da, vết mổ; chiết xuất thảo dược, được nhiều bệnh viện lớn sử dụng.', '[Dr.Muller Pharma] Gel bôi vết thương hở - Okuskin (10g)', 'PRODUCT-00015', 'BRAND-015', 'tuýp');</v>
      </c>
    </row>
    <row r="17" spans="1:8" ht="75" x14ac:dyDescent="0.25">
      <c r="A17" s="7" t="s">
        <v>577</v>
      </c>
      <c r="B17" s="1" t="s">
        <v>1494</v>
      </c>
      <c r="C17" s="1" t="s">
        <v>34</v>
      </c>
      <c r="D17" s="1" t="s">
        <v>2223</v>
      </c>
      <c r="E17" s="1" t="s">
        <v>328</v>
      </c>
      <c r="F17" s="23" t="str">
        <f>IFERROR(INDEX(Brand!$A:$A,MATCH(TRIM(C17),Brand!$B:$B,0)),"NOT FOUND")</f>
        <v>BRAND-025</v>
      </c>
      <c r="G17" s="25" t="s">
        <v>1278</v>
      </c>
      <c r="H17" s="23" t="str">
        <f t="shared" si="0"/>
        <v>INSERT INTO medical_supply_product (active, category, description, name, code, brand_code, uom) VALUES (true, 'Dung dịch sát khuẩn vết thương', 'Dung dịch sát khuẩn Berbemed 150ml kết hợp Berberin và Nano bạc, làm sạch và kháng khuẩn nhanh cho vết thương, vết loét, vết bỏng, trầy xước. Không đau xót, giúp vết thương giảm tiết dịch, mau lành và hạn chế sẹo.', '[ICM] Dung dịch sát khuẩn rửa vết thương - Berbemed (150ml)', 'PRODUCT-00016', 'BRAND-025', 'chai');</v>
      </c>
    </row>
    <row r="18" spans="1:8" ht="60" x14ac:dyDescent="0.25">
      <c r="A18" s="7" t="s">
        <v>578</v>
      </c>
      <c r="B18" s="1" t="s">
        <v>145</v>
      </c>
      <c r="C18" s="1" t="s">
        <v>47</v>
      </c>
      <c r="D18" s="1" t="s">
        <v>2225</v>
      </c>
      <c r="E18" s="1" t="s">
        <v>329</v>
      </c>
      <c r="F18" s="23" t="str">
        <f>IFERROR(INDEX(Brand!$A:$A,MATCH(TRIM(C18),Brand!$B:$B,0)),"NOT FOUND")</f>
        <v>BRAND-039</v>
      </c>
      <c r="G18" s="25" t="s">
        <v>1276</v>
      </c>
      <c r="H18" s="23" t="str">
        <f t="shared" si="0"/>
        <v>INSERT INTO medical_supply_product (active, category, description, name, code, brand_code, uom) VALUES (true, 'Bông tẩm cồn', 'Bông tẩm cồn Mepro Alcohol Swab dùng sát khuẩn da trước khi tiêm hoặc thử đường huyết, giúp giảm nguy cơ nhiễm khuẩn. Tiện lợi cho bệnh viện, phòng khám và tủ thuốc gia đình.', '[Mepro] Bông tẩm cồn sát trùng - Alcohol Swab', 'PRODUCT-00017', 'BRAND-039', 'miếng');</v>
      </c>
    </row>
    <row r="19" spans="1:8" ht="75" x14ac:dyDescent="0.25">
      <c r="A19" s="7" t="s">
        <v>579</v>
      </c>
      <c r="B19" s="1" t="s">
        <v>1573</v>
      </c>
      <c r="C19" s="1" t="s">
        <v>60</v>
      </c>
      <c r="D19" s="1" t="s">
        <v>2227</v>
      </c>
      <c r="E19" s="1" t="s">
        <v>330</v>
      </c>
      <c r="F19" s="23" t="str">
        <f>IFERROR(INDEX(Brand!$A:$A,MATCH(TRIM(C19),Brand!$B:$B,0)),"NOT FOUND")</f>
        <v>BRAND-054</v>
      </c>
      <c r="G19" s="25" t="s">
        <v>1276</v>
      </c>
      <c r="H19" s="23" t="str">
        <f t="shared" si="0"/>
        <v>INSERT INTO medical_supply_product (active, category, description, name, code, brand_code, uom) VALUES (true, 'Gạc xốp hút dịch', 'Gạc xốp polyurethane Seasight viền silicone giúp phòng ngừa và hỗ trợ điều trị loét tì đè ở gót chân, mông, khuỷu tay, xương cụt. Thấm hút dịch tốt, giữ ẩm cho vết thương, không dính và không đau khi thay băng.', '[SeaSight] Gạc xốp hút dịch chống loét có viền dính silicone (18.5cmx24cm)', 'PRODUCT-00018', 'BRAND-054', 'miếng');</v>
      </c>
    </row>
    <row r="20" spans="1:8" ht="60" x14ac:dyDescent="0.25">
      <c r="A20" s="7" t="s">
        <v>580</v>
      </c>
      <c r="B20" s="1" t="s">
        <v>1574</v>
      </c>
      <c r="C20" s="1" t="s">
        <v>60</v>
      </c>
      <c r="D20" s="1" t="s">
        <v>307</v>
      </c>
      <c r="E20" s="1" t="s">
        <v>331</v>
      </c>
      <c r="F20" s="23" t="str">
        <f>IFERROR(INDEX(Brand!$A:$A,MATCH(TRIM(C20),Brand!$B:$B,0)),"NOT FOUND")</f>
        <v>BRAND-054</v>
      </c>
      <c r="G20" s="25" t="s">
        <v>1277</v>
      </c>
      <c r="H20" s="23" t="str">
        <f t="shared" si="0"/>
        <v>INSERT INTO medical_supply_product (active, category, description, name, code, brand_code, uom) VALUES (true, 'Miếng dán khép miệng vết thương', 'Miếng dán Seasight thay chỉ khâu hoặc kim bấm da, giúp khép miệng vết thương sau phẫu thuật, tiểu phẫu hoặc vết rách do chấn thương. Không xâm lấn, thao tác dễ, hạn chế giãn sẹo.', '[SeaSight] Miếng dán vết thương thay chỉ khâu (3mmx75mm)', 'PRODUCT-00019', 'BRAND-054', 'sợi');</v>
      </c>
    </row>
    <row r="21" spans="1:8" ht="60" x14ac:dyDescent="0.25">
      <c r="A21" s="7" t="s">
        <v>581</v>
      </c>
      <c r="B21" s="1" t="s">
        <v>146</v>
      </c>
      <c r="C21" s="1" t="s">
        <v>64</v>
      </c>
      <c r="D21" s="1" t="s">
        <v>2225</v>
      </c>
      <c r="E21" s="1" t="s">
        <v>332</v>
      </c>
      <c r="F21" s="23" t="str">
        <f>IFERROR(INDEX(Brand!$A:$A,MATCH(TRIM(C21),Brand!$B:$B,0)),"NOT FOUND")</f>
        <v>BRAND-059</v>
      </c>
      <c r="G21" s="25" t="s">
        <v>1276</v>
      </c>
      <c r="H21" s="23" t="str">
        <f t="shared" si="0"/>
        <v>INSERT INTO medical_supply_product (active, category, description, name, code, brand_code, uom) VALUES (true, 'Bông tẩm cồn', 'Bông tẩm cồn tiệt trùng Tanaphar Alcohol Swab dùng sát khuẩn da trước khi tiêm hoặc đo đường huyết, giúp giảm nguy cơ nhiễm khuẩn. Tiện lợi cho bệnh viện, phòng khám và tủ thuốc gia đình.', '[Tanaphar] Bông tẩm cồn tiệt trùng - Alcohol Swab', 'PRODUCT-00020', 'BRAND-059', 'miếng');</v>
      </c>
    </row>
    <row r="22" spans="1:8" ht="60" x14ac:dyDescent="0.25">
      <c r="A22" s="7" t="s">
        <v>582</v>
      </c>
      <c r="B22" s="1" t="s">
        <v>1575</v>
      </c>
      <c r="C22" s="1" t="s">
        <v>66</v>
      </c>
      <c r="D22" s="1" t="s">
        <v>2223</v>
      </c>
      <c r="E22" s="1" t="s">
        <v>333</v>
      </c>
      <c r="F22" s="23" t="str">
        <f>IFERROR(INDEX(Brand!$A:$A,MATCH(TRIM(C22),Brand!$B:$B,0)),"NOT FOUND")</f>
        <v>BRAND-061</v>
      </c>
      <c r="G22" s="25" t="s">
        <v>1278</v>
      </c>
      <c r="H22" s="23" t="str">
        <f t="shared" si="0"/>
        <v>INSERT INTO medical_supply_product (active, category, description, name, code, brand_code, uom) VALUES (true, 'Dung dịch sát khuẩn vết thương', 'Dung dịch Dizigone 300ml ứng dụng công nghệ EMWE® (Châu Âu), diệt vi khuẩn, vi nấm trong 30 giây mà không làm tổn thương tế bào. Rửa vết thương không đau xót, giúp mau lành và hạn chế sẹo.', '[Terrapharm] Dung dịch kháng khuẩn rửa vết thương - Dizigone (300ml)', 'PRODUCT-00021', 'BRAND-061', 'chai');</v>
      </c>
    </row>
    <row r="23" spans="1:8" ht="75" x14ac:dyDescent="0.25">
      <c r="A23" s="7" t="s">
        <v>583</v>
      </c>
      <c r="B23" s="1" t="s">
        <v>1576</v>
      </c>
      <c r="C23" s="1" t="s">
        <v>66</v>
      </c>
      <c r="D23" s="1" t="s">
        <v>2223</v>
      </c>
      <c r="E23" s="1" t="s">
        <v>334</v>
      </c>
      <c r="F23" s="23" t="str">
        <f>IFERROR(INDEX(Brand!$A:$A,MATCH(TRIM(C23),Brand!$B:$B,0)),"NOT FOUND")</f>
        <v>BRAND-061</v>
      </c>
      <c r="G23" s="25" t="s">
        <v>1278</v>
      </c>
      <c r="H23" s="23" t="str">
        <f t="shared" si="0"/>
        <v>INSERT INTO medical_supply_product (active, category, description, name, code, brand_code, uom) VALUES (true, 'Dung dịch sát khuẩn vết thương', 'Xịt kháng khuẩn Dizigone Spray 100ml ứng dụng công nghệ EMWE® (Châu Âu), diệt vi khuẩn, vi nấm trong 30 giây mà không làm tổn thương tế bào. Dạng xịt tiện lợi, không đau xót, giúp vết thương mau lành và hạn chế sẹo.', '[Terrapharm] Xịt kháng khuẩn - Dizigone Spray (100ml)', 'PRODUCT-00022', 'BRAND-061', 'chai');</v>
      </c>
    </row>
    <row r="24" spans="1:8" ht="75" x14ac:dyDescent="0.25">
      <c r="A24" s="7" t="s">
        <v>584</v>
      </c>
      <c r="B24" s="1" t="s">
        <v>1577</v>
      </c>
      <c r="C24" s="1" t="s">
        <v>68</v>
      </c>
      <c r="D24" s="1" t="s">
        <v>2229</v>
      </c>
      <c r="E24" s="1" t="s">
        <v>335</v>
      </c>
      <c r="F24" s="23" t="str">
        <f>IFERROR(INDEX(Brand!$A:$A,MATCH(TRIM(C24),Brand!$B:$B,0)),"NOT FOUND")</f>
        <v>BRAND-063</v>
      </c>
      <c r="G24" s="25" t="s">
        <v>1276</v>
      </c>
      <c r="H24" s="23" t="str">
        <f t="shared" si="0"/>
        <v>INSERT INTO medical_supply_product (active, category, description, name, code, brand_code, uom) VALUES (true, 'Gạc lưới chống dính', 'Gạc lưới chống dính UrgoTul (10x10cm) với công nghệ TLC độc quyền, tạo môi trường ẩm giúp vết thương mau lành. Không dính vết thương nên thay băng không đau; dùng cho vết bỏng, trầy xước, vết loét giai đoạn lên mô hạt.', '[Urgo] Gạc lưới chống dính - UrgoTul (10cmx10cm)', 'PRODUCT-00023', 'BRAND-063', 'miếng');</v>
      </c>
    </row>
    <row r="25" spans="1:8" ht="75" x14ac:dyDescent="0.25">
      <c r="A25" s="7" t="s">
        <v>585</v>
      </c>
      <c r="B25" s="1" t="s">
        <v>1578</v>
      </c>
      <c r="C25" s="1" t="s">
        <v>68</v>
      </c>
      <c r="D25" s="1" t="s">
        <v>2229</v>
      </c>
      <c r="E25" s="1" t="s">
        <v>336</v>
      </c>
      <c r="F25" s="23" t="str">
        <f>IFERROR(INDEX(Brand!$A:$A,MATCH(TRIM(C25),Brand!$B:$B,0)),"NOT FOUND")</f>
        <v>BRAND-063</v>
      </c>
      <c r="G25" s="25" t="s">
        <v>1276</v>
      </c>
      <c r="H25" s="23" t="str">
        <f t="shared" si="0"/>
        <v>INSERT INTO medical_supply_product (active, category, description, name, code, brand_code, uom) VALUES (true, 'Gạc lưới chống dính', 'Gạc lưới tẩm bạc UrgoTul Ag/Silver kết hợp công nghệ TLC và bạc sulfate, kháng khuẩn cho vết thương nhiễm trùng hoặc có nguy cơ nhiễm trùng cao. Không dính vết thương, thay băng không đau, rút ngắn thời gian lành thương.', '[Urgo] Gạc lưới tẩm bạc chống dính - UrgoTul Ag/Silver (10cmx12cm)', 'PRODUCT-00024', 'BRAND-063', 'miếng');</v>
      </c>
    </row>
    <row r="26" spans="1:8" ht="60" x14ac:dyDescent="0.25">
      <c r="A26" s="7" t="s">
        <v>586</v>
      </c>
      <c r="B26" s="1" t="s">
        <v>1579</v>
      </c>
      <c r="C26" s="1" t="s">
        <v>70</v>
      </c>
      <c r="D26" s="1" t="s">
        <v>2221</v>
      </c>
      <c r="E26" s="1" t="s">
        <v>337</v>
      </c>
      <c r="F26" s="23" t="str">
        <f>IFERROR(INDEX(Brand!$A:$A,MATCH(TRIM(C26),Brand!$B:$B,0)),"NOT FOUND")</f>
        <v>BRAND-066</v>
      </c>
      <c r="G26" s="25" t="s">
        <v>1279</v>
      </c>
      <c r="H26" s="23" t="str">
        <f t="shared" si="0"/>
        <v>INSERT INTO medical_supply_product (active, category, description, name, code, brand_code, uom) VALUES (true, 'Gel bôi vết thương', 'Gel Healit (công nghệ Séc) giúp tái tạo mô và làm lành vết thương hở cấp tính, mạn tính như trầy xước, nứt da, bỏng, loét tì đè, vết mổ. Giữ ẩm, ổn định pH và bảo vệ vết thương khỏi vi khuẩn.', '[VH Pharma] Gel trị vết thương hở - Healit (5g)', 'PRODUCT-00025', 'BRAND-066', 'tuýp');</v>
      </c>
    </row>
    <row r="27" spans="1:8" ht="75" x14ac:dyDescent="0.25">
      <c r="A27" s="7" t="s">
        <v>587</v>
      </c>
      <c r="B27" s="1" t="s">
        <v>1580</v>
      </c>
      <c r="C27" s="1" t="s">
        <v>76</v>
      </c>
      <c r="D27" s="1" t="s">
        <v>2219</v>
      </c>
      <c r="E27" s="1" t="s">
        <v>338</v>
      </c>
      <c r="F27" s="23" t="str">
        <f>IFERROR(INDEX(Brand!$A:$A,MATCH(TRIM(C27),Brand!$B:$B,0)),"NOT FOUND")</f>
        <v>BRAND-071</v>
      </c>
      <c r="G27" s="25" t="s">
        <v>1276</v>
      </c>
      <c r="H27" s="23" t="str">
        <f t="shared" si="0"/>
        <v>INSERT INTO medical_supply_product (active, category, description, name, code, brand_code, uom) VALUES (true, 'Băng dán hydrocolloid', 'Băng dán hydrocolloid Renoderm cho vết thương tiết dịch ít đến trung bình như trầy xước, vết mổ, bỏng, mụn, vết loét. Tạo môi trường ẩm giúp mau lành, hạn chế sẹo; không dính vết thương khi tháo, chống nước tốt.', '[Wonbiogen] Băng dán vết thương Hydrocolloid - Renoderm (10cmx10cm)', 'PRODUCT-00026', 'BRAND-071', 'miếng');</v>
      </c>
    </row>
    <row r="28" spans="1:8" ht="75" x14ac:dyDescent="0.25">
      <c r="A28" s="7" t="s">
        <v>588</v>
      </c>
      <c r="B28" s="1" t="s">
        <v>1581</v>
      </c>
      <c r="C28" s="1" t="s">
        <v>76</v>
      </c>
      <c r="D28" s="1" t="s">
        <v>2227</v>
      </c>
      <c r="E28" s="1" t="s">
        <v>339</v>
      </c>
      <c r="F28" s="23" t="str">
        <f>IFERROR(INDEX(Brand!$A:$A,MATCH(TRIM(C28),Brand!$B:$B,0)),"NOT FOUND")</f>
        <v>BRAND-071</v>
      </c>
      <c r="G28" s="25" t="s">
        <v>1276</v>
      </c>
      <c r="H28" s="23" t="str">
        <f t="shared" si="0"/>
        <v>INSERT INTO medical_supply_product (active, category, description, name, code, brand_code, uom) VALUES (true, 'Gạc xốp hút dịch', 'Băng gạc xốp Therasorb® Algi Plus Adhesive có viền dính, dùng cho vết thương, vết loét tiết dịch trung bình đến nhiều. Chứa Sodium Alginate thấm hút gấp 15–20 lần trọng lượng, không dính và không đau khi thay băng.', '[Wonbiogen] Băng gạc xốp không dính vết thương - Therasorb Algi Plus Adhesive (7.5cmx7.5cm)', 'PRODUCT-00027', 'BRAND-071', 'miếng');</v>
      </c>
    </row>
    <row r="29" spans="1:8" ht="75" x14ac:dyDescent="0.25">
      <c r="A29" s="7" t="s">
        <v>589</v>
      </c>
      <c r="B29" s="1" t="s">
        <v>1582</v>
      </c>
      <c r="C29" s="1" t="s">
        <v>76</v>
      </c>
      <c r="D29" s="1" t="s">
        <v>2227</v>
      </c>
      <c r="E29" s="1" t="s">
        <v>340</v>
      </c>
      <c r="F29" s="23" t="str">
        <f>IFERROR(INDEX(Brand!$A:$A,MATCH(TRIM(C29),Brand!$B:$B,0)),"NOT FOUND")</f>
        <v>BRAND-071</v>
      </c>
      <c r="G29" s="25" t="s">
        <v>1276</v>
      </c>
      <c r="H29" s="23" t="str">
        <f t="shared" si="0"/>
        <v>INSERT INTO medical_supply_product (active, category, description, name, code, brand_code, uom) VALUES (true, 'Gạc xốp hút dịch',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(10cmx10cmx0.5cm)', 'PRODUCT-00028', 'BRAND-071', 'miếng');</v>
      </c>
    </row>
    <row r="30" spans="1:8" ht="75" x14ac:dyDescent="0.25">
      <c r="A30" s="7" t="s">
        <v>590</v>
      </c>
      <c r="B30" s="1" t="s">
        <v>1583</v>
      </c>
      <c r="C30" s="1" t="s">
        <v>76</v>
      </c>
      <c r="D30" s="1" t="s">
        <v>2227</v>
      </c>
      <c r="E30" s="1" t="s">
        <v>341</v>
      </c>
      <c r="F30" s="23" t="str">
        <f>IFERROR(INDEX(Brand!$A:$A,MATCH(TRIM(C30),Brand!$B:$B,0)),"NOT FOUND")</f>
        <v>BRAND-071</v>
      </c>
      <c r="G30" s="25" t="s">
        <v>1276</v>
      </c>
      <c r="H30" s="23" t="str">
        <f t="shared" si="0"/>
        <v>INSERT INTO medical_supply_product (active, category, description, name, code, brand_code, uom) VALUES (true, 'Gạc xốp hút dịch', 'Gạc xốp tẩm bạc Therasorb® Ag Plus chứa Sodium Alginate và bạc nitrat 1%, kháng khuẩn và thấm hút dịch mạnh. Dùng cho vết thương nhiễm trùng như loét tì đè, loét tiểu đường, bỏng; không dính và không đau khi thay băng.', '[Wonbiogen] Gạc xốp tẩm bạc kháng khuẩn - Therasorb® Ag Plus (10cmx10cm)', 'PRODUCT-00029', 'BRAND-071', 'miếng');</v>
      </c>
    </row>
    <row r="31" spans="1:8" ht="75" x14ac:dyDescent="0.25">
      <c r="A31" s="7" t="s">
        <v>591</v>
      </c>
      <c r="B31" s="1" t="s">
        <v>183</v>
      </c>
      <c r="C31" s="1" t="s">
        <v>76</v>
      </c>
      <c r="D31" s="1" t="s">
        <v>2221</v>
      </c>
      <c r="E31" s="1" t="s">
        <v>342</v>
      </c>
      <c r="F31" s="23" t="str">
        <f>IFERROR(INDEX(Brand!$A:$A,MATCH(TRIM(C31),Brand!$B:$B,0)),"NOT FOUND")</f>
        <v>BRAND-071</v>
      </c>
      <c r="G31" s="25" t="s">
        <v>1279</v>
      </c>
      <c r="H31" s="23" t="str">
        <f t="shared" si="0"/>
        <v>INSERT INTO medical_supply_product (active, category, description, name, code, brand_code, uom) VALUES (true, 'Gel bôi vết thương', 'Gel SurgiGel chứa bạc nitrat, vừa kháng khuẩn vừa giữ ẩm giúp vết thương mau lành, hạn chế sẹo lồi. Dùng cho vết thương cấp và mạn tính như trầy xước, bỏng, nhiễm trùng, loét tì đè, hoại tử; giúp làm mềm mô hoại tử và khử mùi.', '[Wonbiogen] Gel kháng khuẩn vết thương - SurgiGel', 'PRODUCT-00030', 'BRAND-071', 'tuýp');</v>
      </c>
    </row>
    <row r="32" spans="1:8" ht="75" x14ac:dyDescent="0.25">
      <c r="A32" s="7" t="s">
        <v>592</v>
      </c>
      <c r="B32" s="1" t="s">
        <v>1584</v>
      </c>
      <c r="C32" s="1" t="s">
        <v>76</v>
      </c>
      <c r="D32" s="1" t="s">
        <v>2231</v>
      </c>
      <c r="E32" s="1" t="s">
        <v>343</v>
      </c>
      <c r="F32" s="23" t="str">
        <f>IFERROR(INDEX(Brand!$A:$A,MATCH(TRIM(C32),Brand!$B:$B,0)),"NOT FOUND")</f>
        <v>BRAND-071</v>
      </c>
      <c r="G32" s="25" t="s">
        <v>1279</v>
      </c>
      <c r="H32" s="23" t="str">
        <f t="shared" si="0"/>
        <v>INSERT INTO medical_supply_product (active, category, description, name, code, brand_code, uom) VALUES (true, 'Gel trị sẹo', 'Gel silicone trị sẹo RemScar® chứa silicone y tế và vitamin E, giúp làm mềm, làm phẳng và mờ sẹo lồi, sẹo phì đại, sẹo bỏng, sẹo thâm. Phù hợp vị trí nhỏ hoặc khó dán miếng silicone; thấy hiệu quả sau 1–2 tháng dùng đều.', '[Wonbiogen] Kem gel silicone trị sẹo - RemScar® Gel (15g)', 'PRODUCT-00031', 'BRAND-071', 'tuýp');</v>
      </c>
    </row>
    <row r="33" spans="1:8" ht="60" x14ac:dyDescent="0.25">
      <c r="A33" s="7" t="s">
        <v>593</v>
      </c>
      <c r="B33" s="1" t="s">
        <v>1585</v>
      </c>
      <c r="C33" s="1" t="s">
        <v>76</v>
      </c>
      <c r="D33" s="1" t="s">
        <v>2233</v>
      </c>
      <c r="E33" s="1" t="s">
        <v>344</v>
      </c>
      <c r="F33" s="23" t="str">
        <f>IFERROR(INDEX(Brand!$A:$A,MATCH(TRIM(C33),Brand!$B:$B,0)),"NOT FOUND")</f>
        <v>BRAND-071</v>
      </c>
      <c r="G33" s="25" t="s">
        <v>1276</v>
      </c>
      <c r="H33" s="23" t="str">
        <f t="shared" si="0"/>
        <v>INSERT INTO medical_supply_product (active, category, description, name, code, brand_code, uom) VALUES (true, 'Miếng dán trị sẹo', 'Miếng dán silicone RemScar® TR giúp làm phẳng và mờ sẹo lồi, sẹo thâm sau phẫu thuật, bỏng, tai nạn, mụn. Silicone y tế trong suốt, không bí da; giặt và tái sử dụng được trong 30 ngày.', '[Wonbiogen] Miếng dán silicone trị sẹo lồi, sẹo thâm - RemScar® TR (12cmx15cm)', 'PRODUCT-00032', 'BRAND-071', 'miếng');</v>
      </c>
    </row>
    <row r="34" spans="1:8" ht="60" x14ac:dyDescent="0.25">
      <c r="A34" s="7" t="s">
        <v>594</v>
      </c>
      <c r="B34" s="1" t="s">
        <v>1586</v>
      </c>
      <c r="C34" s="1" t="s">
        <v>77</v>
      </c>
      <c r="D34" s="1" t="s">
        <v>2227</v>
      </c>
      <c r="E34" s="1" t="s">
        <v>345</v>
      </c>
      <c r="F34" s="23" t="str">
        <f>IFERROR(INDEX(Brand!$A:$A,MATCH(TRIM(C34),Brand!$B:$B,0)),"NOT FOUND")</f>
        <v>BRAND-072</v>
      </c>
      <c r="G34" s="25" t="s">
        <v>1276</v>
      </c>
      <c r="H34" s="23" t="str">
        <f t="shared" si="0"/>
        <v>INSERT INTO medical_supply_product (active, category, description, name, code, brand_code, uom) VALUES (true, 'Gạc xốp hút dịch', 'Gạc xốp polyurethane Yafho viền silicone, chuyên phòng ngừa và hỗ trợ điều trị loét tì đè vùng cùng cụt. Thấm hút dịch tốt, giữ ẩm cho vết thương, không dính và không đau khi thay băng.', '[Yafho] Gạc xốp hút dịch chống loét có viền dính silicone (18cmx18cm)', 'PRODUCT-00033', 'BRAND-072', 'miếng');</v>
      </c>
    </row>
    <row r="35" spans="1:8" ht="60" x14ac:dyDescent="0.25">
      <c r="A35" s="7" t="s">
        <v>595</v>
      </c>
      <c r="B35" s="1" t="s">
        <v>1587</v>
      </c>
      <c r="C35" s="1" t="s">
        <v>78</v>
      </c>
      <c r="D35" s="1" t="s">
        <v>2235</v>
      </c>
      <c r="E35" s="1" t="s">
        <v>346</v>
      </c>
      <c r="F35" s="23" t="str">
        <f>IFERROR(INDEX(Brand!$A:$A,MATCH(TRIM(C35),Brand!$B:$B,0)),"NOT FOUND")</f>
        <v>BRAND-073</v>
      </c>
      <c r="G35" s="25" t="s">
        <v>1276</v>
      </c>
      <c r="H35" s="23" t="str">
        <f t="shared" si="0"/>
        <v>INSERT INTO medical_supply_product (active, category, description, name, code, brand_code, uom) VALUES (true, 'Băng gạc vô trùng',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(6cmx7cm)', 'PRODUCT-00034', 'BRAND-073', 'miếng');</v>
      </c>
    </row>
    <row r="36" spans="1:8" ht="60" x14ac:dyDescent="0.25">
      <c r="A36" s="7" t="s">
        <v>596</v>
      </c>
      <c r="B36" s="1" t="s">
        <v>1588</v>
      </c>
      <c r="C36" s="1" t="s">
        <v>78</v>
      </c>
      <c r="D36" s="1" t="s">
        <v>2235</v>
      </c>
      <c r="E36" s="1" t="s">
        <v>347</v>
      </c>
      <c r="F36" s="23" t="str">
        <f>IFERROR(INDEX(Brand!$A:$A,MATCH(TRIM(C36),Brand!$B:$B,0)),"NOT FOUND")</f>
        <v>BRAND-073</v>
      </c>
      <c r="G36" s="25" t="s">
        <v>1276</v>
      </c>
      <c r="H36" s="23" t="str">
        <f t="shared" si="0"/>
        <v>INSERT INTO medical_supply_product (active, category, description, name, code, brand_code, uom) VALUES (true, 'Băng gạc vô trùng', 'Băng gạc vô trùng Sterile Adflex (With-Pad) chống nước, giữ vết thương khô thoáng trong quá trình hồi phục. Co giãn tốt, dán được ở vai, khuỷu tay, đầu gối; tiệt trùng EO, đóng gói từng miếng.', '[Young Chemical Vina] Băng gạc vô trùng không thấm nước - Sterile Adflex (With-Pad) (6cmx7cm)', 'PRODUCT-00035', 'BRAND-073', 'miếng');</v>
      </c>
    </row>
    <row r="37" spans="1:8" ht="60" x14ac:dyDescent="0.25">
      <c r="A37" s="7" t="s">
        <v>597</v>
      </c>
      <c r="B37" s="1" t="s">
        <v>124</v>
      </c>
      <c r="C37" s="1" t="s">
        <v>78</v>
      </c>
      <c r="D37" s="1" t="s">
        <v>2237</v>
      </c>
      <c r="E37" s="1" t="s">
        <v>348</v>
      </c>
      <c r="F37" s="23" t="str">
        <f>IFERROR(INDEX(Brand!$A:$A,MATCH(TRIM(C37),Brand!$B:$B,0)),"NOT FOUND")</f>
        <v>BRAND-073</v>
      </c>
      <c r="G37" s="25" t="s">
        <v>1276</v>
      </c>
      <c r="H37" s="23" t="str">
        <f t="shared" si="0"/>
        <v>INSERT INTO medical_supply_product (active, category, description, name, code, brand_code, uom) VALUES (true, 'Băng keo cá nhân', 'Băng keo cá nhân Pororo hộp thiếc chứa chất sát khuẩn Benzalkonium Chloride, bảo vệ vết cắt, trầy xước nhỏ. Hình hoạt hình dễ thương cho trẻ, thoáng khí, keo ít kích ứng, không dính vết thương.', '[Young Chemical Vina] Băng keo cá nhân hộp thiếc - Pororo', 'PRODUCT-00036', 'BRAND-073', 'miếng');</v>
      </c>
    </row>
    <row r="38" spans="1:8" ht="60" x14ac:dyDescent="0.25">
      <c r="A38" s="7" t="s">
        <v>598</v>
      </c>
      <c r="B38" s="1" t="s">
        <v>1589</v>
      </c>
      <c r="C38" s="1" t="s">
        <v>78</v>
      </c>
      <c r="D38" s="1" t="s">
        <v>2237</v>
      </c>
      <c r="E38" s="1" t="s">
        <v>349</v>
      </c>
      <c r="F38" s="23" t="str">
        <f>IFERROR(INDEX(Brand!$A:$A,MATCH(TRIM(C38),Brand!$B:$B,0)),"NOT FOUND")</f>
        <v>BRAND-073</v>
      </c>
      <c r="G38" s="25" t="s">
        <v>1276</v>
      </c>
      <c r="H38" s="23" t="str">
        <f t="shared" si="0"/>
        <v>INSERT INTO medical_supply_product (active, category, description, name, code, brand_code, uom) VALUES (true, 'Băng keo cá nhân', 'Băng keo cá nhân in hình Pororo chứa chất sát khuẩn Benzalkonium Chloride, bảo vệ vết cắt, trầy xước nhỏ. Hình hoạt hình dễ thương cho trẻ, thoáng khí, keo ít kích ứng, không dính vết thương.', '[Young Chemical Vina] Băng keo cá nhân in hình trẻ em - Pororo (72mmx18mm)', 'PRODUCT-00037', 'BRAND-073', 'miếng');</v>
      </c>
    </row>
    <row r="39" spans="1:8" ht="60" x14ac:dyDescent="0.25">
      <c r="A39" s="7" t="s">
        <v>599</v>
      </c>
      <c r="B39" s="1" t="s">
        <v>123</v>
      </c>
      <c r="C39" s="1" t="s">
        <v>78</v>
      </c>
      <c r="D39" s="1" t="s">
        <v>2237</v>
      </c>
      <c r="E39" s="1" t="s">
        <v>350</v>
      </c>
      <c r="F39" s="23" t="str">
        <f>IFERROR(INDEX(Brand!$A:$A,MATCH(TRIM(C39),Brand!$B:$B,0)),"NOT FOUND")</f>
        <v>BRAND-073</v>
      </c>
      <c r="G39" s="25" t="s">
        <v>1276</v>
      </c>
      <c r="H39" s="23" t="str">
        <f t="shared" si="0"/>
        <v>INSERT INTO medical_supply_product (active, category, description, name, code, brand_code, uom) VALUES (true, 'Băng keo cá nhân', 'Băng keo cá nhân tròn màu da Ace-band Ø22mm chứa chất sát khuẩn Benzalkonium Chloride, dùng cho vết tiêm và vết thương nhỏ. Mềm mại, an toàn cho cả da nhạy cảm.', '[Young Chemical Vina] Băng keo cá nhân màu da - Ace-band ∅22mm', 'PRODUCT-00038', 'BRAND-073', 'miếng');</v>
      </c>
    </row>
    <row r="40" spans="1:8" ht="60" x14ac:dyDescent="0.25">
      <c r="A40" s="7" t="s">
        <v>600</v>
      </c>
      <c r="B40" s="1" t="s">
        <v>1590</v>
      </c>
      <c r="C40" s="1" t="s">
        <v>78</v>
      </c>
      <c r="D40" s="1" t="s">
        <v>2237</v>
      </c>
      <c r="E40" s="1" t="s">
        <v>351</v>
      </c>
      <c r="F40" s="23" t="str">
        <f>IFERROR(INDEX(Brand!$A:$A,MATCH(TRIM(C40),Brand!$B:$B,0)),"NOT FOUND")</f>
        <v>BRAND-073</v>
      </c>
      <c r="G40" s="25" t="s">
        <v>1276</v>
      </c>
      <c r="H40" s="23" t="str">
        <f t="shared" si="0"/>
        <v>INSERT INTO medical_supply_product (active, category, description, name, code, brand_code, uom) VALUES (true, 'Băng keo cá nhân', 'Băng keo cá nhân màu da Ace-band Sheer (72x18mm) chứa chất sát khuẩn Benzalkonium Chloride, bảo vệ vết cắt, trầy xước nhỏ. Keo không chứa cao su, an toàn cho da nhạy cảm.', '[Young Chemical Vina] Băng keo cá nhân màu da - Ace-band Sheer (72mmx18mm)', 'PRODUCT-00039', 'BRAND-073', 'miếng');</v>
      </c>
    </row>
    <row r="41" spans="1:8" ht="60" x14ac:dyDescent="0.25">
      <c r="A41" s="7" t="s">
        <v>601</v>
      </c>
      <c r="B41" s="1" t="s">
        <v>1591</v>
      </c>
      <c r="C41" s="1" t="s">
        <v>78</v>
      </c>
      <c r="D41" s="1" t="s">
        <v>2237</v>
      </c>
      <c r="E41" s="1" t="s">
        <v>352</v>
      </c>
      <c r="F41" s="23" t="str">
        <f>IFERROR(INDEX(Brand!$A:$A,MATCH(TRIM(C41),Brand!$B:$B,0)),"NOT FOUND")</f>
        <v>BRAND-073</v>
      </c>
      <c r="G41" s="25" t="s">
        <v>1276</v>
      </c>
      <c r="H41" s="23" t="str">
        <f t="shared" si="0"/>
        <v>INSERT INTO medical_supply_product (active, category, description, name, code, brand_code, uom) VALUES (true, 'Băng keo cá nhân', 'Băng keo cá nhân trong suốt Ace-band Transparent (72x18mm) chứa chất sát khuẩn Benzalkonium Chloride, bảo vệ vết cắt, trầy xước nhỏ. Keo không chứa cao su, an toàn cho da nhạy cảm.', '[Young Chemical Vina] Băng keo cá nhân trong suốt - Ace-band Transparent (72mmx18mm)', 'PRODUCT-00040', 'BRAND-073', 'miếng');</v>
      </c>
    </row>
    <row r="42" spans="1:8" ht="60" x14ac:dyDescent="0.25">
      <c r="A42" s="7" t="s">
        <v>602</v>
      </c>
      <c r="B42" s="1" t="s">
        <v>1592</v>
      </c>
      <c r="C42" s="1" t="s">
        <v>78</v>
      </c>
      <c r="D42" s="1" t="s">
        <v>2237</v>
      </c>
      <c r="E42" s="1" t="s">
        <v>353</v>
      </c>
      <c r="F42" s="23" t="str">
        <f>IFERROR(INDEX(Brand!$A:$A,MATCH(TRIM(C42),Brand!$B:$B,0)),"NOT FOUND")</f>
        <v>BRAND-073</v>
      </c>
      <c r="G42" s="25" t="s">
        <v>1276</v>
      </c>
      <c r="H42" s="23" t="str">
        <f t="shared" si="0"/>
        <v>INSERT INTO medical_supply_product (active, category, description, name, code, brand_code, uom) VALUES (true, 'Băng keo cá nhân', 'Băng keo cá nhân vải Ace-band (60x19mm) chứa chất sát khuẩn Benzalkonium Chloride, bảo vệ vết cắt, trầy xước nhỏ. Keo không chứa cao su, an toàn cho da nhạy cảm.', '[Young Chemical Vina] Băng keo cá nhân vải - Ace-band (60mmx19mm)', 'PRODUCT-00041', 'BRAND-073', 'miếng');</v>
      </c>
    </row>
    <row r="43" spans="1:8" ht="45" x14ac:dyDescent="0.25">
      <c r="A43" s="7" t="s">
        <v>603</v>
      </c>
      <c r="B43" s="1" t="s">
        <v>1593</v>
      </c>
      <c r="C43" s="1" t="s">
        <v>78</v>
      </c>
      <c r="D43" s="1" t="s">
        <v>2239</v>
      </c>
      <c r="E43" s="1" t="s">
        <v>354</v>
      </c>
      <c r="F43" s="23" t="str">
        <f>IFERROR(INDEX(Brand!$A:$A,MATCH(TRIM(C43),Brand!$B:$B,0)),"NOT FOUND")</f>
        <v>BRAND-073</v>
      </c>
      <c r="G43" s="25" t="s">
        <v>1280</v>
      </c>
      <c r="H43" s="23" t="str">
        <f t="shared" si="0"/>
        <v>INSERT INTO medical_supply_product (active, category, description, name, code, brand_code, uom) VALUES (true, 'Băng keo cuộn', 'Băng keo cuộn co giãn Fix Roll (10cm x 2,5m) bằng vải không dệt thoáng khí, dùng cố định ống truyền, kim luồn và băng gạc. Bám dính tốt, co giãn cao, ít kích ứng.', '[Young Chemical Vina] Băng keo cuộn co giãn - Fix Roll (5cmx10m)', 'PRODUCT-00042', 'BRAND-073', 'cuộn');</v>
      </c>
    </row>
    <row r="44" spans="1:8" ht="45" x14ac:dyDescent="0.25">
      <c r="A44" s="7" t="s">
        <v>604</v>
      </c>
      <c r="B44" s="1" t="s">
        <v>1594</v>
      </c>
      <c r="C44" s="1" t="s">
        <v>78</v>
      </c>
      <c r="D44" s="1" t="s">
        <v>2239</v>
      </c>
      <c r="E44" s="1" t="s">
        <v>355</v>
      </c>
      <c r="F44" s="23" t="str">
        <f>IFERROR(INDEX(Brand!$A:$A,MATCH(TRIM(C44),Brand!$B:$B,0)),"NOT FOUND")</f>
        <v>BRAND-073</v>
      </c>
      <c r="G44" s="25" t="s">
        <v>1280</v>
      </c>
      <c r="H44" s="23" t="str">
        <f t="shared" si="0"/>
        <v>INSERT INTO medical_supply_product (active, category, description, name, code, brand_code, uom) VALUES (true, 'Băng keo cuộn', 'Băng keo cuộn giấy Young Plaster-Paper (1,25cm x 5m) dùng cố định ống truyền, kim luồn và băng gạc. Dịu nhẹ, phù hợp da nhạy cảm.', '[Young Chemical Vina] Băng keo cuộn giấy dành cho da nhạy cảm - Young Plaster-Paper (1.25cmx5m)', 'PRODUCT-00043', 'BRAND-073', 'cuộn');</v>
      </c>
    </row>
    <row r="45" spans="1:8" ht="60" x14ac:dyDescent="0.25">
      <c r="A45" s="7" t="s">
        <v>605</v>
      </c>
      <c r="B45" s="1" t="s">
        <v>1595</v>
      </c>
      <c r="C45" s="1" t="s">
        <v>78</v>
      </c>
      <c r="D45" s="1" t="s">
        <v>2239</v>
      </c>
      <c r="E45" s="1" t="s">
        <v>356</v>
      </c>
      <c r="F45" s="23" t="str">
        <f>IFERROR(INDEX(Brand!$A:$A,MATCH(TRIM(C45),Brand!$B:$B,0)),"NOT FOUND")</f>
        <v>BRAND-073</v>
      </c>
      <c r="G45" s="25" t="s">
        <v>1280</v>
      </c>
      <c r="H45" s="23" t="str">
        <f t="shared" si="0"/>
        <v>INSERT INTO medical_supply_product (active, category, description, name, code, brand_code, uom) VALUES (true, 'Băng keo cuộn', 'Băng keo cuộn lụa Young Plaster-Silk (1,25cm x 5m) dùng cố định băng gạc, ống truyền, kim luồn. Keo acrylic không latex bám chắc, thoáng khí, không sót keo; xé được bằng tay.', '[Young Chemical Vina] Băng keo cuộn lụa - Young Plaster-Silk (1.25cmx5m)', 'PRODUCT-00044', 'BRAND-073', 'cuộn');</v>
      </c>
    </row>
    <row r="46" spans="1:8" ht="60" x14ac:dyDescent="0.25">
      <c r="A46" s="7" t="s">
        <v>606</v>
      </c>
      <c r="B46" s="1" t="s">
        <v>1596</v>
      </c>
      <c r="C46" s="1" t="s">
        <v>78</v>
      </c>
      <c r="D46" s="1" t="s">
        <v>2235</v>
      </c>
      <c r="E46" s="1" t="s">
        <v>357</v>
      </c>
      <c r="F46" s="23" t="str">
        <f>IFERROR(INDEX(Brand!$A:$A,MATCH(TRIM(C46),Brand!$B:$B,0)),"NOT FOUND")</f>
        <v>BRAND-073</v>
      </c>
      <c r="G46" s="25" t="s">
        <v>1276</v>
      </c>
      <c r="H46" s="23" t="str">
        <f t="shared" si="0"/>
        <v>INSERT INTO medical_supply_product (active, category, description, name, code, brand_code, uom) VALUES (true, 'Băng gạc vô trùng', 'Băng vô trùng trong suốt Sterile Adflex (Non-Pad) không gạc, chống nước, dùng cố định băng gạc, ống truyền, kim luồn. Co giãn tốt, dán được ở vai, khuỷu tay, đầu gối; tiệt trùng EO, đóng gói từng miếng.', '[Young Chemical Vina] Băng vô trùng không gạc trong suốt không thấm nước - Sterile Adflex (Non-Pad) (10cmx12cm)', 'PRODUCT-00045', 'BRAND-073', 'miếng');</v>
      </c>
    </row>
    <row r="47" spans="1:8" ht="75" x14ac:dyDescent="0.25">
      <c r="A47" s="7" t="s">
        <v>607</v>
      </c>
      <c r="B47" s="1" t="s">
        <v>1597</v>
      </c>
      <c r="C47" s="1" t="s">
        <v>78</v>
      </c>
      <c r="D47" s="1" t="s">
        <v>2219</v>
      </c>
      <c r="E47" s="1" t="s">
        <v>358</v>
      </c>
      <c r="F47" s="23" t="str">
        <f>IFERROR(INDEX(Brand!$A:$A,MATCH(TRIM(C47),Brand!$B:$B,0)),"NOT FOUND")</f>
        <v>BRAND-073</v>
      </c>
      <c r="G47" s="25" t="s">
        <v>1276</v>
      </c>
      <c r="H47" s="23" t="str">
        <f t="shared" si="0"/>
        <v>INSERT INTO medical_supply_product (active, category, description, name, code, brand_code, uom) VALUES (true, 'Băng dán hydrocolloid', 'Miếng dán hydrocolloid Somaderm-L cho vết thương tiết dịch ít đến trung bình như trầy xước, vết mổ, bỏng, mụn, vết loét. Tạo môi trường ẩm giúp mau lành, hạn chế sẹo; không dính vết thương khi tháo, chống nước tốt.', '[Young Chemical Vina] Miếng dán hydrocolloid hỗ trợ làm lành vết thương - Somaderm-L (7.5cmx7.5cm)', 'PRODUCT-00046', 'BRAND-073', 'miếng');</v>
      </c>
    </row>
    <row r="48" spans="1:8" ht="60" x14ac:dyDescent="0.25">
      <c r="A48" s="7" t="s">
        <v>608</v>
      </c>
      <c r="B48" s="1" t="s">
        <v>129</v>
      </c>
      <c r="C48" s="1" t="s">
        <v>39</v>
      </c>
      <c r="D48" s="1" t="s">
        <v>2214</v>
      </c>
      <c r="E48" s="1" t="s">
        <v>359</v>
      </c>
      <c r="F48" s="23" t="str">
        <f>IFERROR(INDEX(Brand!$A:$A,MATCH(TRIM(C48),Brand!$B:$B,0)),"NOT FOUND")</f>
        <v>BRAND-031</v>
      </c>
      <c r="G48" s="25" t="s">
        <v>1275</v>
      </c>
      <c r="H48" s="23" t="str">
        <f t="shared" si="0"/>
        <v>INSERT INTO medical_supply_product (active, category, description, name, code, brand_code, uom) VALUES (true, 'Bộ gạc áp lực âm (VAC)', 'Bộ gạc xốp MJ-03 dùng kèm máy hút áp lực âm VAC MJ-100 có chức năng rửa, điều trị vết thương mạn tính, khó lành. Hệ thống khép kín giúp rửa, dẫn lưu dịch, giữ ẩm và kích thích mô hạt phát triển.', 'Bộ gạc xốp phủ vết thương điều trị áp lực âm kèm chức năng rửa - MJ-03', 'PRODUCT-00047', 'BRAND-031', 'bộ');</v>
      </c>
    </row>
    <row r="49" spans="1:8" ht="75" x14ac:dyDescent="0.25">
      <c r="A49" s="7" t="s">
        <v>609</v>
      </c>
      <c r="B49" s="1" t="s">
        <v>222</v>
      </c>
      <c r="C49" s="1" t="s">
        <v>39</v>
      </c>
      <c r="D49" s="1" t="s">
        <v>2212</v>
      </c>
      <c r="E49" s="1" t="s">
        <v>360</v>
      </c>
      <c r="F49" s="23" t="str">
        <f>IFERROR(INDEX(Brand!$A:$A,MATCH(TRIM(C49),Brand!$B:$B,0)),"NOT FOUND")</f>
        <v>BRAND-031</v>
      </c>
      <c r="G49" s="25" t="s">
        <v>1275</v>
      </c>
      <c r="H49" s="23" t="str">
        <f t="shared" si="0"/>
        <v>INSERT INTO medical_supply_product (active, category, description, name, code, brand_code, uom) VALUES (true, 'Máy hút áp lực âm (VAC)', 'Máy hút áp lực âm VAC MJ-100 (NPWT) điều trị vết thương mạn tính, khó lành, loét tiểu đường, bỏng sâu, vết mổ lớn nhiều dịch. Giúp hút dịch, giảm phù nề, tăng tuần hoàn và tạo mô hạt sớm; dùng kèm bộ gạc xốp MJ-03.', 'Máy hút dịch áp lực âm VAC - MJ-100', 'PRODUCT-00048', 'BRAND-031', 'bộ');</v>
      </c>
    </row>
    <row r="50" spans="1:8" ht="60" x14ac:dyDescent="0.25">
      <c r="A50" s="7" t="s">
        <v>610</v>
      </c>
      <c r="B50" s="1" t="s">
        <v>1598</v>
      </c>
      <c r="C50" s="1" t="s">
        <v>39</v>
      </c>
      <c r="D50" s="1" t="s">
        <v>2233</v>
      </c>
      <c r="E50" s="1" t="s">
        <v>361</v>
      </c>
      <c r="F50" s="23" t="str">
        <f>IFERROR(INDEX(Brand!$A:$A,MATCH(TRIM(C50),Brand!$B:$B,0)),"NOT FOUND")</f>
        <v>BRAND-031</v>
      </c>
      <c r="G50" s="25" t="s">
        <v>1276</v>
      </c>
      <c r="H50" s="23" t="str">
        <f t="shared" si="0"/>
        <v>INSERT INTO medical_supply_product (active, category, description, name, code, brand_code, uom) VALUES (true, 'Miếng dán trị sẹo', 'Miếng dán ép sẹo silicone (10 x 1,7cm) giúp làm phẳng và mờ sẹo lồi sau phẫu thuật, bỏng, tai nạn, mụn. Silicone y tế giữ ẩm và tạo lực ép liên tục, không bí da, không kích ứng.', 'Miếng dán ép sẹo silicone (10cmx1.7cm)', 'PRODUCT-00049', 'BRAND-031', 'miếng');</v>
      </c>
    </row>
    <row r="51" spans="1:8" ht="60" x14ac:dyDescent="0.25">
      <c r="A51" s="7" t="s">
        <v>611</v>
      </c>
      <c r="B51" s="1" t="s">
        <v>1599</v>
      </c>
      <c r="C51" s="1" t="s">
        <v>18</v>
      </c>
      <c r="D51" s="1" t="s">
        <v>309</v>
      </c>
      <c r="E51" s="1" t="s">
        <v>362</v>
      </c>
      <c r="F51" s="23" t="str">
        <f>IFERROR(INDEX(Brand!$A:$A,MATCH(TRIM(C51),Brand!$B:$B,0)),"NOT FOUND")</f>
        <v>BRAND-004</v>
      </c>
      <c r="G51" s="25" t="s">
        <v>1278</v>
      </c>
      <c r="H51" s="23" t="str">
        <f t="shared" si="0"/>
        <v>INSERT INTO medical_supply_product (active, category, description, name, code, brand_code, uom) VALUES (true, 'Xịt lạnh giảm đau', 'Bình xịt lạnh Chillit 250ml (Aveflor, Cộng hòa Séc) làm lạnh tức thì, giúp giảm đau, giảm sưng và hạn chế bầm tím khi chấn thương cấp. Phù hợp vận động viên, người chơi thể thao và vận động mạnh.', '[Aveflor] Bình xịt lạnh giảm đau - Chillit (250ml)', 'PRODUCT-00050', 'BRAND-004', 'chai');</v>
      </c>
    </row>
    <row r="52" spans="1:8" ht="60" x14ac:dyDescent="0.25">
      <c r="A52" s="7" t="s">
        <v>612</v>
      </c>
      <c r="B52" s="1" t="s">
        <v>125</v>
      </c>
      <c r="C52" s="1" t="s">
        <v>22</v>
      </c>
      <c r="D52" s="1" t="s">
        <v>2244</v>
      </c>
      <c r="E52" s="1" t="s">
        <v>363</v>
      </c>
      <c r="F52" s="23" t="str">
        <f>IFERROR(INDEX(Brand!$A:$A,MATCH(TRIM(C52),Brand!$B:$B,0)),"NOT FOUND")</f>
        <v>BRAND-009</v>
      </c>
      <c r="G52" s="25" t="s">
        <v>1281</v>
      </c>
      <c r="H52" s="23" t="str">
        <f t="shared" si="0"/>
        <v>INSERT INTO medical_supply_product (active, category, description, name, code, brand_code, uom) VALUES (true, 'Đai hỗ trợ đầu gối', 'Băng thun đầu gối CODY dạng ống, co giãn 4 chiều, tạo lực nén nhẹ giúp giữ ấm và hỗ trợ khớp gối, giảm đau và viêm. Phù hợp người lớn tuổi, người viêm khớp hoặc đang chấn thương.', '[CODY Health] Băng thun bảo vệ đầu gối', 'PRODUCT-00051', 'BRAND-009', 'chiếc');</v>
      </c>
    </row>
    <row r="53" spans="1:8" ht="75" x14ac:dyDescent="0.25">
      <c r="A53" s="7" t="s">
        <v>613</v>
      </c>
      <c r="B53" s="1" t="s">
        <v>157</v>
      </c>
      <c r="C53" s="1" t="s">
        <v>22</v>
      </c>
      <c r="D53" s="1" t="s">
        <v>2244</v>
      </c>
      <c r="E53" s="1" t="s">
        <v>364</v>
      </c>
      <c r="F53" s="23" t="str">
        <f>IFERROR(INDEX(Brand!$A:$A,MATCH(TRIM(C53),Brand!$B:$B,0)),"NOT FOUND")</f>
        <v>BRAND-009</v>
      </c>
      <c r="G53" s="25" t="s">
        <v>1281</v>
      </c>
      <c r="H53" s="23" t="str">
        <f t="shared" si="0"/>
        <v>INSERT INTO medical_supply_product (active, category, description, name, code, brand_code, uom) VALUES (true, 'Đai hỗ trợ đầu gối', 'Đai đầu gối thể thao CODY có thiết kế hở xương bánh chè, giúp cố định, ổn định khớp gối và giảm áp lực khi vận động. Phù hợp người tập luyện cường độ cao, bị bong gân nhẹ, căng cơ, viêm khớp hoặc đang phục hồi chấn thương.', '[CODY Health] Đai đầu gối tập luyện thể thao', 'PRODUCT-00052', 'BRAND-009', 'chiếc');</v>
      </c>
    </row>
    <row r="54" spans="1:8" ht="60" x14ac:dyDescent="0.25">
      <c r="A54" s="7" t="s">
        <v>614</v>
      </c>
      <c r="B54" s="1" t="s">
        <v>159</v>
      </c>
      <c r="C54" s="1" t="s">
        <v>22</v>
      </c>
      <c r="D54" s="1" t="s">
        <v>103</v>
      </c>
      <c r="E54" s="1" t="s">
        <v>365</v>
      </c>
      <c r="F54" s="23" t="str">
        <f>IFERROR(INDEX(Brand!$A:$A,MATCH(TRIM(C54),Brand!$B:$B,0)),"NOT FOUND")</f>
        <v>BRAND-009</v>
      </c>
      <c r="G54" s="25" t="s">
        <v>1274</v>
      </c>
      <c r="H54" s="23" t="str">
        <f t="shared" si="0"/>
        <v>INSERT INTO medical_supply_product (active, category, description, name, code, brand_code, uom) VALUES (true, 'Đai lưng cột sống', 'Đai lưng CODY có nẹp nhựa định hình, giúp nâng đỡ cột sống, giảm áp lực, giảm đau lưng và mỏi cơ. Phù hợp người mang vác nặng, đứng hoặc ngồi lâu, người cao tuổi.', '[CODY Health] Đai lưng cố định cột sống', 'PRODUCT-00053', 'BRAND-009', 'cái');</v>
      </c>
    </row>
    <row r="55" spans="1:8" ht="60" x14ac:dyDescent="0.25">
      <c r="A55" s="7" t="s">
        <v>615</v>
      </c>
      <c r="B55" s="1" t="s">
        <v>299</v>
      </c>
      <c r="C55" s="1" t="s">
        <v>22</v>
      </c>
      <c r="D55" s="1" t="s">
        <v>2249</v>
      </c>
      <c r="E55" s="1" t="s">
        <v>366</v>
      </c>
      <c r="F55" s="23" t="str">
        <f>IFERROR(INDEX(Brand!$A:$A,MATCH(TRIM(C55),Brand!$B:$B,0)),"NOT FOUND")</f>
        <v>BRAND-009</v>
      </c>
      <c r="G55" s="25" t="s">
        <v>1282</v>
      </c>
      <c r="H55" s="23" t="str">
        <f t="shared" si="0"/>
        <v>INSERT INTO medical_supply_product (active, category, description, name, code, brand_code, uom) VALUES (true, 'Vớ y khoa giãn tĩnh mạch', 'Vớ đùi y khoa CODY có silicone chống trượt, áp lực giảm dần từ cổ chân lên đùi giúp tăng tuần hoàn máu, hỗ trợ điều trị và ngăn ngừa suy giãn tĩnh mạch chân. Phù hợp người phải đứng hoặc ngồi lâu, ít vận động.', '[CODY Health] Vớ đùi y khoa giãn tĩnh mạch có silicone chống trượt', 'PRODUCT-00054', 'BRAND-009', 'đôi');</v>
      </c>
    </row>
    <row r="56" spans="1:8" ht="60" x14ac:dyDescent="0.25">
      <c r="A56" s="7" t="s">
        <v>616</v>
      </c>
      <c r="B56" s="1" t="s">
        <v>300</v>
      </c>
      <c r="C56" s="1" t="s">
        <v>22</v>
      </c>
      <c r="D56" s="1" t="s">
        <v>2249</v>
      </c>
      <c r="E56" s="1" t="s">
        <v>367</v>
      </c>
      <c r="F56" s="23" t="str">
        <f>IFERROR(INDEX(Brand!$A:$A,MATCH(TRIM(C56),Brand!$B:$B,0)),"NOT FOUND")</f>
        <v>BRAND-009</v>
      </c>
      <c r="G56" s="25" t="s">
        <v>1282</v>
      </c>
      <c r="H56" s="23" t="str">
        <f t="shared" si="0"/>
        <v>INSERT INTO medical_supply_product (active, category, description, name, code, brand_code, uom) VALUES (true, 'Vớ y khoa giãn tĩnh mạch', 'Vớ gối y khoa CODY với áp lực giảm dần từ cổ chân lên gối, giúp tăng tuần hoàn máu, hỗ trợ điều trị và ngăn ngừa suy giãn tĩnh mạch chân. Phù hợp người phải đứng hoặc ngồi lâu, ít vận động.', '[CODY Health] Vớ gối y khoa giãn tĩnh mạch', 'PRODUCT-00055', 'BRAND-009', 'đôi');</v>
      </c>
    </row>
    <row r="57" spans="1:8" ht="60" x14ac:dyDescent="0.25">
      <c r="A57" s="7" t="s">
        <v>617</v>
      </c>
      <c r="B57" s="1" t="s">
        <v>1625</v>
      </c>
      <c r="C57" s="1" t="s">
        <v>22</v>
      </c>
      <c r="D57" s="1" t="s">
        <v>2249</v>
      </c>
      <c r="E57" s="1" t="s">
        <v>368</v>
      </c>
      <c r="F57" s="23" t="str">
        <f>IFERROR(INDEX(Brand!$A:$A,MATCH(TRIM(C57),Brand!$B:$B,0)),"NOT FOUND")</f>
        <v>BRAND-009</v>
      </c>
      <c r="G57" s="25" t="s">
        <v>1282</v>
      </c>
      <c r="H57" s="23" t="str">
        <f t="shared" si="0"/>
        <v>INSERT INTO medical_supply_product (active, category, description, name, code, brand_code, uom) VALUES (true, 'Vớ y khoa giãn tĩnh mạch', 'Vớ y khoa CODY với áp lực giảm dần từ cổ chân lên trên, giúp tăng tuần hoàn máu, hỗ trợ điều trị và ngăn ngừa suy giãn tĩnh mạch chân. Phù hợp người phải đứng hoặc ngồi lâu, ít vận động.', '[CODY Health] Vớ y khoa giãn tĩnh mạch (Vớ gối)', 'PRODUCT-00056', 'BRAND-009', 'đôi');</v>
      </c>
    </row>
    <row r="58" spans="1:8" ht="75" x14ac:dyDescent="0.25">
      <c r="A58" s="7" t="s">
        <v>618</v>
      </c>
      <c r="B58" s="1" t="s">
        <v>155</v>
      </c>
      <c r="C58" s="1" t="s">
        <v>32</v>
      </c>
      <c r="D58" s="1" t="s">
        <v>105</v>
      </c>
      <c r="E58" s="1" t="s">
        <v>369</v>
      </c>
      <c r="F58" s="23" t="str">
        <f>IFERROR(INDEX(Brand!$A:$A,MATCH(TRIM(C58),Brand!$B:$B,0)),"NOT FOUND")</f>
        <v>BRAND-022</v>
      </c>
      <c r="G58" s="25" t="s">
        <v>1275</v>
      </c>
      <c r="H58" s="23" t="str">
        <f t="shared" si="0"/>
        <v>INSERT INTO medical_supply_product (active, category, description, name, code, brand_code, uom) VALUES (true, 'Đai chườm thảo dược', 'Đai chườm bàn chân Hapaku làm nóng bằng điện kết hợp thảo dược tự nhiên, giúp giảm đau mỏi, tê lạnh bàn chân và cổ chân, tăng tuần hoàn, ngủ ngon hơn. Dùng được 3–4 năm; tấm thảo dược thay thế sau khoảng 100 lần dùng.', '[Hapaku] Đai chườm thảo dược bàn chân làm nóng bằng điện', 'PRODUCT-00057', 'BRAND-022', 'bộ');</v>
      </c>
    </row>
    <row r="59" spans="1:8" ht="60" x14ac:dyDescent="0.25">
      <c r="A59" s="7" t="s">
        <v>619</v>
      </c>
      <c r="B59" s="1" t="s">
        <v>1600</v>
      </c>
      <c r="C59" s="1" t="s">
        <v>32</v>
      </c>
      <c r="D59" s="1" t="s">
        <v>105</v>
      </c>
      <c r="E59" s="1" t="s">
        <v>370</v>
      </c>
      <c r="F59" s="23" t="str">
        <f>IFERROR(INDEX(Brand!$A:$A,MATCH(TRIM(C59),Brand!$B:$B,0)),"NOT FOUND")</f>
        <v>BRAND-022</v>
      </c>
      <c r="G59" s="25" t="s">
        <v>1275</v>
      </c>
      <c r="H59" s="23" t="str">
        <f t="shared" si="0"/>
        <v>INSERT INTO medical_supply_product (active, category, description, name, code, brand_code, uom) VALUES (true, 'Đai chườm thảo dược', 'Đai chườm cổ gáy Hapaku làm nóng bằng điện kết hợp thảo dược tự nhiên, giúp giảm đau nhức và thư giãn vùng cổ gáy. Phù hợp người thoái hóa đốt sống cổ, thoát vị đĩa đệm, ngồi làm việc lâu, người cao tuổi.', '[Hapaku] Đai chườm thảo dược cổ gáy làm nóng bằng điện (50cmx11cm)', 'PRODUCT-00058', 'BRAND-022', 'bộ');</v>
      </c>
    </row>
    <row r="60" spans="1:8" ht="75" x14ac:dyDescent="0.25">
      <c r="A60" s="7" t="s">
        <v>620</v>
      </c>
      <c r="B60" s="1" t="s">
        <v>156</v>
      </c>
      <c r="C60" s="1" t="s">
        <v>32</v>
      </c>
      <c r="D60" s="1" t="s">
        <v>105</v>
      </c>
      <c r="E60" s="1" t="s">
        <v>371</v>
      </c>
      <c r="F60" s="23" t="str">
        <f>IFERROR(INDEX(Brand!$A:$A,MATCH(TRIM(C60),Brand!$B:$B,0)),"NOT FOUND")</f>
        <v>BRAND-022</v>
      </c>
      <c r="G60" s="25" t="s">
        <v>1275</v>
      </c>
      <c r="H60" s="23" t="str">
        <f t="shared" si="0"/>
        <v>INSERT INTO medical_supply_product (active, category, description, name, code, brand_code, uom) VALUES (true, 'Đai chườm thảo dược', 'Đai chườm lưng bụng Hapaku làm nóng bằng điện với thảo dược tự nhiên (ngải cứu, quế, hồi, gừng, nghệ), giúp giảm đau lưng sau khoảng 20 phút. Phù hợp người thoái hóa, thoát vị cột sống, ngồi lâu, người cao tuổi, phụ nữ mang thai.', '[Hapaku] Đai chườm thảo dược lưng bụng làm nóng bằng điện', 'PRODUCT-00059', 'BRAND-022', 'bộ');</v>
      </c>
    </row>
    <row r="61" spans="1:8" ht="75" x14ac:dyDescent="0.25">
      <c r="A61" s="7" t="s">
        <v>621</v>
      </c>
      <c r="B61" s="1" t="s">
        <v>1601</v>
      </c>
      <c r="C61" s="1" t="s">
        <v>32</v>
      </c>
      <c r="D61" s="1" t="s">
        <v>105</v>
      </c>
      <c r="E61" s="1" t="s">
        <v>372</v>
      </c>
      <c r="F61" s="23" t="str">
        <f>IFERROR(INDEX(Brand!$A:$A,MATCH(TRIM(C61),Brand!$B:$B,0)),"NOT FOUND")</f>
        <v>BRAND-022</v>
      </c>
      <c r="G61" s="25" t="s">
        <v>1275</v>
      </c>
      <c r="H61" s="23" t="str">
        <f t="shared" si="0"/>
        <v>INSERT INTO medical_supply_product (active, category, description, name, code, brand_code, uom) VALUES (true, 'Đai chườm thảo dược', 'Đai chườm vai gáy cổ Hapaku làm nóng bằng điện kết hợp thảo dược tự nhiên, giúp giảm đau nhức, tê mỏi sau khoảng 20 phút. Phù hợp người thoái hóa đốt sống cổ, thoát vị đĩa đệm, đau vai gáy do sai tư thế; dùng được 3–4 năm.', '[Hapaku] Đai chườm thảo dược vai gáy cổ làm nóng bằng điện (35cmx48cm)', 'PRODUCT-00060', 'BRAND-022', 'bộ');</v>
      </c>
    </row>
    <row r="62" spans="1:8" ht="60" x14ac:dyDescent="0.25">
      <c r="A62" s="7" t="s">
        <v>622</v>
      </c>
      <c r="B62" s="1" t="s">
        <v>1602</v>
      </c>
      <c r="C62" s="1" t="s">
        <v>32</v>
      </c>
      <c r="D62" s="1" t="s">
        <v>105</v>
      </c>
      <c r="E62" s="1" t="s">
        <v>373</v>
      </c>
      <c r="F62" s="23" t="str">
        <f>IFERROR(INDEX(Brand!$A:$A,MATCH(TRIM(C62),Brand!$B:$B,0)),"NOT FOUND")</f>
        <v>BRAND-022</v>
      </c>
      <c r="G62" s="25" t="s">
        <v>1275</v>
      </c>
      <c r="H62" s="23" t="str">
        <f t="shared" si="0"/>
        <v>INSERT INTO medical_supply_product (active, category, description, name, code, brand_code, uom) VALUES (true, 'Đai chườm thảo dược', 'Gối chườm đa năng Hapaku làm nóng bằng điện với 100% thảo dược tự nhiên, dùng giảm đau đầu, vai gáy, lưng hông, bắp chân, đau bụng kinh và giữ ấm cơ thể. Tiện kê gáy khi ngồi làm việc hoặc nghỉ trưa.', '[Hapaku] Gối chườm thảo dược đa năng làm nóng bằng điện (34cmx24cm)', 'PRODUCT-00061', 'BRAND-022', 'bộ');</v>
      </c>
    </row>
    <row r="63" spans="1:8" ht="60" x14ac:dyDescent="0.25">
      <c r="A63" s="7" t="s">
        <v>623</v>
      </c>
      <c r="B63" s="1" t="s">
        <v>158</v>
      </c>
      <c r="C63" s="1" t="s">
        <v>49</v>
      </c>
      <c r="D63" s="1" t="s">
        <v>2244</v>
      </c>
      <c r="E63" s="1" t="s">
        <v>374</v>
      </c>
      <c r="F63" s="23" t="str">
        <f>IFERROR(INDEX(Brand!$A:$A,MATCH(TRIM(C63),Brand!$B:$B,0)),"NOT FOUND")</f>
        <v>BRAND-042</v>
      </c>
      <c r="G63" s="25" t="s">
        <v>1282</v>
      </c>
      <c r="H63" s="23" t="str">
        <f t="shared" si="0"/>
        <v>INSERT INTO medical_supply_product (active, category, description, name, code, brand_code, uom) VALUES (true, 'Đai hỗ trợ đầu gối', 'Đai đầu gối Merisocks dệt theo công nghệ IIDA (Nhật Bản), giúp bảo vệ và nâng đỡ khớp gối trong sinh hoạt hằng ngày. Bền, đàn hồi, không bí; hai thanh định hình giúp ôm chắc, không xê dịch khi vận động.', '[Merisocks] Đai hỗ trợ đầu gối', 'PRODUCT-00062', 'BRAND-042', 'đôi');</v>
      </c>
    </row>
    <row r="64" spans="1:8" ht="75" x14ac:dyDescent="0.25">
      <c r="A64" s="7" t="s">
        <v>624</v>
      </c>
      <c r="B64" s="1" t="s">
        <v>301</v>
      </c>
      <c r="C64" s="1" t="s">
        <v>49</v>
      </c>
      <c r="D64" s="1" t="s">
        <v>2249</v>
      </c>
      <c r="E64" s="1" t="s">
        <v>375</v>
      </c>
      <c r="F64" s="23" t="str">
        <f>IFERROR(INDEX(Brand!$A:$A,MATCH(TRIM(C64),Brand!$B:$B,0)),"NOT FOUND")</f>
        <v>BRAND-042</v>
      </c>
      <c r="G64" s="25" t="s">
        <v>1282</v>
      </c>
      <c r="H64" s="23" t="str">
        <f t="shared" si="0"/>
        <v>INSERT INTO medical_supply_product (active, category, description, name, code, brand_code, uom) VALUES (true, 'Vớ y khoa giãn tĩnh mạch', 'Vớ nén bắp chân Merisocks (công nghệ IIDA, Nhật Bản) với áp lực nhẹ 12–18mmHg, giúp phòng ngừa suy giãn tĩnh mạch, tăng tuần hoàn và giảm mỏi, tê chân. Phù hợp người đứng hoặc ngồi lâu, đi xa bằng máy bay, tàu xe.', '[Merisocks] Vớ nén bắp chân chống suy giãn tĩnh mạch', 'PRODUCT-00063', 'BRAND-042', 'đôi');</v>
      </c>
    </row>
    <row r="65" spans="1:8" ht="60" x14ac:dyDescent="0.25">
      <c r="A65" s="7" t="s">
        <v>625</v>
      </c>
      <c r="B65" s="1" t="s">
        <v>223</v>
      </c>
      <c r="C65" s="1" t="s">
        <v>5</v>
      </c>
      <c r="D65" s="1" t="s">
        <v>99</v>
      </c>
      <c r="E65" s="1" t="s">
        <v>376</v>
      </c>
      <c r="F65" s="23" t="str">
        <f>IFERROR(INDEX(Brand!$A:$A,MATCH(TRIM(C65),Brand!$B:$B,0)),"NOT FOUND")</f>
        <v>BRAND-045</v>
      </c>
      <c r="G65" s="25" t="s">
        <v>1275</v>
      </c>
      <c r="H65" s="23" t="str">
        <f t="shared" si="0"/>
        <v>INSERT INTO medical_supply_product (active, category, description, name, code, brand_code, uom) VALUES (true, 'Máy massage xung điện', 'Máy massage xung điện Omron HV-F013 dùng công nghệ TENS giúp giảm đau cơ, đau dây thần kinh và tăng tuần hoàn máu. Hỗ trợ trị liệu đau lưng, đau khớp, thoát vị đĩa đệm, gai cột sống; nhỏ gọn, dễ mang theo.', '[Omron] Máy massage xung điện trị liệu - HV-F013', 'PRODUCT-00064', 'BRAND-045', 'bộ');</v>
      </c>
    </row>
    <row r="66" spans="1:8" ht="90" x14ac:dyDescent="0.25">
      <c r="A66" s="7" t="s">
        <v>626</v>
      </c>
      <c r="B66" s="1" t="s">
        <v>224</v>
      </c>
      <c r="C66" s="1" t="s">
        <v>5</v>
      </c>
      <c r="D66" s="1" t="s">
        <v>99</v>
      </c>
      <c r="E66" s="1" t="s">
        <v>377</v>
      </c>
      <c r="F66" s="23" t="str">
        <f>IFERROR(INDEX(Brand!$A:$A,MATCH(TRIM(C66),Brand!$B:$B,0)),"NOT FOUND")</f>
        <v>BRAND-045</v>
      </c>
      <c r="G66" s="25" t="s">
        <v>1275</v>
      </c>
      <c r="H66" s="23" t="str">
        <f t="shared" si="0"/>
        <v>INSERT INTO medical_supply_product (active, category, description, name, code, brand_code, uom) VALUES (true, 'Máy massage xung điện', 'Máy massage xung điện Omron HV-F127 dùng công nghệ TENS giúp giảm đau cơ, đau dây thần kinh và tăng tuần hoàn máu, có nhiều chương trình và chế độ massage. Dùng cho vai, lưng, khớp, tay chân, lòng bàn chân; hỗ trợ người bệnh xương khớp, liệt, phục hồi chấn thương.', '[Omron] Máy massage xung điện trị liệu - HV-F127', 'PRODUCT-00065', 'BRAND-045', 'bộ');</v>
      </c>
    </row>
    <row r="67" spans="1:8" ht="75" x14ac:dyDescent="0.25">
      <c r="A67" s="7" t="s">
        <v>627</v>
      </c>
      <c r="B67" s="1" t="s">
        <v>225</v>
      </c>
      <c r="C67" s="1" t="s">
        <v>5</v>
      </c>
      <c r="D67" s="1" t="s">
        <v>99</v>
      </c>
      <c r="E67" s="1" t="s">
        <v>378</v>
      </c>
      <c r="F67" s="23" t="str">
        <f>IFERROR(INDEX(Brand!$A:$A,MATCH(TRIM(C67),Brand!$B:$B,0)),"NOT FOUND")</f>
        <v>BRAND-045</v>
      </c>
      <c r="G67" s="25" t="s">
        <v>1275</v>
      </c>
      <c r="H67" s="23" t="str">
        <f t="shared" ref="H67:H130" si="1">"INSERT INTO medical_supply_product (active, category, description, name, code, brand_code, uom) VALUES (true, '"&amp;SUBSTITUTE(D67,"'","''")&amp;"', '"&amp;SUBSTITUTE(E67,"'","''")&amp;"', '"&amp;SUBSTITUTE(B67,"'","''")&amp;"', '"&amp;SUBSTITUTE(A67,"'","''")&amp;"', '"&amp;SUBSTITUTE(F67,"'","''")&amp;"', '"&amp;SUBSTITUTE(G67,"'","''")&amp;"');"</f>
        <v>INSERT INTO medical_supply_product (active, category, description, name, code, brand_code, uom) VALUES (true, 'Máy massage xung điện', 'Máy massage xung điện Omron HV-F128 dùng công nghệ TENS giúp giảm đau cơ, đau dây thần kinh vùng vai, tay, thắt lưng, lòng bàn chân và tăng tuần hoàn máu. Hỗ trợ người bệnh xương khớp, liệt, phục hồi chấn thương thể thao mà không cần dùng thuốc.', '[Omron] Máy massage xung điện trị liệu - HV-F128', 'PRODUCT-00066', 'BRAND-045', 'bộ');</v>
      </c>
    </row>
    <row r="68" spans="1:8" ht="45" x14ac:dyDescent="0.25">
      <c r="A68" s="7" t="s">
        <v>628</v>
      </c>
      <c r="B68" s="1" t="s">
        <v>239</v>
      </c>
      <c r="C68" s="1" t="s">
        <v>5</v>
      </c>
      <c r="D68" s="1" t="s">
        <v>99</v>
      </c>
      <c r="E68" s="1" t="s">
        <v>379</v>
      </c>
      <c r="F68" s="23" t="str">
        <f>IFERROR(INDEX(Brand!$A:$A,MATCH(TRIM(C68),Brand!$B:$B,0)),"NOT FOUND")</f>
        <v>BRAND-045</v>
      </c>
      <c r="G68" s="25" t="s">
        <v>1283</v>
      </c>
      <c r="H68" s="23" t="str">
        <f t="shared" si="1"/>
        <v>INSERT INTO medical_supply_product (active, category, description, name, code, brand_code, uom) VALUES (true, 'Máy massage xung điện', 'Miếng dán điện cực Omron Long Life Pad là phụ kiện thay thế cho máy massage xung điện Omron. Chất liệu an toàn, bền, dùng được lâu.', '[Omron] Miếng dán điện cực máy massage xung điện - Long Life Pad HV-LLPAD-C1', 'PRODUCT-00067', 'BRAND-045', 'cặp');</v>
      </c>
    </row>
    <row r="69" spans="1:8" ht="60" x14ac:dyDescent="0.25">
      <c r="A69" s="7" t="s">
        <v>629</v>
      </c>
      <c r="B69" s="1" t="s">
        <v>154</v>
      </c>
      <c r="C69" s="1" t="s">
        <v>52</v>
      </c>
      <c r="D69" s="1" t="s">
        <v>103</v>
      </c>
      <c r="E69" s="1" t="s">
        <v>380</v>
      </c>
      <c r="F69" s="23" t="str">
        <f>IFERROR(INDEX(Brand!$A:$A,MATCH(TRIM(C69),Brand!$B:$B,0)),"NOT FOUND")</f>
        <v>BRAND-046</v>
      </c>
      <c r="G69" s="25" t="s">
        <v>1274</v>
      </c>
      <c r="H69" s="23" t="str">
        <f t="shared" si="1"/>
        <v>INSERT INTO medical_supply_product (active, category, description, name, code, brand_code, uom) VALUES (true, 'Đai lưng cột sống', 'Đai chống gù lưng Orbe dạng số 8, giúp chỉnh tư thế lưng trên và ngăn đau mỏi cổ vai gáy. Chun co giãn, thoáng khí, dễ đeo; phù hợp học sinh, dân văn phòng, người lao động nặng, người cao tuổi.', '[Orbe] Đai chống gù lưng', 'PRODUCT-00068', 'BRAND-046', 'cái');</v>
      </c>
    </row>
    <row r="70" spans="1:8" ht="60" x14ac:dyDescent="0.25">
      <c r="A70" s="7" t="s">
        <v>630</v>
      </c>
      <c r="B70" s="1" t="s">
        <v>160</v>
      </c>
      <c r="C70" s="1" t="s">
        <v>52</v>
      </c>
      <c r="D70" s="1" t="s">
        <v>103</v>
      </c>
      <c r="E70" s="1" t="s">
        <v>381</v>
      </c>
      <c r="F70" s="23" t="str">
        <f>IFERROR(INDEX(Brand!$A:$A,MATCH(TRIM(C70),Brand!$B:$B,0)),"NOT FOUND")</f>
        <v>BRAND-046</v>
      </c>
      <c r="G70" s="25" t="s">
        <v>1274</v>
      </c>
      <c r="H70" s="23" t="str">
        <f t="shared" si="1"/>
        <v>INSERT INTO medical_supply_product (active, category, description, name, code, brand_code, uom) VALUES (true, 'Đai lưng cột sống', 'Đai thắt lưng Orbe Olumba có nẹp nhôm định hình, giúp cố định và nâng đỡ cột sống thắt lưng. Thun bền, đàn hồi, thoáng khí; phù hợp người mang vác nặng, đứng hoặc ngồi lâu, người cao tuổi.', '[Orbe] Đai thắt lưng cột sống cao cấp - Olumba', 'PRODUCT-00069', 'BRAND-046', 'cái');</v>
      </c>
    </row>
    <row r="71" spans="1:8" ht="75" x14ac:dyDescent="0.25">
      <c r="A71" s="7" t="s">
        <v>631</v>
      </c>
      <c r="B71" s="1" t="s">
        <v>1632</v>
      </c>
      <c r="C71" s="1" t="s">
        <v>67</v>
      </c>
      <c r="D71" s="1" t="s">
        <v>2255</v>
      </c>
      <c r="E71" s="1" t="s">
        <v>382</v>
      </c>
      <c r="F71" s="23" t="str">
        <f>IFERROR(INDEX(Brand!$A:$A,MATCH(TRIM(C71),Brand!$B:$B,0)),"NOT FOUND")</f>
        <v>BRAND-062</v>
      </c>
      <c r="G71" s="25" t="s">
        <v>1275</v>
      </c>
      <c r="H71" s="23" t="str">
        <f t="shared" si="1"/>
        <v>INSERT INTO medical_supply_product (active, category, description, name, code, brand_code, uom) VALUES (true, 'Găng tay robot phục hồi chức năng', 'Găng tay robot Timelock hỗ trợ tập phục hồi chức năng bàn tay, giúp cải thiện teo cơ, cứng khớp, tăng tuần hoàn và sức co duỗi. Dành cho bệnh nhân liệt hoặc tổn thương bàn tay; tập liên tục tại nhà, tiết kiệm công chăm sóc.', '[Timelock] Găng tay robot phục hồi chức năng bàn tay (Bên trái)', 'PRODUCT-00070', 'BRAND-062', 'bộ');</v>
      </c>
    </row>
    <row r="72" spans="1:8" ht="60" x14ac:dyDescent="0.25">
      <c r="A72" s="7" t="s">
        <v>632</v>
      </c>
      <c r="B72" s="1" t="s">
        <v>302</v>
      </c>
      <c r="C72" s="1" t="s">
        <v>71</v>
      </c>
      <c r="D72" s="1" t="s">
        <v>2249</v>
      </c>
      <c r="E72" s="1" t="s">
        <v>383</v>
      </c>
      <c r="F72" s="23" t="str">
        <f>IFERROR(INDEX(Brand!$A:$A,MATCH(TRIM(C72),Brand!$B:$B,0)),"NOT FOUND")</f>
        <v>BRAND-065</v>
      </c>
      <c r="G72" s="25" t="s">
        <v>1282</v>
      </c>
      <c r="H72" s="23" t="str">
        <f t="shared" si="1"/>
        <v>INSERT INTO medical_supply_product (active, category, description, name, code, brand_code, uom) VALUES (true, 'Vớ y khoa giãn tĩnh mạch', 'Vớ đùi y khoa Venosan 6000 với áp lực giảm dần từ cổ chân lên đùi, giúp tăng tuần hoàn máu, hỗ trợ điều trị và ngăn suy giãn tĩnh mạch chân tiến triển. Phù hợp người phải đứng hoặc ngồi lâu, ít vận động.', '[Venosan] Vớ y khoa hỗ trợ điều trị suy giãn tĩnh mạch - Venosan 6000', 'PRODUCT-00071', 'BRAND-065', 'đôi');</v>
      </c>
    </row>
    <row r="73" spans="1:8" ht="60" x14ac:dyDescent="0.25">
      <c r="A73" s="7" t="s">
        <v>633</v>
      </c>
      <c r="B73" s="1" t="s">
        <v>1603</v>
      </c>
      <c r="C73" s="1" t="s">
        <v>23</v>
      </c>
      <c r="D73" s="1" t="s">
        <v>2261</v>
      </c>
      <c r="E73" s="1" t="s">
        <v>384</v>
      </c>
      <c r="F73" s="23" t="str">
        <f>IFERROR(INDEX(Brand!$A:$A,MATCH(TRIM(C73),Brand!$B:$B,0)),"NOT FOUND")</f>
        <v>BRAND-011</v>
      </c>
      <c r="G73" s="24" t="s">
        <v>1284</v>
      </c>
      <c r="H73" s="23" t="str">
        <f t="shared" si="1"/>
        <v>INSERT INTO medical_supply_product (active, category, description, name, code, brand_code, uom) VALUES (true, 'Phụ kiện hậu môn nhân tạo', 'Bột hút ẩm ConvaTec bảo vệ vùng da quanh hậu môn nhân tạo, giảm mẩn ngứa, kích ứng và ngừa loét từ sớm. Không làm giảm độ dính của đế, giúp túi dùng được lâu hơn.', '[ConvaTec] Bột hút ẩm chống loét hậu môn nhân tạo (28.3g)', 'PRODUCT-00072', 'BRAND-011', 'lọ');</v>
      </c>
    </row>
    <row r="74" spans="1:8" ht="60" x14ac:dyDescent="0.25">
      <c r="A74" s="7" t="s">
        <v>634</v>
      </c>
      <c r="B74" s="1" t="s">
        <v>1604</v>
      </c>
      <c r="C74" s="1" t="s">
        <v>23</v>
      </c>
      <c r="D74" s="1" t="s">
        <v>2261</v>
      </c>
      <c r="E74" s="1" t="s">
        <v>385</v>
      </c>
      <c r="F74" s="23" t="str">
        <f>IFERROR(INDEX(Brand!$A:$A,MATCH(TRIM(C74),Brand!$B:$B,0)),"NOT FOUND")</f>
        <v>BRAND-011</v>
      </c>
      <c r="G74" s="25" t="s">
        <v>1279</v>
      </c>
      <c r="H74" s="23" t="str">
        <f t="shared" si="1"/>
        <v>INSERT INTO medical_supply_product (active, category, description, name, code, brand_code, uom) VALUES (true, 'Phụ kiện hậu môn nhân tạo', 'Keo làm đầy ConvaTec lấp kín khoảng hở quanh hậu môn nhân tạo, chống rò rỉ chất thải ra ngoài đế. Giúp bảo vệ da khỏi kích ứng, loét; dùng được với mọi loại túi và đế.', '[ConvaTec] Keo làm đầy chống rò rỉ hậu môn nhân tạo (56.7g)', 'PRODUCT-00073', 'BRAND-011', 'tuýp');</v>
      </c>
    </row>
    <row r="75" spans="1:8" ht="60" x14ac:dyDescent="0.25">
      <c r="A75" s="7" t="s">
        <v>635</v>
      </c>
      <c r="B75" s="1" t="s">
        <v>291</v>
      </c>
      <c r="C75" s="1" t="s">
        <v>23</v>
      </c>
      <c r="D75" s="1" t="s">
        <v>2257</v>
      </c>
      <c r="E75" s="1" t="s">
        <v>386</v>
      </c>
      <c r="F75" s="23" t="str">
        <f>IFERROR(INDEX(Brand!$A:$A,MATCH(TRIM(C75),Brand!$B:$B,0)),"NOT FOUND")</f>
        <v>BRAND-011</v>
      </c>
      <c r="G75" s="25" t="s">
        <v>1285</v>
      </c>
      <c r="H75" s="23" t="str">
        <f t="shared" si="1"/>
        <v>INSERT INTO medical_supply_product (active, category, description, name, code, brand_code, uom) VALUES (true, 'Túi hậu môn nhân tạo', 'Túi hậu môn nhân tạo 1 mảnh ConvaTec loại đục, xả được, màu be kín đáo, có màng lọc mùi và giảm tiếng. Đế dính chắc, thoáng mồ hôi; kẹp túi chắc chắn, dùng lại nhiều lần.', '[ConvaTec] Túi hậu môn nhân tạo 1 mảnh loại đục', 'PRODUCT-00074', 'BRAND-011', 'túi');</v>
      </c>
    </row>
    <row r="76" spans="1:8" ht="60" x14ac:dyDescent="0.25">
      <c r="A76" s="7" t="s">
        <v>636</v>
      </c>
      <c r="B76" s="1" t="s">
        <v>292</v>
      </c>
      <c r="C76" s="1" t="s">
        <v>23</v>
      </c>
      <c r="D76" s="1" t="s">
        <v>2257</v>
      </c>
      <c r="E76" s="1" t="s">
        <v>387</v>
      </c>
      <c r="F76" s="23" t="str">
        <f>IFERROR(INDEX(Brand!$A:$A,MATCH(TRIM(C76),Brand!$B:$B,0)),"NOT FOUND")</f>
        <v>BRAND-011</v>
      </c>
      <c r="G76" s="25" t="s">
        <v>1285</v>
      </c>
      <c r="H76" s="23" t="str">
        <f t="shared" si="1"/>
        <v>INSERT INTO medical_supply_product (active, category, description, name, code, brand_code, uom) VALUES (true, 'Túi hậu môn nhân tạo', 'Túi hậu môn nhân tạo 1 mảnh ConvaTec trong suốt, xả được, dễ quan sát, có màng lọc mùi và giảm tiếng. Đế dính chắc, thoáng mồ hôi; kẹp túi chắc chắn, dùng lại nhiều lần.', '[ConvaTec] Túi hậu môn nhân tạo 1 mảnh trong suốt', 'PRODUCT-00075', 'BRAND-011', 'túi');</v>
      </c>
    </row>
    <row r="77" spans="1:8" ht="60" x14ac:dyDescent="0.25">
      <c r="A77" s="7" t="s">
        <v>637</v>
      </c>
      <c r="B77" s="1" t="s">
        <v>290</v>
      </c>
      <c r="C77" s="1" t="s">
        <v>23</v>
      </c>
      <c r="D77" s="1" t="s">
        <v>2257</v>
      </c>
      <c r="E77" s="1" t="s">
        <v>388</v>
      </c>
      <c r="F77" s="23" t="str">
        <f>IFERROR(INDEX(Brand!$A:$A,MATCH(TRIM(C77),Brand!$B:$B,0)),"NOT FOUND")</f>
        <v>BRAND-011</v>
      </c>
      <c r="G77" s="25" t="s">
        <v>1285</v>
      </c>
      <c r="H77" s="23" t="str">
        <f t="shared" si="1"/>
        <v>INSERT INTO medical_supply_product (active, category, description, name, code, brand_code, uom) VALUES (true, 'Túi hậu môn nhân tạo', 'Túi hậu môn nhân tạo 1 mảnh ConvaTec ActiveLife 22771 trong suốt, xả được, có màng lọc mùi. Đế có viền dính tăng bám da, thoáng mồ hôi; kẹp túi chắc chắn, dùng lại nhiều lần.', '[ConvaTec] Túi hậu môn nhân tạo 1 mảnh trong suốt - ActiveLife 22771', 'PRODUCT-00076', 'BRAND-011', 'túi');</v>
      </c>
    </row>
    <row r="78" spans="1:8" ht="60" x14ac:dyDescent="0.25">
      <c r="A78" s="7" t="s">
        <v>638</v>
      </c>
      <c r="B78" s="1" t="s">
        <v>288</v>
      </c>
      <c r="C78" s="1" t="s">
        <v>12</v>
      </c>
      <c r="D78" s="1" t="s">
        <v>2257</v>
      </c>
      <c r="E78" s="1" t="s">
        <v>389</v>
      </c>
      <c r="F78" s="23" t="str">
        <f>IFERROR(INDEX(Brand!$A:$A,MATCH(TRIM(C78),Brand!$B:$B,0)),"NOT FOUND")</f>
        <v>BRAND-024</v>
      </c>
      <c r="G78" s="25" t="s">
        <v>1285</v>
      </c>
      <c r="H78" s="23" t="str">
        <f t="shared" si="1"/>
        <v>INSERT INTO medical_supply_product (active, category, description, name, code, brand_code, uom) VALUES (true, 'Túi hậu môn nhân tạo', 'Túi hậu môn nhân tạo 1 mảnh Hollister 8631, túi gắn liền đế, chất liệu mềm, màng lọc mùi màu be kín đáo. Đế cắt được theo kích thước và hình dạng lỗ mở; khi thay túi thì gỡ cả đế.', '[Hollister] Túi hậu môn nhân tạo 1 mảnh - 8631', 'PRODUCT-00077', 'BRAND-024', 'túi');</v>
      </c>
    </row>
    <row r="79" spans="1:8" ht="60" x14ac:dyDescent="0.25">
      <c r="A79" s="7" t="s">
        <v>639</v>
      </c>
      <c r="B79" s="1" t="s">
        <v>287</v>
      </c>
      <c r="C79" s="1" t="s">
        <v>12</v>
      </c>
      <c r="D79" s="1" t="s">
        <v>2257</v>
      </c>
      <c r="E79" s="1" t="s">
        <v>390</v>
      </c>
      <c r="F79" s="23" t="str">
        <f>IFERROR(INDEX(Brand!$A:$A,MATCH(TRIM(C79),Brand!$B:$B,0)),"NOT FOUND")</f>
        <v>BRAND-024</v>
      </c>
      <c r="G79" s="25" t="s">
        <v>1285</v>
      </c>
      <c r="H79" s="23" t="str">
        <f t="shared" si="1"/>
        <v>INSERT INTO medical_supply_product (active, category, description, name, code, brand_code, uom) VALUES (true, 'Túi hậu môn nhân tạo', 'Bộ túi hậu môn nhân tạo cho trẻ sơ sinh Hollister 3778, túi trong suốt dễ theo dõi, đế mềm dịu nhẹ cho da nhạy cảm. Túi và đế lắp sẵn, dùng như hệ 1 mảnh, phù hợp mọi loại hậu môn nhân tạo.', '[Hollister] Túi hậu môn nhân tạo cho trẻ sơ sinh - 3778', 'PRODUCT-00078', 'BRAND-024', 'túi');</v>
      </c>
    </row>
    <row r="80" spans="1:8" ht="60" x14ac:dyDescent="0.25">
      <c r="A80" s="7" t="s">
        <v>640</v>
      </c>
      <c r="B80" s="1" t="s">
        <v>1605</v>
      </c>
      <c r="C80" s="1" t="s">
        <v>12</v>
      </c>
      <c r="D80" s="1" t="s">
        <v>2261</v>
      </c>
      <c r="E80" s="1" t="s">
        <v>391</v>
      </c>
      <c r="F80" s="23" t="str">
        <f>IFERROR(INDEX(Brand!$A:$A,MATCH(TRIM(C80),Brand!$B:$B,0)),"NOT FOUND")</f>
        <v>BRAND-024</v>
      </c>
      <c r="G80" s="24" t="s">
        <v>1284</v>
      </c>
      <c r="H80" s="23" t="str">
        <f t="shared" si="1"/>
        <v>INSERT INTO medical_supply_product (active, category, description, name, code, brand_code, uom) VALUES (true, 'Phụ kiện hậu môn nhân tạo', 'Bột hút ẩm Hollister Adapt 7906 làm khô, giảm kích ứng và hỗ trợ điều trị loét vùng da quanh hậu môn nhân tạo. Giúp đế dán bám chắc hơn, hạn chế rò rỉ và kéo dài thời gian sử dụng.', '[Hollister] Bột hút ẩm chống loét hậu môn nhân tạo - Adapt Stoma Powder 7906 (28.3g)', 'PRODUCT-00079', 'BRAND-024', 'lọ');</v>
      </c>
    </row>
    <row r="81" spans="1:8" ht="45" x14ac:dyDescent="0.25">
      <c r="A81" s="7" t="s">
        <v>641</v>
      </c>
      <c r="B81" s="1" t="s">
        <v>153</v>
      </c>
      <c r="C81" s="1" t="s">
        <v>12</v>
      </c>
      <c r="D81" s="1" t="s">
        <v>2261</v>
      </c>
      <c r="E81" s="1" t="s">
        <v>392</v>
      </c>
      <c r="F81" s="23" t="str">
        <f>IFERROR(INDEX(Brand!$A:$A,MATCH(TRIM(C81),Brand!$B:$B,0)),"NOT FOUND")</f>
        <v>BRAND-024</v>
      </c>
      <c r="G81" s="25" t="s">
        <v>1278</v>
      </c>
      <c r="H81" s="23" t="str">
        <f t="shared" si="1"/>
        <v>INSERT INTO medical_supply_product (active, category, description, name, code, brand_code, uom) VALUES (true, 'Phụ kiện hậu môn nhân tạo', 'Xịt tẩy keo Hollister 7737 không chứa cồn, có silicone giúp làm lỏng keo để tháo đế hậu môn nhân tạo dễ dàng. Không gây đau rát hay kích ứng da.', '[Hollister] Chai xịt tẩy chất keo - 7737', 'PRODUCT-00080', 'BRAND-024', 'chai');</v>
      </c>
    </row>
    <row r="82" spans="1:8" ht="60" x14ac:dyDescent="0.25">
      <c r="A82" s="7" t="s">
        <v>642</v>
      </c>
      <c r="B82" s="1" t="s">
        <v>163</v>
      </c>
      <c r="C82" s="1" t="s">
        <v>12</v>
      </c>
      <c r="D82" s="1" t="s">
        <v>2261</v>
      </c>
      <c r="E82" s="1" t="s">
        <v>393</v>
      </c>
      <c r="F82" s="23" t="str">
        <f>IFERROR(INDEX(Brand!$A:$A,MATCH(TRIM(C82),Brand!$B:$B,0)),"NOT FOUND")</f>
        <v>BRAND-024</v>
      </c>
      <c r="G82" s="24" t="s">
        <v>1274</v>
      </c>
      <c r="H82" s="23" t="str">
        <f t="shared" si="1"/>
        <v>INSERT INTO medical_supply_product (active, category, description, name, code, brand_code, uom) VALUES (true, 'Phụ kiện hậu môn nhân tạo', 'Dây nịt Hollister 7300 cố định túi hậu môn nhân tạo, giúp chắc chắn khi vận động và kéo dài thời gian dùng đế. Tăng lực ép cho đế lồi; mềm, co giãn, giặt và dùng lại được; dùng với túi Hollister có mấu đai.', '[Hollister] Dây nịt đeo túi hậu môn nhân tạo - 7300', 'PRODUCT-00081', 'BRAND-024', 'cái');</v>
      </c>
    </row>
    <row r="83" spans="1:8" ht="60" x14ac:dyDescent="0.25">
      <c r="A83" s="7" t="s">
        <v>643</v>
      </c>
      <c r="B83" s="1" t="s">
        <v>169</v>
      </c>
      <c r="C83" s="1" t="s">
        <v>12</v>
      </c>
      <c r="D83" s="1" t="s">
        <v>2259</v>
      </c>
      <c r="E83" s="1" t="s">
        <v>394</v>
      </c>
      <c r="F83" s="23" t="str">
        <f>IFERROR(INDEX(Brand!$A:$A,MATCH(TRIM(C83),Brand!$B:$B,0)),"NOT FOUND")</f>
        <v>BRAND-024</v>
      </c>
      <c r="G83" s="25" t="s">
        <v>1281</v>
      </c>
      <c r="H83" s="23" t="str">
        <f t="shared" si="1"/>
        <v>INSERT INTO medical_supply_product (active, category, description, name, code, brand_code, uom) VALUES (true, 'Đế hậu môn nhân tạo', 'Đế lồi Hollister 14803 cho hệ túi hậu môn nhân tạo 2 mảnh, dùng khi lỗ mở phẳng, thụt vào trong hoặc da xung quanh có sẹo, nếp nhăn. Dính khít, chống rò rỉ và ngừa loét da quanh lỗ mở.', '[Hollister] Đế lồi túi hậu môn nhân tạo 2 mảnh', 'PRODUCT-00082', 'BRAND-024', 'chiếc');</v>
      </c>
    </row>
    <row r="84" spans="1:8" ht="60" x14ac:dyDescent="0.25">
      <c r="A84" s="7" t="s">
        <v>644</v>
      </c>
      <c r="B84" s="1" t="s">
        <v>170</v>
      </c>
      <c r="C84" s="1" t="s">
        <v>12</v>
      </c>
      <c r="D84" s="1" t="s">
        <v>2259</v>
      </c>
      <c r="E84" s="1" t="s">
        <v>395</v>
      </c>
      <c r="F84" s="23" t="str">
        <f>IFERROR(INDEX(Brand!$A:$A,MATCH(TRIM(C84),Brand!$B:$B,0)),"NOT FOUND")</f>
        <v>BRAND-024</v>
      </c>
      <c r="G84" s="25" t="s">
        <v>1281</v>
      </c>
      <c r="H84" s="23" t="str">
        <f t="shared" si="1"/>
        <v>INSERT INTO medical_supply_product (active, category, description, name, code, brand_code, uom) VALUES (true, 'Đế hậu môn nhân tạo', 'Đế bằng Hollister cho hệ túi hậu môn nhân tạo 2 mảnh, dùng khi lỗ mở lồi hoặc da xung quanh tương đối phẳng. Dính khít, chống rò rỉ và ngừa loét da quanh lỗ mở.', '[Hollister] Đế rời túi hậu môn nhân tạo 2 mảnh', 'PRODUCT-00083', 'BRAND-024', 'chiếc');</v>
      </c>
    </row>
    <row r="85" spans="1:8" ht="60" x14ac:dyDescent="0.25">
      <c r="A85" s="7" t="s">
        <v>645</v>
      </c>
      <c r="B85" s="1" t="s">
        <v>1606</v>
      </c>
      <c r="C85" s="1" t="s">
        <v>12</v>
      </c>
      <c r="D85" s="1" t="s">
        <v>2261</v>
      </c>
      <c r="E85" s="1" t="s">
        <v>396</v>
      </c>
      <c r="F85" s="23" t="str">
        <f>IFERROR(INDEX(Brand!$A:$A,MATCH(TRIM(C85),Brand!$B:$B,0)),"NOT FOUND")</f>
        <v>BRAND-024</v>
      </c>
      <c r="G85" s="25" t="s">
        <v>1279</v>
      </c>
      <c r="H85" s="23" t="str">
        <f t="shared" si="1"/>
        <v>INSERT INTO medical_supply_product (active, category, description, name, code, brand_code, uom) VALUES (true, 'Phụ kiện hậu môn nhân tạo', 'Kem chống xì Hollister Adapt Paste 79300 lấp đầy khoảng hở quanh hậu môn nhân tạo, chống rò rỉ chất thải ra ngoài đế. Giúp bảo vệ da khỏi kích ứng, loét; dùng được với mọi loại túi và đế.', '[Hollister] Kem chống xì hậu môn nhân tạo - Adapt Paste 79300 (60g)', 'PRODUCT-00084', 'BRAND-024', 'tuýp');</v>
      </c>
    </row>
    <row r="86" spans="1:8" ht="45" x14ac:dyDescent="0.25">
      <c r="A86" s="7" t="s">
        <v>646</v>
      </c>
      <c r="B86" s="1" t="s">
        <v>189</v>
      </c>
      <c r="C86" s="1" t="s">
        <v>12</v>
      </c>
      <c r="D86" s="1" t="s">
        <v>2261</v>
      </c>
      <c r="E86" s="1" t="s">
        <v>397</v>
      </c>
      <c r="F86" s="23" t="str">
        <f>IFERROR(INDEX(Brand!$A:$A,MATCH(TRIM(C86),Brand!$B:$B,0)),"NOT FOUND")</f>
        <v>BRAND-024</v>
      </c>
      <c r="G86" s="25" t="s">
        <v>1274</v>
      </c>
      <c r="H86" s="23" t="str">
        <f t="shared" si="1"/>
        <v>INSERT INTO medical_supply_product (active, category, description, name, code, brand_code, uom) VALUES (true, 'Phụ kiện hậu môn nhân tạo', 'Khóa kẹp Hollister 8770 bằng nhựa dẻo, đóng kín miệng túi hậu môn nhân tạo, chống rò rỉ. Bản lề an toàn, dễ dùng; tương thích mọi loại túi dùng kẹp rời.', '[Hollister] Khóa kẹp túi hậu môn nhân tạo - 8770', 'PRODUCT-00085', 'BRAND-024', 'cái');</v>
      </c>
    </row>
    <row r="87" spans="1:8" ht="60" x14ac:dyDescent="0.25">
      <c r="A87" s="7" t="s">
        <v>647</v>
      </c>
      <c r="B87" s="1" t="s">
        <v>283</v>
      </c>
      <c r="C87" s="1" t="s">
        <v>47</v>
      </c>
      <c r="D87" s="1" t="s">
        <v>2257</v>
      </c>
      <c r="E87" s="1" t="s">
        <v>398</v>
      </c>
      <c r="F87" s="23" t="str">
        <f>IFERROR(INDEX(Brand!$A:$A,MATCH(TRIM(C87),Brand!$B:$B,0)),"NOT FOUND")</f>
        <v>BRAND-039</v>
      </c>
      <c r="G87" s="25" t="s">
        <v>1285</v>
      </c>
      <c r="H87" s="23" t="str">
        <f t="shared" si="1"/>
        <v>INSERT INTO medical_supply_product (active, category, description, name, code, brand_code, uom) VALUES (true, 'Túi hậu môn nhân tạo', 'Túi hậu môn nhân tạo 1 mảnh Mepro kẹp rời, xả được, hai lớp kín đáo, có bộ lọc than hoạt tính khử mùi và thoát khí. Đế dính chắc, thoáng mồ hôi; kẹp túi dùng lại nhiều lần.', '[Mepro] Túi hậu môn nhân tạo 1 mảnh - Kẹp rời', 'PRODUCT-00086', 'BRAND-039', 'túi');</v>
      </c>
    </row>
    <row r="88" spans="1:8" ht="60" x14ac:dyDescent="0.25">
      <c r="A88" s="7" t="s">
        <v>648</v>
      </c>
      <c r="B88" s="1" t="s">
        <v>282</v>
      </c>
      <c r="C88" s="1" t="s">
        <v>50</v>
      </c>
      <c r="D88" s="1" t="s">
        <v>2257</v>
      </c>
      <c r="E88" s="1" t="s">
        <v>399</v>
      </c>
      <c r="F88" s="23" t="str">
        <f>IFERROR(INDEX(Brand!$A:$A,MATCH(TRIM(C88),Brand!$B:$B,0)),"NOT FOUND")</f>
        <v>BRAND-043</v>
      </c>
      <c r="G88" s="25" t="s">
        <v>1285</v>
      </c>
      <c r="H88" s="23" t="str">
        <f t="shared" si="1"/>
        <v>INSERT INTO medical_supply_product (active, category, description, name, code, brand_code, uom) VALUES (true, 'Túi hậu môn nhân tạo', 'Túi hậu môn nhân tạo 1 mảnh cho trẻ em MiKiDo, xả được, có bộ lọc than hoạt tính khử mùi và thoát khí. Đế mềm dịu nhẹ cho da nhạy cảm của bé; kẹp túi dùng lại nhiều lần.', '[MiKiDo] Túi hậu môn nhân tạo 1 mảnh cho trẻ em', 'PRODUCT-00087', 'BRAND-043', 'túi');</v>
      </c>
    </row>
    <row r="89" spans="1:8" ht="60" x14ac:dyDescent="0.25">
      <c r="A89" s="7" t="s">
        <v>649</v>
      </c>
      <c r="B89" s="1" t="s">
        <v>289</v>
      </c>
      <c r="C89" s="1" t="s">
        <v>53</v>
      </c>
      <c r="D89" s="1" t="s">
        <v>2257</v>
      </c>
      <c r="E89" s="1" t="s">
        <v>400</v>
      </c>
      <c r="F89" s="23" t="str">
        <f>IFERROR(INDEX(Brand!$A:$A,MATCH(TRIM(C89),Brand!$B:$B,0)),"NOT FOUND")</f>
        <v>BRAND-047</v>
      </c>
      <c r="G89" s="25" t="s">
        <v>1285</v>
      </c>
      <c r="H89" s="23" t="str">
        <f t="shared" si="1"/>
        <v>INSERT INTO medical_supply_product (active, category, description, name, code, brand_code, uom) VALUES (true, 'Túi hậu môn nhân tạo', 'Túi hậu môn nhân tạo 1 mảnh Ostomy Care khóa dán liền, xả được, có bộ lọc khử mùi và màng chắn màu be kín đáo. Khóa dán nhựa đóng túi chắc chắn, xả thải dễ dàng.', '[Ostomy Care] Túi hậu môn nhân tạo 1 mảnh - Khóa dán liền', 'PRODUCT-00088', 'BRAND-047', 'túi');</v>
      </c>
    </row>
    <row r="90" spans="1:8" ht="45" x14ac:dyDescent="0.25">
      <c r="A90" s="7" t="s">
        <v>650</v>
      </c>
      <c r="B90" s="1" t="s">
        <v>284</v>
      </c>
      <c r="C90" s="1" t="s">
        <v>53</v>
      </c>
      <c r="D90" s="1" t="s">
        <v>2257</v>
      </c>
      <c r="E90" s="1" t="s">
        <v>401</v>
      </c>
      <c r="F90" s="23" t="str">
        <f>IFERROR(INDEX(Brand!$A:$A,MATCH(TRIM(C90),Brand!$B:$B,0)),"NOT FOUND")</f>
        <v>BRAND-047</v>
      </c>
      <c r="G90" s="24" t="s">
        <v>1274</v>
      </c>
      <c r="H90" s="23" t="str">
        <f t="shared" si="1"/>
        <v>INSERT INTO medical_supply_product (active, category, description, name, code, brand_code, uom) VALUES (true, 'Túi hậu môn nhân tạo', 'Túi hậu môn nhân tạo 1 mảnh Ostomy Care khóa kẹp, xả được, có bộ lọc khử mùi và màng chắn màu be kín đáo. Kẹp cong đóng túi chắc chắn, dùng lại nhiều lần.', '[Ostomy Care] Túi hậu môn nhân tạo 1 mảnh - Khóa kẹp', 'PRODUCT-00089', 'BRAND-047', 'cái');</v>
      </c>
    </row>
    <row r="91" spans="1:8" ht="60" x14ac:dyDescent="0.25">
      <c r="A91" s="7" t="s">
        <v>651</v>
      </c>
      <c r="B91" s="1" t="s">
        <v>296</v>
      </c>
      <c r="C91" s="1" t="s">
        <v>12</v>
      </c>
      <c r="D91" s="1" t="s">
        <v>305</v>
      </c>
      <c r="E91" s="1" t="s">
        <v>402</v>
      </c>
      <c r="F91" s="23" t="str">
        <f>IFERROR(INDEX(Brand!$A:$A,MATCH(TRIM(C91),Brand!$B:$B,0)),"NOT FOUND")</f>
        <v>BRAND-024</v>
      </c>
      <c r="G91" s="25" t="s">
        <v>1285</v>
      </c>
      <c r="H91" s="23" t="str">
        <f t="shared" si="1"/>
        <v>INSERT INTO medical_supply_product (active, category, description, name, code, brand_code, uom) VALUES (true, 'Túi nước tiểu nhân tạo', 'Túi nước tiểu nhân tạo 1 mảnh Hollister 8460, túi gắn liền đế, chất liệu mềm, màng chống mùi màu be kín đáo. Đế cắt được theo kích thước lỗ mở; khi thay túi thì gỡ cả đế.', '[Hollister] Túi nước tiểu nhân tạo 1 mảnh - 8460', 'PRODUCT-00090', 'BRAND-024', 'túi');</v>
      </c>
    </row>
    <row r="92" spans="1:8" ht="60" x14ac:dyDescent="0.25">
      <c r="A92" s="7" t="s">
        <v>652</v>
      </c>
      <c r="B92" s="1" t="s">
        <v>1635</v>
      </c>
      <c r="C92" s="1" t="s">
        <v>12</v>
      </c>
      <c r="D92" s="1" t="s">
        <v>2261</v>
      </c>
      <c r="E92" s="1" t="s">
        <v>403</v>
      </c>
      <c r="F92" s="23" t="str">
        <f>IFERROR(INDEX(Brand!$A:$A,MATCH(TRIM(C92),Brand!$B:$B,0)),"NOT FOUND")</f>
        <v>BRAND-024</v>
      </c>
      <c r="G92" s="24" t="s">
        <v>1274</v>
      </c>
      <c r="H92" s="23" t="str">
        <f t="shared" si="1"/>
        <v>INSERT INTO medical_supply_product (active, category, description, name, code, brand_code, uom) VALUES (true, 'Phụ kiện hậu môn nhân tạo', 'Vòng bảo vệ da Hollister 7805 dùng keo Flextend M bám chắc, tạo hàng rào chống thấm quanh hậu môn nhân tạo. Lấp khoảng hở, ngăn chất thải tiếp xúc da, giảm kích ứng và loét.', '[Hollister] Vòng bảo vệ da chống loét hậu môn nhân tạo (Mẫu 7805)', 'PRODUCT-00091', 'BRAND-024', 'cái');</v>
      </c>
    </row>
    <row r="93" spans="1:8" ht="45" x14ac:dyDescent="0.25">
      <c r="A93" s="7" t="s">
        <v>653</v>
      </c>
      <c r="B93" s="1" t="s">
        <v>111</v>
      </c>
      <c r="C93" s="1" t="s">
        <v>39</v>
      </c>
      <c r="D93" s="1" t="s">
        <v>2257</v>
      </c>
      <c r="E93" s="1" t="s">
        <v>404</v>
      </c>
      <c r="F93" s="23" t="str">
        <f>IFERROR(INDEX(Brand!$A:$A,MATCH(TRIM(C93),Brand!$B:$B,0)),"NOT FOUND")</f>
        <v>BRAND-031</v>
      </c>
      <c r="G93" s="24" t="s">
        <v>1274</v>
      </c>
      <c r="H93" s="23" t="str">
        <f t="shared" si="1"/>
        <v>INSERT INTO medical_supply_product (active, category, description, name, code, brand_code, uom) VALUES (true, 'Túi hậu môn nhân tạo', 'Túi hậu môn nhân tạo 1 mảnh loại đục, xả được, hai lớp: lớp trong để quan sát, lớp ngoài màu đục kín đáo. Có bộ lọc than hoạt tính khử mùi và thoát khí.', 'Túi hậu môn nhân tạo 1 mảnh loại đục', 'PRODUCT-00092', 'BRAND-031', 'cái');</v>
      </c>
    </row>
    <row r="94" spans="1:8" ht="45" x14ac:dyDescent="0.25">
      <c r="A94" s="7" t="s">
        <v>654</v>
      </c>
      <c r="B94" s="1" t="s">
        <v>109</v>
      </c>
      <c r="C94" s="1" t="s">
        <v>39</v>
      </c>
      <c r="D94" s="1" t="s">
        <v>2257</v>
      </c>
      <c r="E94" s="1" t="s">
        <v>405</v>
      </c>
      <c r="F94" s="23" t="str">
        <f>IFERROR(INDEX(Brand!$A:$A,MATCH(TRIM(C94),Brand!$B:$B,0)),"NOT FOUND")</f>
        <v>BRAND-031</v>
      </c>
      <c r="G94" s="25" t="s">
        <v>1285</v>
      </c>
      <c r="H94" s="23" t="str">
        <f t="shared" si="1"/>
        <v>INSERT INTO medical_supply_product (active, category, description, name, code, brand_code, uom) VALUES (true, 'Túi hậu môn nhân tạo', 'Túi hậu môn nhân tạo 1 mảnh loại trong, xả được, dễ quan sát chất thải và vùng da quanh lỗ mở để chăm sóc kịp thời. Có bộ lọc than hoạt tính khử mùi và thoát khí.', 'Túi hậu môn nhân tạo 1 mảnh loại trong', 'PRODUCT-00093', 'BRAND-031', 'túi');</v>
      </c>
    </row>
    <row r="95" spans="1:8" ht="60" x14ac:dyDescent="0.25">
      <c r="A95" s="7" t="s">
        <v>655</v>
      </c>
      <c r="B95" s="1" t="s">
        <v>172</v>
      </c>
      <c r="C95" s="1" t="s">
        <v>47</v>
      </c>
      <c r="D95" s="1" t="s">
        <v>2259</v>
      </c>
      <c r="E95" s="1" t="s">
        <v>406</v>
      </c>
      <c r="F95" s="23" t="str">
        <f>IFERROR(INDEX(Brand!$A:$A,MATCH(TRIM(C95),Brand!$B:$B,0)),"NOT FOUND")</f>
        <v>BRAND-039</v>
      </c>
      <c r="G95" s="25" t="s">
        <v>1281</v>
      </c>
      <c r="H95" s="23" t="str">
        <f t="shared" si="1"/>
        <v>INSERT INTO medical_supply_product (active, category, description, name, code, brand_code, uom) VALUES (true, 'Đế hậu môn nhân tạo', 'Đế rời Mepro cho hệ túi hậu môn nhân tạo 2 mảnh, chất liệu hydrocolloid viền vải không dệt, dính khít và chống rò rỉ. Bảo vệ da quanh lỗ mở khỏi chất thải, ngừa loét; dùng được 5–7 ngày.', '[Mepro] Đế rời túi hậu môn nhân tạo 2 mảnh viền vải không dệt', 'PRODUCT-00094', 'BRAND-039', 'chiếc');</v>
      </c>
    </row>
    <row r="96" spans="1:8" ht="45" x14ac:dyDescent="0.25">
      <c r="A96" s="7" t="s">
        <v>656</v>
      </c>
      <c r="B96" s="1" t="s">
        <v>139</v>
      </c>
      <c r="C96" s="1" t="s">
        <v>12</v>
      </c>
      <c r="D96" s="1" t="s">
        <v>2257</v>
      </c>
      <c r="E96" s="1" t="s">
        <v>407</v>
      </c>
      <c r="F96" s="23" t="str">
        <f>IFERROR(INDEX(Brand!$A:$A,MATCH(TRIM(C96),Brand!$B:$B,0)),"NOT FOUND")</f>
        <v>BRAND-024</v>
      </c>
      <c r="G96" s="25" t="s">
        <v>1275</v>
      </c>
      <c r="H96" s="23" t="str">
        <f t="shared" si="1"/>
        <v>INSERT INTO medical_supply_product (active, category, description, name, code, brand_code, uom) VALUES (true, 'Túi hậu môn nhân tạo', 'Bộ túi hậu môn nhân tạo 2 mảnh Hollister kẹp rời, túi và đế tách riêng, xả được, có màng chống mùi màu be. Đế bám dính tốt; kẹp cong đóng túi, xả thải tiện lợi.', '[Hollister] Bộ túi hậu môn nhân tạo 2 mảnh - Kẹp rời', 'PRODUCT-00095', 'BRAND-024', 'bộ');</v>
      </c>
    </row>
    <row r="97" spans="1:8" ht="60" x14ac:dyDescent="0.25">
      <c r="A97" s="7" t="s">
        <v>657</v>
      </c>
      <c r="B97" s="1" t="s">
        <v>140</v>
      </c>
      <c r="C97" s="1" t="s">
        <v>12</v>
      </c>
      <c r="D97" s="1" t="s">
        <v>2257</v>
      </c>
      <c r="E97" s="1" t="s">
        <v>408</v>
      </c>
      <c r="F97" s="23" t="str">
        <f>IFERROR(INDEX(Brand!$A:$A,MATCH(TRIM(C97),Brand!$B:$B,0)),"NOT FOUND")</f>
        <v>BRAND-024</v>
      </c>
      <c r="G97" s="25" t="s">
        <v>1275</v>
      </c>
      <c r="H97" s="23" t="str">
        <f t="shared" si="1"/>
        <v>INSERT INTO medical_supply_product (active, category, description, name, code, brand_code, uom) VALUES (true, 'Túi hậu môn nhân tạo', 'Bộ túi hậu môn nhân tạo 2 mảnh Hollister khóa cuộn, túi và đế tách riêng, xả được, có màng chống mùi màu be. Đế bám dính tốt; khóa dán nhựa đóng túi chắc chắn, xả thải dễ dàng.', '[Hollister] Bộ túi hậu môn nhân tạo 2 mảnh - Khóa cuộn', 'PRODUCT-00096', 'BRAND-024', 'bộ');</v>
      </c>
    </row>
    <row r="98" spans="1:8" ht="60" x14ac:dyDescent="0.25">
      <c r="A98" s="7" t="s">
        <v>658</v>
      </c>
      <c r="B98" s="1" t="s">
        <v>293</v>
      </c>
      <c r="C98" s="1" t="s">
        <v>12</v>
      </c>
      <c r="D98" s="1" t="s">
        <v>2257</v>
      </c>
      <c r="E98" s="1" t="s">
        <v>409</v>
      </c>
      <c r="F98" s="23" t="str">
        <f>IFERROR(INDEX(Brand!$A:$A,MATCH(TRIM(C98),Brand!$B:$B,0)),"NOT FOUND")</f>
        <v>BRAND-024</v>
      </c>
      <c r="G98" s="25" t="s">
        <v>1285</v>
      </c>
      <c r="H98" s="23" t="str">
        <f t="shared" si="1"/>
        <v>INSERT INTO medical_supply_product (active, category, description, name, code, brand_code, uom) VALUES (true, 'Túi hậu môn nhân tạo', 'Túi hậu môn nhân tạo 2 mảnh Hollister 18184, xả được, có bộ lọc khử mùi và thoát khí, màng chắn màu be. Khóa Lock ''n Roll đóng túi chắc chắn; dùng kèm đế Hollister 70mm (như 14604).', '[Hollister] Túi hậu môn nhân tạo 2 mảnh có bộ lọc khử mùi xả khí', 'PRODUCT-00097', 'BRAND-024', 'túi');</v>
      </c>
    </row>
    <row r="99" spans="1:8" ht="60" x14ac:dyDescent="0.25">
      <c r="A99" s="7" t="s">
        <v>659</v>
      </c>
      <c r="B99" s="1" t="s">
        <v>294</v>
      </c>
      <c r="C99" s="1" t="s">
        <v>12</v>
      </c>
      <c r="D99" s="1" t="s">
        <v>2257</v>
      </c>
      <c r="E99" s="1" t="s">
        <v>410</v>
      </c>
      <c r="F99" s="23" t="str">
        <f>IFERROR(INDEX(Brand!$A:$A,MATCH(TRIM(C99),Brand!$B:$B,0)),"NOT FOUND")</f>
        <v>BRAND-024</v>
      </c>
      <c r="G99" s="25" t="s">
        <v>1285</v>
      </c>
      <c r="H99" s="23" t="str">
        <f t="shared" si="1"/>
        <v>INSERT INTO medical_supply_product (active, category, description, name, code, brand_code, uom) VALUES (true, 'Túi hậu môn nhân tạo', 'Túi hậu môn nhân tạo 2 mảnh Hollister 18103, xả được, màng chống mùi màu be, đóng bằng kẹp cong. Dùng kèm đế Hollister cùng cỡ, như đế lồi 14803 hoặc đế bằng 14603.', '[Hollister] Túi hậu môn nhân tạo 2 mảnh dùng kèm đế rời', 'PRODUCT-00098', 'BRAND-024', 'túi');</v>
      </c>
    </row>
    <row r="100" spans="1:8" ht="60" x14ac:dyDescent="0.25">
      <c r="A100" s="7" t="s">
        <v>660</v>
      </c>
      <c r="B100" s="1" t="s">
        <v>141</v>
      </c>
      <c r="C100" s="1" t="s">
        <v>47</v>
      </c>
      <c r="D100" s="1" t="s">
        <v>2257</v>
      </c>
      <c r="E100" s="1" t="s">
        <v>411</v>
      </c>
      <c r="F100" s="23" t="str">
        <f>IFERROR(INDEX(Brand!$A:$A,MATCH(TRIM(C100),Brand!$B:$B,0)),"NOT FOUND")</f>
        <v>BRAND-039</v>
      </c>
      <c r="G100" s="25" t="s">
        <v>1275</v>
      </c>
      <c r="H100" s="23" t="str">
        <f t="shared" si="1"/>
        <v>INSERT INTO medical_supply_product (active, category, description, name, code, brand_code, uom) VALUES (true, 'Túi hậu môn nhân tạo', 'Bộ túi hậu môn nhân tạo 2 mảnh Mepro kẹp rời, túi và đế tách riêng, hai lớp kín đáo, có bộ lọc than hoạt tính khử mùi và thoát khí. Đế dính chắc, thoáng mồ hôi; kẹp túi dùng lại nhiều lần.', '[Mepro] Bộ túi hậu môn nhân tạo 2 mảnh - Kẹp rời', 'PRODUCT-00099', 'BRAND-039', 'bộ');</v>
      </c>
    </row>
    <row r="101" spans="1:8" ht="60" x14ac:dyDescent="0.25">
      <c r="A101" s="7" t="s">
        <v>661</v>
      </c>
      <c r="B101" s="1" t="s">
        <v>173</v>
      </c>
      <c r="C101" s="1" t="s">
        <v>53</v>
      </c>
      <c r="D101" s="1" t="s">
        <v>2259</v>
      </c>
      <c r="E101" s="1" t="s">
        <v>412</v>
      </c>
      <c r="F101" s="23" t="str">
        <f>IFERROR(INDEX(Brand!$A:$A,MATCH(TRIM(C101),Brand!$B:$B,0)),"NOT FOUND")</f>
        <v>BRAND-047</v>
      </c>
      <c r="G101" s="25" t="s">
        <v>1281</v>
      </c>
      <c r="H101" s="23" t="str">
        <f t="shared" si="1"/>
        <v>INSERT INTO medical_supply_product (active, category, description, name, code, brand_code, uom) VALUES (true, 'Đế hậu môn nhân tạo', 'Đế rời Ostomy Care cho hệ túi hậu môn nhân tạo 2 mảnh, chất liệu hydrocolloid viền vải không dệt, dính khít và chống rò rỉ. Bảo vệ da quanh lỗ mở khỏi chất thải, ngừa loét; dùng được 5–7 ngày.', '[Ostomy Care] Đế rời túi hậu môn nhân tạo 2 mảnh viền vải không dệt', 'PRODUCT-00100', 'BRAND-047', 'chiếc');</v>
      </c>
    </row>
    <row r="102" spans="1:8" ht="60" x14ac:dyDescent="0.25">
      <c r="A102" s="7" t="s">
        <v>662</v>
      </c>
      <c r="B102" s="1" t="s">
        <v>142</v>
      </c>
      <c r="C102" s="1" t="s">
        <v>47</v>
      </c>
      <c r="D102" s="1" t="s">
        <v>2257</v>
      </c>
      <c r="E102" s="1" t="s">
        <v>413</v>
      </c>
      <c r="F102" s="23" t="str">
        <f>IFERROR(INDEX(Brand!$A:$A,MATCH(TRIM(C102),Brand!$B:$B,0)),"NOT FOUND")</f>
        <v>BRAND-039</v>
      </c>
      <c r="G102" s="25" t="s">
        <v>1275</v>
      </c>
      <c r="H102" s="23" t="str">
        <f t="shared" si="1"/>
        <v>INSERT INTO medical_supply_product (active, category, description, name, code, brand_code, uom) VALUES (true, 'Túi hậu môn nhân tạo', 'Bộ túi hậu môn nhân tạo 2 mảnh Mepro khóa cuộn, túi và đế tách riêng, hai lớp kín đáo, có bộ lọc than hoạt tính khử mùi và thoát khí. Đế dính chắc, thoáng mồ hôi; khóa dán đóng túi chắc chắn.', '[Mepro] Bộ túi hậu môn nhân tạo 2 mảnh - Khóa cuộn', 'PRODUCT-00101', 'BRAND-039', 'bộ');</v>
      </c>
    </row>
    <row r="103" spans="1:8" ht="60" x14ac:dyDescent="0.25">
      <c r="A103" s="7" t="s">
        <v>663</v>
      </c>
      <c r="B103" s="1" t="s">
        <v>285</v>
      </c>
      <c r="C103" s="1" t="s">
        <v>47</v>
      </c>
      <c r="D103" s="1" t="s">
        <v>2257</v>
      </c>
      <c r="E103" s="1" t="s">
        <v>414</v>
      </c>
      <c r="F103" s="23" t="str">
        <f>IFERROR(INDEX(Brand!$A:$A,MATCH(TRIM(C103),Brand!$B:$B,0)),"NOT FOUND")</f>
        <v>BRAND-039</v>
      </c>
      <c r="G103" s="25" t="s">
        <v>1285</v>
      </c>
      <c r="H103" s="23" t="str">
        <f t="shared" si="1"/>
        <v>INSERT INTO medical_supply_product (active, category, description, name, code, brand_code, uom) VALUES (true, 'Túi hậu môn nhân tạo', 'Túi hậu môn nhân tạo 2 mảnh Mepro kẹp rời, hai lớp kín đáo, có bộ lọc than hoạt tính khử mùi và thoát khí. Dùng kèm đế rời Mepro; kẹp cong đóng túi, xả thải tiện lợi.', '[Mepro] Túi hậu môn nhân tạo 2 mảnh - Kẹp rời', 'PRODUCT-00102', 'BRAND-039', 'túi');</v>
      </c>
    </row>
    <row r="104" spans="1:8" ht="60" x14ac:dyDescent="0.25">
      <c r="A104" s="7" t="s">
        <v>664</v>
      </c>
      <c r="B104" s="1" t="s">
        <v>286</v>
      </c>
      <c r="C104" s="1" t="s">
        <v>47</v>
      </c>
      <c r="D104" s="1" t="s">
        <v>2257</v>
      </c>
      <c r="E104" s="1" t="s">
        <v>415</v>
      </c>
      <c r="F104" s="23" t="str">
        <f>IFERROR(INDEX(Brand!$A:$A,MATCH(TRIM(C104),Brand!$B:$B,0)),"NOT FOUND")</f>
        <v>BRAND-039</v>
      </c>
      <c r="G104" s="25" t="s">
        <v>1285</v>
      </c>
      <c r="H104" s="23" t="str">
        <f t="shared" si="1"/>
        <v>INSERT INTO medical_supply_product (active, category, description, name, code, brand_code, uom) VALUES (true, 'Túi hậu môn nhân tạo', 'Túi hậu môn nhân tạo 2 mảnh Mepro khóa cuộn, hai lớp kín đáo, có bộ lọc than hoạt tính khử mùi và thoát khí. Dùng kèm đế rời Mepro; khóa dán đóng túi chắc chắn, xả thải tiện lợi.', '[Mepro] Túi hậu môn nhân tạo 2 mảnh - Khóa cuộn', 'PRODUCT-00103', 'BRAND-039', 'túi');</v>
      </c>
    </row>
    <row r="105" spans="1:8" ht="60" x14ac:dyDescent="0.25">
      <c r="A105" s="7" t="s">
        <v>665</v>
      </c>
      <c r="B105" s="1" t="s">
        <v>171</v>
      </c>
      <c r="C105" s="1" t="s">
        <v>60</v>
      </c>
      <c r="D105" s="1" t="s">
        <v>2259</v>
      </c>
      <c r="E105" s="1" t="s">
        <v>416</v>
      </c>
      <c r="F105" s="23" t="str">
        <f>IFERROR(INDEX(Brand!$A:$A,MATCH(TRIM(C105),Brand!$B:$B,0)),"NOT FOUND")</f>
        <v>BRAND-054</v>
      </c>
      <c r="G105" s="25" t="s">
        <v>1281</v>
      </c>
      <c r="H105" s="23" t="str">
        <f t="shared" si="1"/>
        <v>INSERT INTO medical_supply_product (active, category, description, name, code, brand_code, uom) VALUES (true, 'Đế hậu môn nhân tạo', 'Đế rời SeaSight cho hệ túi hậu môn nhân tạo 2 mảnh, chất liệu hydrocolloid không viền vải, dính khít và chống rò rỉ. Bảo vệ da quanh lỗ mở khỏi chất thải, ngừa loét; dùng được 5–7 ngày.', '[SeaSight] Đế rời túi hậu môn nhân tạo 2 mảnh không viền vải', 'PRODUCT-00104', 'BRAND-054', 'chiếc');</v>
      </c>
    </row>
    <row r="106" spans="1:8" ht="60" x14ac:dyDescent="0.25">
      <c r="A106" s="7" t="s">
        <v>666</v>
      </c>
      <c r="B106" s="1" t="s">
        <v>297</v>
      </c>
      <c r="C106" s="1" t="s">
        <v>60</v>
      </c>
      <c r="D106" s="1" t="s">
        <v>305</v>
      </c>
      <c r="E106" s="1" t="s">
        <v>417</v>
      </c>
      <c r="F106" s="23" t="str">
        <f>IFERROR(INDEX(Brand!$A:$A,MATCH(TRIM(C106),Brand!$B:$B,0)),"NOT FOUND")</f>
        <v>BRAND-054</v>
      </c>
      <c r="G106" s="25" t="s">
        <v>1281</v>
      </c>
      <c r="H106" s="23" t="str">
        <f t="shared" si="1"/>
        <v>INSERT INTO medical_supply_product (active, category, description, name, code, brand_code, uom) VALUES (true, 'Túi nước tiểu nhân tạo', 'Túi nước tiểu nhân tạo 1 mảnh SeaSight, túi gắn liền đế, dùng cho người mở niệu quản ra da. Chất liệu mềm, đế có đường cắt sẵn dễ thao tác; khi thay túi thì thay cả đế.', '[SeaSight] Túi nước tiểu nhân tạo 1 mảnh', 'PRODUCT-00105', 'BRAND-054', 'chiếc');</v>
      </c>
    </row>
    <row r="107" spans="1:8" ht="45" x14ac:dyDescent="0.25">
      <c r="A107" s="7" t="s">
        <v>667</v>
      </c>
      <c r="B107" s="1" t="s">
        <v>187</v>
      </c>
      <c r="C107" s="1" t="s">
        <v>39</v>
      </c>
      <c r="D107" s="1" t="s">
        <v>2261</v>
      </c>
      <c r="E107" s="1" t="s">
        <v>418</v>
      </c>
      <c r="F107" s="23" t="str">
        <f>IFERROR(INDEX(Brand!$A:$A,MATCH(TRIM(C107),Brand!$B:$B,0)),"NOT FOUND")</f>
        <v>BRAND-031</v>
      </c>
      <c r="G107" s="24" t="s">
        <v>1274</v>
      </c>
      <c r="H107" s="23" t="str">
        <f t="shared" si="1"/>
        <v>INSERT INTO medical_supply_product (active, category, description, name, code, brand_code, uom) VALUES (true, 'Phụ kiện hậu môn nhân tạo', 'Kéo cong chuyên dụng bằng thép không gỉ (14cm), đầu cong giúp cắt lỗ đế túi hậu môn nhân tạo dễ và chính xác.', 'Keo cong cắt đế hậu môn nhân tạo', 'PRODUCT-00106', 'BRAND-031', 'cái');</v>
      </c>
    </row>
    <row r="108" spans="1:8" ht="60" x14ac:dyDescent="0.25">
      <c r="A108" s="7" t="s">
        <v>668</v>
      </c>
      <c r="B108" s="1" t="s">
        <v>143</v>
      </c>
      <c r="C108" s="1" t="s">
        <v>53</v>
      </c>
      <c r="D108" s="1" t="s">
        <v>2257</v>
      </c>
      <c r="E108" s="1" t="s">
        <v>419</v>
      </c>
      <c r="F108" s="23" t="str">
        <f>IFERROR(INDEX(Brand!$A:$A,MATCH(TRIM(C108),Brand!$B:$B,0)),"NOT FOUND")</f>
        <v>BRAND-047</v>
      </c>
      <c r="G108" s="25" t="s">
        <v>1275</v>
      </c>
      <c r="H108" s="23" t="str">
        <f t="shared" si="1"/>
        <v>INSERT INTO medical_supply_product (active, category, description, name, code, brand_code, uom) VALUES (true, 'Túi hậu môn nhân tạo', 'Bộ túi hậu môn nhân tạo 2 mảnh Ostomy Care khóa cuộn, túi và đế tách riêng, xả được, hai lớp kín đáo, có bộ lọc than hoạt tính khử mùi. Đế bám dính tốt, không kích ứng; khóa dán nhựa đóng túi chắc chắn.', '[Ostomy Care] Bộ túi hậu môn nhân tạo 2 mảnh - Khóa cuộn', 'PRODUCT-00107', 'BRAND-047', 'bộ');</v>
      </c>
    </row>
    <row r="109" spans="1:8" ht="60" x14ac:dyDescent="0.25">
      <c r="A109" s="7" t="s">
        <v>669</v>
      </c>
      <c r="B109" s="1" t="s">
        <v>295</v>
      </c>
      <c r="C109" s="1" t="s">
        <v>53</v>
      </c>
      <c r="D109" s="1" t="s">
        <v>2257</v>
      </c>
      <c r="E109" s="1" t="s">
        <v>420</v>
      </c>
      <c r="F109" s="23" t="str">
        <f>IFERROR(INDEX(Brand!$A:$A,MATCH(TRIM(C109),Brand!$B:$B,0)),"NOT FOUND")</f>
        <v>BRAND-047</v>
      </c>
      <c r="G109" s="24" t="s">
        <v>1275</v>
      </c>
      <c r="H109" s="23" t="str">
        <f t="shared" si="1"/>
        <v>INSERT INTO medical_supply_product (active, category, description, name, code, brand_code, uom) VALUES (true, 'Túi hậu môn nhân tạo', 'Túi hậu môn nhân tạo 2 mảnh Ostomy Care khóa dán liền, có bộ lọc than hoạt tính khử mùi. Dùng kèm đế rời Ostomy Care; khóa dán nhựa đóng túi chắc chắn, xả thải dễ dàng.', '[Ostomy Care] Túi hậu môn nhân tạo 2 mảnh - Khóa dán liền', 'PRODUCT-00108', 'BRAND-047', 'bộ');</v>
      </c>
    </row>
    <row r="110" spans="1:8" ht="60" x14ac:dyDescent="0.25">
      <c r="A110" s="7" t="s">
        <v>670</v>
      </c>
      <c r="B110" s="1" t="s">
        <v>112</v>
      </c>
      <c r="C110" s="1" t="s">
        <v>39</v>
      </c>
      <c r="D110" s="1" t="s">
        <v>2257</v>
      </c>
      <c r="E110" s="1" t="s">
        <v>421</v>
      </c>
      <c r="F110" s="23" t="str">
        <f>IFERROR(INDEX(Brand!$A:$A,MATCH(TRIM(C110),Brand!$B:$B,0)),"NOT FOUND")</f>
        <v>BRAND-031</v>
      </c>
      <c r="G110" s="25" t="s">
        <v>1281</v>
      </c>
      <c r="H110" s="23" t="str">
        <f t="shared" si="1"/>
        <v>INSERT INTO medical_supply_product (active, category, description, name, code, brand_code, uom) VALUES (true, 'Túi hậu môn nhân tạo', 'Túi hậu môn nhân tạo 2 mảnh, túi và đế tách riêng, xả được; hai lớp gồm lớp trong để quan sát và lớp ngoài màu đục kín đáo. Có bộ lọc than hoạt tính khử mùi, thoát khí; đế bám dính tốt.', 'Túi hậu môn nhân tạo 2 mảnh', 'PRODUCT-00109', 'BRAND-031', 'chiếc');</v>
      </c>
    </row>
    <row r="111" spans="1:8" ht="75" x14ac:dyDescent="0.25">
      <c r="A111" s="7" t="s">
        <v>671</v>
      </c>
      <c r="B111" s="1" t="s">
        <v>182</v>
      </c>
      <c r="C111" s="1" t="s">
        <v>19</v>
      </c>
      <c r="D111" s="1" t="s">
        <v>2264</v>
      </c>
      <c r="E111" s="1" t="s">
        <v>422</v>
      </c>
      <c r="F111" s="23" t="str">
        <f>IFERROR(INDEX(Brand!$A:$A,MATCH(TRIM(C111),Brand!$B:$B,0)),"NOT FOUND")</f>
        <v>BRAND-005</v>
      </c>
      <c r="G111" s="25" t="s">
        <v>1275</v>
      </c>
      <c r="H111" s="23" t="str">
        <f t="shared" si="1"/>
        <v>INSERT INTO medical_supply_product (active, category, description, name, code, brand_code, uom) VALUES (true, 'Dụng cụ tập thở', 'Phế dung kế B-Spiro 5000 hỗ trợ tập hít sâu, tăng dung tích và độ giãn nở phổi, đồng thời theo dõi tiến bộ chức năng hô hấp. Dùng cho bệnh nhân sau phẫu thuật phổi, hen, bệnh phổi mạn tính; tập được tại viện hoặc tại nhà.', '[Bicakcilar] Dụng cụ tập thở phế dung kế - B-SPIRO 5000', 'PRODUCT-00110', 'BRAND-005', 'bộ');</v>
      </c>
    </row>
    <row r="112" spans="1:8" ht="75" x14ac:dyDescent="0.25">
      <c r="A112" s="7" t="s">
        <v>672</v>
      </c>
      <c r="B112" s="1" t="s">
        <v>193</v>
      </c>
      <c r="C112" s="1" t="s">
        <v>20</v>
      </c>
      <c r="D112" s="1" t="s">
        <v>92</v>
      </c>
      <c r="E112" s="1" t="s">
        <v>423</v>
      </c>
      <c r="F112" s="23" t="str">
        <f>IFERROR(INDEX(Brand!$A:$A,MATCH(TRIM(C112),Brand!$B:$B,0)),"NOT FOUND")</f>
        <v>BRAND-006</v>
      </c>
      <c r="G112" s="25" t="s">
        <v>1274</v>
      </c>
      <c r="H112" s="23" t="str">
        <f t="shared" si="1"/>
        <v>INSERT INTO medical_supply_product (active, category, description, name, code, brand_code, uom) VALUES (true, 'Mask thanh quản', 'Mask thanh quản 1 nòng Biotek (LMA) giúp khai thông đường thở trên trong gây mê, cấp cứu và thông khí nhân tạo đến 20cmH2O. Bóng chèn elip áp lực thấp, dễ đặt hơn nội khí quản; nằm trong phác đồ xử trí đường thở khó.', '[Biotek] Mask thanh quản 1 nòng - Laryngeal Mask Airway', 'PRODUCT-00111', 'BRAND-006', 'cái');</v>
      </c>
    </row>
    <row r="113" spans="1:8" ht="75" x14ac:dyDescent="0.25">
      <c r="A113" s="7" t="s">
        <v>673</v>
      </c>
      <c r="B113" s="1" t="s">
        <v>195</v>
      </c>
      <c r="C113" s="1" t="s">
        <v>20</v>
      </c>
      <c r="D113" s="1" t="s">
        <v>92</v>
      </c>
      <c r="E113" s="1" t="s">
        <v>424</v>
      </c>
      <c r="F113" s="23" t="str">
        <f>IFERROR(INDEX(Brand!$A:$A,MATCH(TRIM(C113),Brand!$B:$B,0)),"NOT FOUND")</f>
        <v>BRAND-006</v>
      </c>
      <c r="G113" s="25" t="s">
        <v>1274</v>
      </c>
      <c r="H113" s="23" t="str">
        <f t="shared" si="1"/>
        <v>INSERT INTO medical_supply_product (active, category, description, name, code, brand_code, uom) VALUES (true, 'Mask thanh quản', 'Mask thanh quản 2 nòng Biotek bằng silicone y tế, giúp kiểm soát đường thở trên an toàn khi gây mê toàn thân và cấp cứu hồi sức. Hai điểm chèn khít ở họng miệng và cơ vòng thực quản trên; mềm, giảm tổn thương và đau họng.', '[Biotek] Mask thanh quản 2 nòng - Laryngeal Mask Airway', 'PRODUCT-00112', 'BRAND-006', 'cái');</v>
      </c>
    </row>
    <row r="114" spans="1:8" ht="45" x14ac:dyDescent="0.25">
      <c r="A114" s="7" t="s">
        <v>674</v>
      </c>
      <c r="B114" s="1" t="s">
        <v>165</v>
      </c>
      <c r="C114" s="1" t="s">
        <v>21</v>
      </c>
      <c r="D114" s="1" t="s">
        <v>2267</v>
      </c>
      <c r="E114" s="1" t="s">
        <v>425</v>
      </c>
      <c r="F114" s="23" t="str">
        <f>IFERROR(INDEX(Brand!$A:$A,MATCH(TRIM(C114),Brand!$B:$B,0)),"NOT FOUND")</f>
        <v>BRAND-007</v>
      </c>
      <c r="G114" s="25" t="s">
        <v>1274</v>
      </c>
      <c r="H114" s="23" t="str">
        <f t="shared" si="1"/>
        <v>INSERT INTO medical_supply_product (active, category, description, name, code, brand_code, uom) VALUES (true, 'Dây thở oxy', 'Dây thở oxy 2 nhánh bằng nhựa PVC y tế, không chứa cao su, dẫn oxy từ máy tạo oxy hoặc bình oxy vào mũi người bệnh. Mềm dẻo, bền, không gập, ít kích ứng.', '[Bornsun] Dây thở oxy 2 nhánh', 'PRODUCT-00113', 'BRAND-007', 'cái');</v>
      </c>
    </row>
    <row r="115" spans="1:8" ht="60" x14ac:dyDescent="0.25">
      <c r="A115" s="7" t="s">
        <v>675</v>
      </c>
      <c r="B115" s="1" t="s">
        <v>196</v>
      </c>
      <c r="C115" s="1" t="s">
        <v>21</v>
      </c>
      <c r="D115" s="1" t="s">
        <v>2269</v>
      </c>
      <c r="E115" s="1" t="s">
        <v>426</v>
      </c>
      <c r="F115" s="23" t="str">
        <f>IFERROR(INDEX(Brand!$A:$A,MATCH(TRIM(C115),Brand!$B:$B,0)),"NOT FOUND")</f>
        <v>BRAND-007</v>
      </c>
      <c r="G115" s="25" t="s">
        <v>1275</v>
      </c>
      <c r="H115" s="23" t="str">
        <f t="shared" si="1"/>
        <v>INSERT INTO medical_supply_product (active, category, description, name, code, brand_code, uom) VALUES (true, 'Mặt nạ oxy &amp; xông khí dung', 'Mặt nạ thở oxy bằng PVC y tế trong suốt, cung cấp oxy hiệu quả cho người khó thở, thiếu oxy. Dùng hỗ trợ gây mê và điều trị bằng oxy, khí dung; cho nồng độ oxy chính xác hơn dây thở mũi.', '[Bornsun] Mặt nạ thở oxy', 'PRODUCT-00114', 'BRAND-007', 'bộ');</v>
      </c>
    </row>
    <row r="116" spans="1:8" ht="45" x14ac:dyDescent="0.25">
      <c r="A116" s="7" t="s">
        <v>676</v>
      </c>
      <c r="B116" s="1" t="s">
        <v>198</v>
      </c>
      <c r="C116" s="1" t="s">
        <v>21</v>
      </c>
      <c r="D116" s="1" t="s">
        <v>2269</v>
      </c>
      <c r="E116" s="1" t="s">
        <v>427</v>
      </c>
      <c r="F116" s="23" t="str">
        <f>IFERROR(INDEX(Brand!$A:$A,MATCH(TRIM(C116),Brand!$B:$B,0)),"NOT FOUND")</f>
        <v>BRAND-007</v>
      </c>
      <c r="G116" s="25" t="s">
        <v>1275</v>
      </c>
      <c r="H116" s="23" t="str">
        <f t="shared" si="1"/>
        <v>INSERT INTO medical_supply_product (active, category, description, name, code, brand_code, uom) VALUES (true, 'Mặt nạ oxy &amp; xông khí dung', 'Mặt nạ xông khí dung dùng phun thuốc dạng sương, giúp người bệnh hấp thu thuốc qua đường hô hấp hiệu quả và dễ dàng.', '[Bornsun] Mặt nạ xông khí dung', 'PRODUCT-00115', 'BRAND-007', 'bộ');</v>
      </c>
    </row>
    <row r="117" spans="1:8" ht="45" x14ac:dyDescent="0.25">
      <c r="A117" s="7" t="s">
        <v>677</v>
      </c>
      <c r="B117" s="1" t="s">
        <v>303</v>
      </c>
      <c r="C117" s="1" t="s">
        <v>21</v>
      </c>
      <c r="D117" s="1" t="s">
        <v>2271</v>
      </c>
      <c r="E117" s="1" t="s">
        <v>428</v>
      </c>
      <c r="F117" s="23" t="str">
        <f>IFERROR(INDEX(Brand!$A:$A,MATCH(TRIM(C117),Brand!$B:$B,0)),"NOT FOUND")</f>
        <v>BRAND-007</v>
      </c>
      <c r="G117" s="25" t="s">
        <v>1274</v>
      </c>
      <c r="H117" s="23" t="str">
        <f t="shared" si="1"/>
        <v>INSERT INTO medical_supply_product (active, category, description, name, code, brand_code, uom) VALUES (true, 'Dây hút đàm', 'Xông hút đờm kín Bornsun dùng hút đờm trong ống mở khí quản, nội khí quản và khí quản. Có van chặn giảm nguy cơ lây nhiễm chéo; đạt CE, ISO 13485.', '[Bornsun] Xông hút đờm kín', 'PRODUCT-00116', 'BRAND-007', 'cái');</v>
      </c>
    </row>
    <row r="118" spans="1:8" ht="60" x14ac:dyDescent="0.25">
      <c r="A118" s="7" t="s">
        <v>678</v>
      </c>
      <c r="B118" s="1" t="s">
        <v>245</v>
      </c>
      <c r="C118" s="1" t="s">
        <v>24</v>
      </c>
      <c r="D118" s="1" t="s">
        <v>2279</v>
      </c>
      <c r="E118" s="1" t="s">
        <v>429</v>
      </c>
      <c r="F118" s="23" t="str">
        <f>IFERROR(INDEX(Brand!$A:$A,MATCH(TRIM(C118),Brand!$B:$B,0)),"NOT FOUND")</f>
        <v>BRAND-012</v>
      </c>
      <c r="G118" s="25" t="s">
        <v>1274</v>
      </c>
      <c r="H118" s="23" t="str">
        <f t="shared" si="1"/>
        <v>INSERT INTO medical_supply_product (active, category, description, name, code, brand_code, uom) VALUES (true, 'Phụ kiện mở khí quản', 'Nòng trong Shiley SIC dùng thay thế cho ống mở khí quản 2 nòng Shiley, dễ tháo ra để vệ sinh, ngừa tắc đường thở. Đầu khóa vặn đỏ in số size; phải chọn đúng cỡ với ống ngoài.', '[Covidien] Nòng trong ống mở khí quản - Shiley SIC', 'PRODUCT-00117', 'BRAND-012', 'cái');</v>
      </c>
    </row>
    <row r="119" spans="1:8" ht="75" x14ac:dyDescent="0.25">
      <c r="A119" s="7" t="s">
        <v>679</v>
      </c>
      <c r="B119" s="1" t="s">
        <v>250</v>
      </c>
      <c r="C119" s="1" t="s">
        <v>24</v>
      </c>
      <c r="D119" s="1" t="s">
        <v>2275</v>
      </c>
      <c r="E119" s="1" t="s">
        <v>430</v>
      </c>
      <c r="F119" s="23" t="str">
        <f>IFERROR(INDEX(Brand!$A:$A,MATCH(TRIM(C119),Brand!$B:$B,0)),"NOT FOUND")</f>
        <v>BRAND-012</v>
      </c>
      <c r="G119" s="25" t="s">
        <v>1275</v>
      </c>
      <c r="H119" s="23" t="str">
        <f t="shared" si="1"/>
        <v>INSERT INTO medical_supply_product (active, category, description, name, code, brand_code, uom) VALUES (true, 'Ống mở khí quản', 'Ống mở khí quản 2 nòng có bóng Shiley LPC dành cho bệnh nhân thở máy, bóng mềm khít khí quản mà không tổn thương niêm mạc. Nòng trong tháo rời để vệ sinh, thay thế; nên dùng kèm mũi nhân tạo để làm ấm, ẩm và lọc khí.', '[Covidien] Ống mở khí quản 2 nòng có bóng - Shiley LPC', 'PRODUCT-00118', 'BRAND-012', 'bộ');</v>
      </c>
    </row>
    <row r="120" spans="1:8" ht="60" x14ac:dyDescent="0.25">
      <c r="A120" s="7" t="s">
        <v>680</v>
      </c>
      <c r="B120" s="1" t="s">
        <v>254</v>
      </c>
      <c r="C120" s="1" t="s">
        <v>24</v>
      </c>
      <c r="D120" s="1" t="s">
        <v>2275</v>
      </c>
      <c r="E120" s="1" t="s">
        <v>431</v>
      </c>
      <c r="F120" s="23" t="str">
        <f>IFERROR(INDEX(Brand!$A:$A,MATCH(TRIM(C120),Brand!$B:$B,0)),"NOT FOUND")</f>
        <v>BRAND-012</v>
      </c>
      <c r="G120" s="25" t="s">
        <v>1275</v>
      </c>
      <c r="H120" s="23" t="str">
        <f t="shared" si="1"/>
        <v>INSERT INTO medical_supply_product (active, category, description, name, code, brand_code, uom) VALUES (true, 'Ống mở khí quản', 'Ống mở khí quản 2 nòng có bóng, có cửa sổ Shiley FEN kết nối máy thở, bóng mềm thể tích lớn, áp lực thấp. Cửa sổ trên ống giúp bệnh nhân đã ổn định tập thở và tập nói khi đậy nắp đỏ.', '[Covidien] Ống mở khí quản 2 nòng có bóng, có cửa sổ - Shiley FEN', 'PRODUCT-00119', 'BRAND-012', 'bộ');</v>
      </c>
    </row>
    <row r="121" spans="1:8" ht="60" x14ac:dyDescent="0.25">
      <c r="A121" s="7" t="s">
        <v>681</v>
      </c>
      <c r="B121" s="1" t="s">
        <v>259</v>
      </c>
      <c r="C121" s="1" t="s">
        <v>24</v>
      </c>
      <c r="D121" s="1" t="s">
        <v>2275</v>
      </c>
      <c r="E121" s="1" t="s">
        <v>432</v>
      </c>
      <c r="F121" s="23" t="str">
        <f>IFERROR(INDEX(Brand!$A:$A,MATCH(TRIM(C121),Brand!$B:$B,0)),"NOT FOUND")</f>
        <v>BRAND-012</v>
      </c>
      <c r="G121" s="25" t="s">
        <v>1275</v>
      </c>
      <c r="H121" s="23" t="str">
        <f t="shared" si="1"/>
        <v>INSERT INTO medical_supply_product (active, category, description, name, code, brand_code, uom) VALUES (true, 'Ống mở khí quản', 'Ống mở khí quản 2 nòng không bóng, có cửa sổ Shiley CFN cho bệnh nhân không cần thở máy dài ngày. Cửa sổ giúp tự thở qua đường thở trên và tập nói khi lắp nắp đỏ.', '[Covidien] Ống mở khí quản 2 nòng không bóng, có cửa sổ - Shiley CFN', 'PRODUCT-00120', 'BRAND-012', 'bộ');</v>
      </c>
    </row>
    <row r="122" spans="1:8" ht="60" x14ac:dyDescent="0.25">
      <c r="A122" s="7" t="s">
        <v>682</v>
      </c>
      <c r="B122" s="1" t="s">
        <v>246</v>
      </c>
      <c r="C122" s="1" t="s">
        <v>29</v>
      </c>
      <c r="D122" s="1" t="s">
        <v>2281</v>
      </c>
      <c r="E122" s="1" t="s">
        <v>433</v>
      </c>
      <c r="F122" s="23" t="str">
        <f>IFERROR(INDEX(Brand!$A:$A,MATCH(TRIM(C122),Brand!$B:$B,0)),"NOT FOUND")</f>
        <v>BRAND-018</v>
      </c>
      <c r="G122" s="25" t="s">
        <v>1274</v>
      </c>
      <c r="H122" s="23" t="str">
        <f t="shared" si="1"/>
        <v>INSERT INTO medical_supply_product (active, category, description, name, code, brand_code, uom) VALUES (true, 'Ống nội khí quản', 'Ống chẹn phế quản Uniblocker (Fuji System) dùng thông khí một phổi, giúp làm xẹp phổi dễ dàng trong phẫu thuật lồng ngực, phổi, màng phổi, nội soi lồng ngực. Đầu mềm, dễ uốn để chỉnh vị trí.', '[Fuji System] Ống chẹn phế quản cô lập phổi - Uniblocker', 'PRODUCT-00121', 'BRAND-018', 'cái');</v>
      </c>
    </row>
    <row r="123" spans="1:8" ht="60" x14ac:dyDescent="0.25">
      <c r="A123" s="7" t="s">
        <v>683</v>
      </c>
      <c r="B123" s="1" t="s">
        <v>261</v>
      </c>
      <c r="C123" s="1" t="s">
        <v>29</v>
      </c>
      <c r="D123" s="1" t="s">
        <v>2281</v>
      </c>
      <c r="E123" s="1" t="s">
        <v>434</v>
      </c>
      <c r="F123" s="23" t="str">
        <f>IFERROR(INDEX(Brand!$A:$A,MATCH(TRIM(C123),Brand!$B:$B,0)),"NOT FOUND")</f>
        <v>BRAND-018</v>
      </c>
      <c r="G123" s="25" t="s">
        <v>1275</v>
      </c>
      <c r="H123" s="23" t="str">
        <f t="shared" si="1"/>
        <v>INSERT INTO medical_supply_product (active, category, description, name, code, brand_code, uom) VALUES (true, 'Ống nội khí quản', 'Ống nội khí quản 2 nòng Silbroncho (Carlens) bằng silicone y tế, dùng thông khí một phổi trái hoặc phải. Đầu có lò xo giúp đặt vào phế quản dễ hơn, giảm chấn thương và nguy cơ gập ống; đạt ISO 13485, CE.', '[Fuji System] Ống nội khí quản 2 nòng - Silbroncho (Carlens)', 'PRODUCT-00122', 'BRAND-018', 'bộ');</v>
      </c>
    </row>
    <row r="124" spans="1:8" ht="75" x14ac:dyDescent="0.25">
      <c r="A124" s="7" t="s">
        <v>684</v>
      </c>
      <c r="B124" s="1" t="s">
        <v>265</v>
      </c>
      <c r="C124" s="1" t="s">
        <v>29</v>
      </c>
      <c r="D124" s="1" t="s">
        <v>2281</v>
      </c>
      <c r="E124" s="1" t="s">
        <v>435</v>
      </c>
      <c r="F124" s="23" t="str">
        <f>IFERROR(INDEX(Brand!$A:$A,MATCH(TRIM(C124),Brand!$B:$B,0)),"NOT FOUND")</f>
        <v>BRAND-018</v>
      </c>
      <c r="G124" s="24" t="s">
        <v>1274</v>
      </c>
      <c r="H124" s="23" t="str">
        <f t="shared" si="1"/>
        <v>INSERT INTO medical_supply_product (active, category, description, name, code, brand_code, uom) VALUES (true, 'Ống nội khí quản', 'Ống nội khí quản Univent™ (Fuji Systems, Nhật Bản) một nòng tích hợp sẵn ống chẹn phế quản, dùng thông khí một phổi trong phẫu thuật lồng ngực. Làm xẹp phổi đích dễ dàng, an toàn, giảm tổn thương niêm mạc đường thở.', '[Fuji System] Ống nội khí quản tích hợp sẵn ống chặn phổi - Univent™', 'PRODUCT-00123', 'BRAND-018', 'cái');</v>
      </c>
    </row>
    <row r="125" spans="1:8" ht="60" x14ac:dyDescent="0.25">
      <c r="A125" s="7" t="s">
        <v>685</v>
      </c>
      <c r="B125" s="1" t="s">
        <v>194</v>
      </c>
      <c r="C125" s="1" t="s">
        <v>31</v>
      </c>
      <c r="D125" s="1" t="s">
        <v>92</v>
      </c>
      <c r="E125" s="1" t="s">
        <v>436</v>
      </c>
      <c r="F125" s="23" t="str">
        <f>IFERROR(INDEX(Brand!$A:$A,MATCH(TRIM(C125),Brand!$B:$B,0)),"NOT FOUND")</f>
        <v>BRAND-021</v>
      </c>
      <c r="G125" s="24" t="s">
        <v>1274</v>
      </c>
      <c r="H125" s="23" t="str">
        <f t="shared" si="1"/>
        <v>INSERT INTO medical_supply_product (active, category, description, name, code, brand_code, uom) VALUES (true, 'Mask thanh quản', 'Mask thanh quản 1 nòng dùng 1 lần giúp thông khí đường thở an toàn trong gây mê toàn thân cho bệnh nhân mọi lứa tuổi, hỗ trợ thông khí nhân tạo đến 20cmH2O. Bóng chèn elip áp lực thấp, đặt nhanh và dễ.', '[HangZhou] Mask thanh quản 1 nòng dùng 1 lần', 'PRODUCT-00124', 'BRAND-021', 'cái');</v>
      </c>
    </row>
    <row r="126" spans="1:8" ht="60" x14ac:dyDescent="0.25">
      <c r="A126" s="7" t="s">
        <v>686</v>
      </c>
      <c r="B126" s="1" t="s">
        <v>161</v>
      </c>
      <c r="C126" s="1" t="s">
        <v>33</v>
      </c>
      <c r="D126" s="1" t="s">
        <v>2271</v>
      </c>
      <c r="E126" s="1" t="s">
        <v>437</v>
      </c>
      <c r="F126" s="23" t="str">
        <f>IFERROR(INDEX(Brand!$A:$A,MATCH(TRIM(C126),Brand!$B:$B,0)),"NOT FOUND")</f>
        <v>BRAND-023</v>
      </c>
      <c r="G126" s="25" t="s">
        <v>1274</v>
      </c>
      <c r="H126" s="23" t="str">
        <f t="shared" si="1"/>
        <v>INSERT INTO medical_supply_product (active, category, description, name, code, brand_code, uom) VALUES (true, 'Dây hút đàm', 'Dây hút đàm có kiểm soát Hoàng Sơn dùng hút đờm nhớt trong ống mở khí quản, khí quản, mũi, miệng, họng. Có nắp điều chỉnh lực hút; dùng với các loại máy hút dịch, sử dụng 1 lần.', '[Hoàng Sơn] Dây hút đàm nhớt có kiểm soát', 'PRODUCT-00125', 'BRAND-023', 'cái');</v>
      </c>
    </row>
    <row r="127" spans="1:8" ht="60" x14ac:dyDescent="0.25">
      <c r="A127" s="7" t="s">
        <v>687</v>
      </c>
      <c r="B127" s="1" t="s">
        <v>162</v>
      </c>
      <c r="C127" s="1" t="s">
        <v>33</v>
      </c>
      <c r="D127" s="1" t="s">
        <v>2271</v>
      </c>
      <c r="E127" s="1" t="s">
        <v>438</v>
      </c>
      <c r="F127" s="23" t="str">
        <f>IFERROR(INDEX(Brand!$A:$A,MATCH(TRIM(C127),Brand!$B:$B,0)),"NOT FOUND")</f>
        <v>BRAND-023</v>
      </c>
      <c r="G127" s="25" t="s">
        <v>1274</v>
      </c>
      <c r="H127" s="23" t="str">
        <f t="shared" si="1"/>
        <v>INSERT INTO medical_supply_product (active, category, description, name, code, brand_code, uom) VALUES (true, 'Dây hút đàm', 'Dây hút đàm không kiểm soát Hoàng Sơn dùng hút đờm nhớt trong ống mở khí quản, khí quản, mũi, miệng, họng, giúp thông đường thở và ngừa nhiễm khuẩn. Dùng với các loại máy hút dịch, sử dụng 1 lần.', '[Hoàng Sơn] Dây hút đàm nhớt không kiểm soát', 'PRODUCT-00126', 'BRAND-023', 'cái');</v>
      </c>
    </row>
    <row r="128" spans="1:8" ht="60" x14ac:dyDescent="0.25">
      <c r="A128" s="7" t="s">
        <v>688</v>
      </c>
      <c r="B128" s="1" t="s">
        <v>177</v>
      </c>
      <c r="C128" s="1" t="s">
        <v>12</v>
      </c>
      <c r="D128" s="1" t="s">
        <v>2283</v>
      </c>
      <c r="E128" s="1" t="s">
        <v>439</v>
      </c>
      <c r="F128" s="23" t="str">
        <f>IFERROR(INDEX(Brand!$A:$A,MATCH(TRIM(C128),Brand!$B:$B,0)),"NOT FOUND")</f>
        <v>BRAND-024</v>
      </c>
      <c r="G128" s="25" t="s">
        <v>1274</v>
      </c>
      <c r="H128" s="23" t="str">
        <f t="shared" si="1"/>
        <v>INSERT INTO medical_supply_product (active, category, description, name, code, brand_code, uom) VALUES (true, 'Dụng cụ đặt &amp; cố định nội khí quản', 'Dụng cụ cố định ống nội khí quản AnchorFast Hollister 9800 giữ ống chắc chắn và chống cắn ống gây tắc nghẽn. Dễ vệ sinh răng miệng, dễ đổi vị trí ống tránh loét môi, giảm nguy cơ viêm phổi liên quan thở máy.', '[Hollister] Dụng cụ cố định ống nội khí quản chống cắn - AnchorFast 9800', 'PRODUCT-00127', 'BRAND-024', 'cái');</v>
      </c>
    </row>
    <row r="129" spans="1:8" ht="45" x14ac:dyDescent="0.25">
      <c r="A129" s="7" t="s">
        <v>689</v>
      </c>
      <c r="B129" s="1" t="s">
        <v>135</v>
      </c>
      <c r="C129" s="1" t="s">
        <v>35</v>
      </c>
      <c r="D129" s="1" t="s">
        <v>2277</v>
      </c>
      <c r="E129" s="1" t="s">
        <v>440</v>
      </c>
      <c r="F129" s="23" t="str">
        <f>IFERROR(INDEX(Brand!$A:$A,MATCH(TRIM(C129),Brand!$B:$B,0)),"NOT FOUND")</f>
        <v>BRAND-026</v>
      </c>
      <c r="G129" s="25" t="s">
        <v>1275</v>
      </c>
      <c r="H129" s="23" t="str">
        <f t="shared" si="1"/>
        <v>INSERT INTO medical_supply_product (active, category, description, name, code, brand_code, uom) VALUES (true, 'Bộ mở khí quản', 'Bộ mở khí quản nhanh qua da Portex dùng cho các ca cần mở khí quản cấp, thao tác nhanh gọn. Lỗ mở nhỏ, hạn chế sẹo xấu và nguy cơ hẹp khí quản.', '[ICU Medical] Bộ mở khí quản nhanh qua da - PORTEX Percutaneous Dilation Tracheostomy Kit', 'PRODUCT-00128', 'BRAND-026', 'bộ');</v>
      </c>
    </row>
    <row r="130" spans="1:8" ht="60" x14ac:dyDescent="0.25">
      <c r="A130" s="7" t="s">
        <v>690</v>
      </c>
      <c r="B130" s="1" t="s">
        <v>152</v>
      </c>
      <c r="C130" s="1" t="s">
        <v>37</v>
      </c>
      <c r="D130" s="1" t="s">
        <v>2283</v>
      </c>
      <c r="E130" s="1" t="s">
        <v>441</v>
      </c>
      <c r="F130" s="23" t="str">
        <f>IFERROR(INDEX(Brand!$A:$A,MATCH(TRIM(C130),Brand!$B:$B,0)),"NOT FOUND")</f>
        <v>BRAND-027</v>
      </c>
      <c r="G130" s="25" t="s">
        <v>1274</v>
      </c>
      <c r="H130" s="23" t="str">
        <f t="shared" si="1"/>
        <v>INSERT INTO medical_supply_product (active, category, description, name, code, brand_code, uom) VALUES (true, 'Dụng cụ đặt &amp; cố định nội khí quản', 'Cây nòng dẫn đường Stylet bằng nhôm dẻo bọc PVC y tế, luồn trong ống để định vị khi đặt nội khí quản thường hoặc cấp cứu. Có chia vạch giúp đặt ống chính xác.', '[Idealcare] Cây nòng đặt nội khí quản thường - Stylet', 'PRODUCT-00129', 'BRAND-027', 'cái');</v>
      </c>
    </row>
    <row r="131" spans="1:8" ht="60" x14ac:dyDescent="0.25">
      <c r="A131" s="7" t="s">
        <v>691</v>
      </c>
      <c r="B131" s="1" t="s">
        <v>227</v>
      </c>
      <c r="C131" s="1" t="s">
        <v>8</v>
      </c>
      <c r="D131" s="1" t="s">
        <v>96</v>
      </c>
      <c r="E131" s="1" t="s">
        <v>442</v>
      </c>
      <c r="F131" s="23" t="str">
        <f>IFERROR(INDEX(Brand!$A:$A,MATCH(TRIM(C131),Brand!$B:$B,0)),"NOT FOUND")</f>
        <v>BRAND-028</v>
      </c>
      <c r="G131" s="24" t="s">
        <v>1274</v>
      </c>
      <c r="H131" s="23" t="str">
        <f t="shared" ref="H131:H194" si="2">"INSERT INTO medical_supply_product (active, category, description, name, code, brand_code, uom) VALUES (true, '"&amp;SUBSTITUTE(D131,"'","''")&amp;"', '"&amp;SUBSTITUTE(E131,"'","''")&amp;"', '"&amp;SUBSTITUTE(B131,"'","''")&amp;"', '"&amp;SUBSTITUTE(A131,"'","''")&amp;"', '"&amp;SUBSTITUTE(F131,"'","''")&amp;"', '"&amp;SUBSTITUTE(G131,"'","''")&amp;"');"</f>
        <v>INSERT INTO medical_supply_product (active, category, description, name, code, brand_code, uom) VALUES (true, 'Máy tạo oxy', 'Máy tạo oxy iMediCare OC-5LH (5 lít/phút) dùng công nghệ sàng phân tử, tách oxy từ không khí tạo oxy y tế tinh khiết. Phù hợp dùng tại nhà, bệnh viện và cơ sở chăm sóc.', '[iMedicare] Máy tạo oxy 5 lít - OC-5LH', 'PRODUCT-00130', 'BRAND-028', 'cái');</v>
      </c>
    </row>
    <row r="132" spans="1:8" ht="45" x14ac:dyDescent="0.25">
      <c r="A132" s="7" t="s">
        <v>692</v>
      </c>
      <c r="B132" s="1" t="s">
        <v>1607</v>
      </c>
      <c r="C132" s="1" t="s">
        <v>41</v>
      </c>
      <c r="D132" s="1" t="s">
        <v>2279</v>
      </c>
      <c r="E132" s="1" t="s">
        <v>443</v>
      </c>
      <c r="F132" s="23" t="str">
        <f>IFERROR(INDEX(Brand!$A:$A,MATCH(TRIM(C132),Brand!$B:$B,0)),"NOT FOUND")</f>
        <v>BRAND-033</v>
      </c>
      <c r="G132" s="25" t="s">
        <v>1276</v>
      </c>
      <c r="H132" s="23" t="str">
        <f t="shared" si="2"/>
        <v>INSERT INTO medical_supply_product (active, category, description, name, code, brand_code, uom) VALUES (true, 'Phụ kiện mở khí quản', 'Gạc mở khí quản vô trùng L&amp;R Metalline dùng thấm hút dịch và bảo vệ vùng da quanh ống mở khí quản, ống dẫn lưu cỡ lớn. Mềm, giảm tổn thương khi thay băng.', '[Lohmann-Rauscher] Gạc mở khí quản vô trùng - Metalline (8cmx9cm)', 'PRODUCT-00131', 'BRAND-033', 'miếng');</v>
      </c>
    </row>
    <row r="133" spans="1:8" ht="60" x14ac:dyDescent="0.25">
      <c r="A133" s="7" t="s">
        <v>693</v>
      </c>
      <c r="B133" s="1" t="s">
        <v>1608</v>
      </c>
      <c r="C133" s="1" t="s">
        <v>42</v>
      </c>
      <c r="D133" s="1" t="s">
        <v>2279</v>
      </c>
      <c r="E133" s="1" t="s">
        <v>444</v>
      </c>
      <c r="F133" s="23" t="str">
        <f>IFERROR(INDEX(Brand!$A:$A,MATCH(TRIM(C133),Brand!$B:$B,0)),"NOT FOUND")</f>
        <v>BRAND-034</v>
      </c>
      <c r="G133" s="25" t="s">
        <v>1276</v>
      </c>
      <c r="H133" s="23" t="str">
        <f t="shared" si="2"/>
        <v>INSERT INTO medical_supply_product (active, category, description, name, code, brand_code, uom) VALUES (true, 'Phụ kiện mở khí quản', 'Gạc xốp đặt quanh ống mở khí quản (7x11cm) thấm hút dịch tiết và bảo vệ vùng da quanh ống mở khí quản, ống dẫn lưu cỡ lớn. Mềm, không dính vết thương, không đau khi thay băng.', '[Long-term Health] Gạc xốp đặt xung quanh ống mở khí quản (7cmx11cm)', 'PRODUCT-00132', 'BRAND-034', 'miếng');</v>
      </c>
    </row>
    <row r="134" spans="1:8" ht="60" x14ac:dyDescent="0.25">
      <c r="A134" s="7" t="s">
        <v>694</v>
      </c>
      <c r="B134" s="1" t="s">
        <v>1609</v>
      </c>
      <c r="C134" s="1" t="s">
        <v>42</v>
      </c>
      <c r="D134" s="1" t="s">
        <v>2279</v>
      </c>
      <c r="E134" s="1" t="s">
        <v>445</v>
      </c>
      <c r="F134" s="23" t="str">
        <f>IFERROR(INDEX(Brand!$A:$A,MATCH(TRIM(C134),Brand!$B:$B,0)),"NOT FOUND")</f>
        <v>BRAND-034</v>
      </c>
      <c r="G134" s="25" t="s">
        <v>1276</v>
      </c>
      <c r="H134" s="23" t="str">
        <f t="shared" si="2"/>
        <v>INSERT INTO medical_supply_product (active, category, description, name, code, brand_code, uom) VALUES (true, 'Phụ kiện mở khí quản', 'Gạc xốp răng cưa đặt quanh ống mở khí quản (10x10cm) thấm hút dịch tiết và bảo vệ vùng da quanh ống mở khí quản, ống dẫn lưu cỡ lớn. Mềm, không dính vết thương, không đau khi thay băng.', '[Long-term Health] Gạc xốp răng cưa đặt xung quanh ống mở khí quản (10cmx10cm)', 'PRODUCT-00133', 'BRAND-034', 'miếng');</v>
      </c>
    </row>
    <row r="135" spans="1:8" ht="60" x14ac:dyDescent="0.25">
      <c r="A135" s="7" t="s">
        <v>695</v>
      </c>
      <c r="B135" s="1" t="s">
        <v>262</v>
      </c>
      <c r="C135" s="1" t="s">
        <v>44</v>
      </c>
      <c r="D135" s="1" t="s">
        <v>2281</v>
      </c>
      <c r="E135" s="1" t="s">
        <v>446</v>
      </c>
      <c r="F135" s="23" t="str">
        <f>IFERROR(INDEX(Brand!$A:$A,MATCH(TRIM(C135),Brand!$B:$B,0)),"NOT FOUND")</f>
        <v>BRAND-036</v>
      </c>
      <c r="G135" s="25" t="s">
        <v>1274</v>
      </c>
      <c r="H135" s="23" t="str">
        <f t="shared" si="2"/>
        <v>INSERT INTO medical_supply_product (active, category, description, name, code, brand_code, uom) VALUES (true, 'Ống nội khí quản', 'Ống nội khí quản có bóng Cuff-Safe® tích hợp van đo áp lực AccuCuff, giúp duy trì áp lực bóng an toàn mọi lúc. Giảm công đo áp lực thủ công; nhiều chủng loại và cỡ số.', '[Medis Medical] Ống nội khí quản có bóng kèm van đo áp lực bóng - Cuff-Safe® AccuCuff', 'PRODUCT-00134', 'BRAND-036', 'cái');</v>
      </c>
    </row>
    <row r="136" spans="1:8" ht="60" x14ac:dyDescent="0.25">
      <c r="A136" s="7" t="s">
        <v>696</v>
      </c>
      <c r="B136" s="1" t="s">
        <v>263</v>
      </c>
      <c r="C136" s="1" t="s">
        <v>44</v>
      </c>
      <c r="D136" s="1" t="s">
        <v>2281</v>
      </c>
      <c r="E136" s="1" t="s">
        <v>447</v>
      </c>
      <c r="F136" s="23" t="str">
        <f>IFERROR(INDEX(Brand!$A:$A,MATCH(TRIM(C136),Brand!$B:$B,0)),"NOT FOUND")</f>
        <v>BRAND-036</v>
      </c>
      <c r="G136" s="25" t="s">
        <v>1274</v>
      </c>
      <c r="H136" s="23" t="str">
        <f t="shared" si="2"/>
        <v>INSERT INTO medical_supply_product (active, category, description, name, code, brand_code, uom) VALUES (true, 'Ống nội khí quản', 'Ống nội khí quản AccuCuff có hút trên bóng và van đo áp lực bóng, giúp ngừa viêm phổi liên quan thở máy (VAP). Theo dõi áp lực bóng ngay trên ống, hạn chế dịch tiết tràn xuống đường hô hấp dưới.', '[Medis Medical] Ống nội khí quản có hút trên bóng kèm van đo áp lực bóng - AccuCuff', 'PRODUCT-00135', 'BRAND-036', 'cái');</v>
      </c>
    </row>
    <row r="137" spans="1:8" ht="60" x14ac:dyDescent="0.25">
      <c r="A137" s="7" t="s">
        <v>697</v>
      </c>
      <c r="B137" s="1" t="s">
        <v>192</v>
      </c>
      <c r="C137" s="1" t="s">
        <v>45</v>
      </c>
      <c r="D137" s="1" t="s">
        <v>2279</v>
      </c>
      <c r="E137" s="1" t="s">
        <v>448</v>
      </c>
      <c r="F137" s="23" t="str">
        <f>IFERROR(INDEX(Brand!$A:$A,MATCH(TRIM(C137),Brand!$B:$B,0)),"NOT FOUND")</f>
        <v>BRAND-037</v>
      </c>
      <c r="G137" s="25" t="s">
        <v>1274</v>
      </c>
      <c r="H137" s="23" t="str">
        <f t="shared" si="2"/>
        <v>INSERT INTO medical_supply_product (active, category, description, name, code, brand_code, uom) VALUES (true, 'Phụ kiện mở khí quản', 'Mũi nhân tạo Meditera (Thổ Nhĩ Kỳ) gắn vào ống mở khí quản, giúp lọc bụi, khói, xơ vải và làm ấm, làm ẩm khí thở trước khi vào phổi. Cần thiết cho mọi bệnh nhân mở khí quản.', '[Meditera] Làm ẩm mở khí quản (mũi nhân tạo)', 'PRODUCT-00136', 'BRAND-037', 'cái');</v>
      </c>
    </row>
    <row r="138" spans="1:8" ht="60" x14ac:dyDescent="0.25">
      <c r="A138" s="7" t="s">
        <v>698</v>
      </c>
      <c r="B138" s="1" t="s">
        <v>274</v>
      </c>
      <c r="C138" s="1" t="s">
        <v>45</v>
      </c>
      <c r="D138" s="1" t="s">
        <v>2289</v>
      </c>
      <c r="E138" s="1" t="s">
        <v>449</v>
      </c>
      <c r="F138" s="23" t="str">
        <f>IFERROR(INDEX(Brand!$A:$A,MATCH(TRIM(C138),Brand!$B:$B,0)),"NOT FOUND")</f>
        <v>BRAND-037</v>
      </c>
      <c r="G138" s="25" t="s">
        <v>1281</v>
      </c>
      <c r="H138" s="23" t="str">
        <f t="shared" si="2"/>
        <v>INSERT INTO medical_supply_product (active, category, description, name, code, brand_code, uom) VALUES (true, 'Phin lọc máy thở', 'Phin lọc HME Meditera 3 chức năng lắp vào đường thở máy thở, máy mê, giúp làm ấm, làm ẩm và lọc vi khuẩn, virus. Ngăn lây nhiễm chéo, giữ sạch dây thở mà không cần hấp sấy.', '[Meditera] Phin lọc máy thở 3 chức năng - HME', 'PRODUCT-00137', 'BRAND-037', 'chiếc');</v>
      </c>
    </row>
    <row r="139" spans="1:8" ht="60" x14ac:dyDescent="0.25">
      <c r="A139" s="7" t="s">
        <v>699</v>
      </c>
      <c r="B139" s="1" t="s">
        <v>244</v>
      </c>
      <c r="C139" s="1" t="s">
        <v>48</v>
      </c>
      <c r="D139" s="1" t="s">
        <v>2279</v>
      </c>
      <c r="E139" s="1" t="s">
        <v>450</v>
      </c>
      <c r="F139" s="23" t="str">
        <f>IFERROR(INDEX(Brand!$A:$A,MATCH(TRIM(C139),Brand!$B:$B,0)),"NOT FOUND")</f>
        <v>BRAND-041</v>
      </c>
      <c r="G139" s="25" t="s">
        <v>1274</v>
      </c>
      <c r="H139" s="23" t="str">
        <f t="shared" si="2"/>
        <v>INSERT INTO medical_supply_product (active, category, description, name, code, brand_code, uom) VALUES (true, 'Phụ kiện mở khí quản', 'Nòng trong có cửa sổ Mera Sofit Canula dùng thay thế cho ống mở khí quản 2 nòng Sofit, dễ tháo để vệ sinh, ngừa tắc đường thở. Kèm nắp đỏ giúp bệnh nhân đã ổn định tập thở, tập nói; chọn đúng cỡ với ống ngoài.', '[Mera Senko] Nòng trong ống mở khí quản có cửa sổ - Sofit Canula', 'PRODUCT-00138', 'BRAND-041', 'cái');</v>
      </c>
    </row>
    <row r="140" spans="1:8" ht="60" x14ac:dyDescent="0.25">
      <c r="A140" s="7" t="s">
        <v>700</v>
      </c>
      <c r="B140" s="1" t="s">
        <v>243</v>
      </c>
      <c r="C140" s="1" t="s">
        <v>48</v>
      </c>
      <c r="D140" s="1" t="s">
        <v>2279</v>
      </c>
      <c r="E140" s="1" t="s">
        <v>451</v>
      </c>
      <c r="F140" s="23" t="str">
        <f>IFERROR(INDEX(Brand!$A:$A,MATCH(TRIM(C140),Brand!$B:$B,0)),"NOT FOUND")</f>
        <v>BRAND-041</v>
      </c>
      <c r="G140" s="25" t="s">
        <v>1274</v>
      </c>
      <c r="H140" s="23" t="str">
        <f t="shared" si="2"/>
        <v>INSERT INTO medical_supply_product (active, category, description, name, code, brand_code, uom) VALUES (true, 'Phụ kiện mở khí quản', 'Nòng trong không cửa sổ Mera Sofit Canula dùng thay thế cho ống mở khí quản 2 nòng Sofit, dễ tháo để vệ sinh, ngừa tắc đường thở. Đạt tiêu chuẩn JIS và ISO; phải chọn đúng cỡ với ống ngoài.', '[Mera Senko] Nòng trong ống mở khí quản không cửa sổ - Sofit Canula', 'PRODUCT-00139', 'BRAND-041', 'cái');</v>
      </c>
    </row>
    <row r="141" spans="1:8" ht="60" x14ac:dyDescent="0.25">
      <c r="A141" s="7" t="s">
        <v>701</v>
      </c>
      <c r="B141" s="1" t="s">
        <v>249</v>
      </c>
      <c r="C141" s="1" t="s">
        <v>48</v>
      </c>
      <c r="D141" s="1" t="s">
        <v>2275</v>
      </c>
      <c r="E141" s="1" t="s">
        <v>452</v>
      </c>
      <c r="F141" s="23" t="str">
        <f>IFERROR(INDEX(Brand!$A:$A,MATCH(TRIM(C141),Brand!$B:$B,0)),"NOT FOUND")</f>
        <v>BRAND-041</v>
      </c>
      <c r="G141" s="25" t="s">
        <v>1275</v>
      </c>
      <c r="H141" s="23" t="str">
        <f t="shared" si="2"/>
        <v>INSERT INTO medical_supply_product (active, category, description, name, code, brand_code, uom) VALUES (true, 'Ống mở khí quản', 'Ống mở khí quản 2 nòng có bóng Mera Sofit D-C (Nhật Bản) kết nối máy thở, bóng mềm áp lực thấp không tổn thương niêm mạc. Nòng trong tháo rời vệ sinh, thay thế được; nên dùng kèm mũi nhân tạo.', '[Mera Senko] Ống mở khí quản 2 nòng có bóng - Sofit D-C', 'PRODUCT-00140', 'BRAND-041', 'bộ');</v>
      </c>
    </row>
    <row r="142" spans="1:8" ht="60" x14ac:dyDescent="0.25">
      <c r="A142" s="7" t="s">
        <v>702</v>
      </c>
      <c r="B142" s="1" t="s">
        <v>248</v>
      </c>
      <c r="C142" s="1" t="s">
        <v>48</v>
      </c>
      <c r="D142" s="1" t="s">
        <v>2275</v>
      </c>
      <c r="E142" s="1" t="s">
        <v>453</v>
      </c>
      <c r="F142" s="23" t="str">
        <f>IFERROR(INDEX(Brand!$A:$A,MATCH(TRIM(C142),Brand!$B:$B,0)),"NOT FOUND")</f>
        <v>BRAND-041</v>
      </c>
      <c r="G142" s="25" t="s">
        <v>1275</v>
      </c>
      <c r="H142" s="23" t="str">
        <f t="shared" si="2"/>
        <v>INSERT INTO medical_supply_product (active, category, description, name, code, brand_code, uom) VALUES (true, 'Ống mở khí quản', 'Ống mở khí quản 2 nòng có bóng Mera Sofit D-CS kết nối máy thở, có ống hút trên bóng giúp hút dịch đọng, giảm nguy cơ viêm phổi hít (VAP). Bóng mềm khít khí quản; nòng trong tháo rời vệ sinh được.', '[Mera Senko] Ống mở khí quản 2 nòng có bóng kèm ống hút trên bóng - Sofit D-CS', 'PRODUCT-00141', 'BRAND-041', 'bộ');</v>
      </c>
    </row>
    <row r="143" spans="1:8" ht="60" x14ac:dyDescent="0.25">
      <c r="A143" s="7" t="s">
        <v>703</v>
      </c>
      <c r="B143" s="1" t="s">
        <v>252</v>
      </c>
      <c r="C143" s="1" t="s">
        <v>48</v>
      </c>
      <c r="D143" s="1" t="s">
        <v>2275</v>
      </c>
      <c r="E143" s="1" t="s">
        <v>454</v>
      </c>
      <c r="F143" s="23" t="str">
        <f>IFERROR(INDEX(Brand!$A:$A,MATCH(TRIM(C143),Brand!$B:$B,0)),"NOT FOUND")</f>
        <v>BRAND-041</v>
      </c>
      <c r="G143" s="25" t="s">
        <v>1275</v>
      </c>
      <c r="H143" s="23" t="str">
        <f t="shared" si="2"/>
        <v>INSERT INTO medical_supply_product (active, category, description, name, code, brand_code, uom) VALUES (true, 'Ống mở khí quản', 'Ống mở khí quản 2 nòng có bóng, có cửa sổ Mera Sofit D-CF kết nối máy thở, thân nhẵn mềm hạn chế tổn thương. Cửa sổ giúp bệnh nhân đã ổn định tập thở, tập nói khi lắp nắp đỏ hoặc van tập nói.', '[Mera Senko] Ống mở khí quản 2 nòng có bóng, có cửa sổ - Sofit D-CF', 'PRODUCT-00142', 'BRAND-041', 'bộ');</v>
      </c>
    </row>
    <row r="144" spans="1:8" ht="60" x14ac:dyDescent="0.25">
      <c r="A144" s="7" t="s">
        <v>704</v>
      </c>
      <c r="B144" s="1" t="s">
        <v>251</v>
      </c>
      <c r="C144" s="1" t="s">
        <v>48</v>
      </c>
      <c r="D144" s="1" t="s">
        <v>2275</v>
      </c>
      <c r="E144" s="1" t="s">
        <v>455</v>
      </c>
      <c r="F144" s="23" t="str">
        <f>IFERROR(INDEX(Brand!$A:$A,MATCH(TRIM(C144),Brand!$B:$B,0)),"NOT FOUND")</f>
        <v>BRAND-041</v>
      </c>
      <c r="G144" s="25" t="s">
        <v>1275</v>
      </c>
      <c r="H144" s="23" t="str">
        <f t="shared" si="2"/>
        <v>INSERT INTO medical_supply_product (active, category, description, name, code, brand_code, uom) VALUES (true, 'Ống mở khí quản', 'Ống mở khí quản 2 nòng có bóng, có cửa sổ Mera Sofit D-CFS kết nối máy thở, kèm ống hút trên bóng giảm nguy cơ viêm phổi hít (VAP). Cửa sổ giúp tập thở, tập nói khi lắp nắp đỏ hoặc van tập nói.', '[Mera Senko] Ống mở khí quản 2 nòng có bóng, có cửa sổ kèm ống hút trên bóng - Sofit D-CFS', 'PRODUCT-00143', 'BRAND-041', 'bộ');</v>
      </c>
    </row>
    <row r="145" spans="1:8" ht="60" x14ac:dyDescent="0.25">
      <c r="A145" s="7" t="s">
        <v>705</v>
      </c>
      <c r="B145" s="1" t="s">
        <v>256</v>
      </c>
      <c r="C145" s="1" t="s">
        <v>48</v>
      </c>
      <c r="D145" s="1" t="s">
        <v>2275</v>
      </c>
      <c r="E145" s="1" t="s">
        <v>456</v>
      </c>
      <c r="F145" s="23" t="str">
        <f>IFERROR(INDEX(Brand!$A:$A,MATCH(TRIM(C145),Brand!$B:$B,0)),"NOT FOUND")</f>
        <v>BRAND-041</v>
      </c>
      <c r="G145" s="25" t="s">
        <v>1275</v>
      </c>
      <c r="H145" s="23" t="str">
        <f t="shared" si="2"/>
        <v>INSERT INTO medical_supply_product (active, category, description, name, code, brand_code, uom) VALUES (true, 'Ống mở khí quản', 'Ống mở khí quản 2 nòng không bóng Mera Sofit D-NC (tiêu chuẩn Nhật Bản) cho bệnh nhân không cần thở máy dài ngày nhưng vẫn cần duy trì lỗ mở khí quản. Nên dùng kèm mũi nhân tạo để làm ấm, ẩm và lọc khí.', '[Mera Senko] Ống mở khí quản 2 nòng không bóng - Sofit D-NC', 'PRODUCT-00144', 'BRAND-041', 'bộ');</v>
      </c>
    </row>
    <row r="146" spans="1:8" ht="75" x14ac:dyDescent="0.25">
      <c r="A146" s="7" t="s">
        <v>706</v>
      </c>
      <c r="B146" s="1" t="s">
        <v>257</v>
      </c>
      <c r="C146" s="1" t="s">
        <v>48</v>
      </c>
      <c r="D146" s="1" t="s">
        <v>2275</v>
      </c>
      <c r="E146" s="1" t="s">
        <v>457</v>
      </c>
      <c r="F146" s="23" t="str">
        <f>IFERROR(INDEX(Brand!$A:$A,MATCH(TRIM(C146),Brand!$B:$B,0)),"NOT FOUND")</f>
        <v>BRAND-041</v>
      </c>
      <c r="G146" s="25" t="s">
        <v>1275</v>
      </c>
      <c r="H146" s="23" t="str">
        <f t="shared" si="2"/>
        <v>INSERT INTO medical_supply_product (active, category, description, name, code, brand_code, uom) VALUES (true, 'Ống mở khí quản', 'Ống mở khí quản 2 nòng không bóng, có cửa sổ Mera Sofit D-F cho bệnh nhân không cần thở máy dài ngày, thân mịn, đầu tù tránh tổn thương. Cửa sổ giúp tự thở qua đường thở trên và tập nói khi lắp nắp đỏ hoặc van tập nói.', '[Mera Senko] Ống mở khí quản 2 nòng không bóng, có cửa sổ - Sofit D-F', 'PRODUCT-00145', 'BRAND-041', 'bộ');</v>
      </c>
    </row>
    <row r="147" spans="1:8" ht="60" x14ac:dyDescent="0.25">
      <c r="A147" s="7" t="s">
        <v>707</v>
      </c>
      <c r="B147" s="1" t="s">
        <v>298</v>
      </c>
      <c r="C147" s="1" t="s">
        <v>48</v>
      </c>
      <c r="D147" s="1" t="s">
        <v>2279</v>
      </c>
      <c r="E147" s="1" t="s">
        <v>458</v>
      </c>
      <c r="F147" s="23" t="str">
        <f>IFERROR(INDEX(Brand!$A:$A,MATCH(TRIM(C147),Brand!$B:$B,0)),"NOT FOUND")</f>
        <v>BRAND-041</v>
      </c>
      <c r="G147" s="25" t="s">
        <v>1274</v>
      </c>
      <c r="H147" s="23" t="str">
        <f t="shared" si="2"/>
        <v>INSERT INTO medical_supply_product (active, category, description, name, code, brand_code, uom) VALUES (true, 'Phụ kiện mở khí quản', 'Van tập nói một chiều Mera Sofit giúp bệnh nhân mở khí quản phát âm to, rõ hơn, cải thiện giao tiếp và chất lượng sống. Chỉ dùng với ống mở khí quản 2 nòng Mera Sofit.', '[Mera Senko] Van tập nói - Sofit', 'PRODUCT-00146', 'BRAND-041', 'cái');</v>
      </c>
    </row>
    <row r="148" spans="1:8" ht="45" x14ac:dyDescent="0.25">
      <c r="A148" s="7" t="s">
        <v>708</v>
      </c>
      <c r="B148" s="1" t="s">
        <v>236</v>
      </c>
      <c r="C148" s="1" t="s">
        <v>5</v>
      </c>
      <c r="D148" s="1" t="s">
        <v>98</v>
      </c>
      <c r="E148" s="1" t="s">
        <v>459</v>
      </c>
      <c r="F148" s="23" t="str">
        <f>IFERROR(INDEX(Brand!$A:$A,MATCH(TRIM(C148),Brand!$B:$B,0)),"NOT FOUND")</f>
        <v>BRAND-045</v>
      </c>
      <c r="G148" s="25" t="s">
        <v>1275</v>
      </c>
      <c r="H148" s="23" t="str">
        <f t="shared" si="2"/>
        <v>INSERT INTO medical_supply_product (active, category, description, name, code, brand_code, uom) VALUES (true, 'Máy xông khí dung', 'Máy xông khí dung Omron NE-C101 nhỏ gọn, vận hành một nút bấm, hỗ trợ điều trị bệnh hô hấp tại nhà. Kèm đủ ống ngậm, ống mũi và mặt nạ xông.', '[Omron] Máy xông khí dung - NE-C101', 'PRODUCT-00147', 'BRAND-045', 'bộ');</v>
      </c>
    </row>
    <row r="149" spans="1:8" ht="60" x14ac:dyDescent="0.25">
      <c r="A149" s="7" t="s">
        <v>709</v>
      </c>
      <c r="B149" s="1" t="s">
        <v>237</v>
      </c>
      <c r="C149" s="1" t="s">
        <v>5</v>
      </c>
      <c r="D149" s="1" t="s">
        <v>98</v>
      </c>
      <c r="E149" s="1" t="s">
        <v>460</v>
      </c>
      <c r="F149" s="23" t="str">
        <f>IFERROR(INDEX(Brand!$A:$A,MATCH(TRIM(C149),Brand!$B:$B,0)),"NOT FOUND")</f>
        <v>BRAND-045</v>
      </c>
      <c r="G149" s="25" t="s">
        <v>1275</v>
      </c>
      <c r="H149" s="23" t="str">
        <f t="shared" si="2"/>
        <v>INSERT INTO medical_supply_product (active, category, description, name, code, brand_code, uom) VALUES (true, 'Máy xông khí dung', 'Máy xông khí dung Omron NE-C106 dễ dùng, hỗ trợ phòng và điều trị bệnh hô hấp như viêm mũi, viêm xoang cho cả gia đình. Kèm ống ngậm và mặt nạ xông cho trẻ em, người lớn.', '[Omron] Máy xông khí dung - NE-C106', 'PRODUCT-00148', 'BRAND-045', 'bộ');</v>
      </c>
    </row>
    <row r="150" spans="1:8" ht="60" x14ac:dyDescent="0.25">
      <c r="A150" s="7" t="s">
        <v>710</v>
      </c>
      <c r="B150" s="1" t="s">
        <v>238</v>
      </c>
      <c r="C150" s="1" t="s">
        <v>5</v>
      </c>
      <c r="D150" s="1" t="s">
        <v>98</v>
      </c>
      <c r="E150" s="1" t="s">
        <v>461</v>
      </c>
      <c r="F150" s="23" t="str">
        <f>IFERROR(INDEX(Brand!$A:$A,MATCH(TRIM(C150),Brand!$B:$B,0)),"NOT FOUND")</f>
        <v>BRAND-045</v>
      </c>
      <c r="G150" s="25" t="s">
        <v>1275</v>
      </c>
      <c r="H150" s="23" t="str">
        <f t="shared" si="2"/>
        <v>INSERT INTO medical_supply_product (active, category, description, name, code, brand_code, uom) VALUES (true, 'Máy xông khí dung', 'Máy xông khí dung Omron NE-C28 công nghệ van ảo VVT, hạt sương mịn giúp thuốc vào sâu phổi, rút ngắn thời gian xông. Hỗ trợ điều trị viêm mũi, xoang, họng, phế quản, hen suyễn mà không ảnh hưởng tiêu hóa.', '[Omron] Máy xông khí dung - NE-C28', 'PRODUCT-00149', 'BRAND-045', 'bộ');</v>
      </c>
    </row>
    <row r="151" spans="1:8" ht="60" x14ac:dyDescent="0.25">
      <c r="A151" s="7" t="s">
        <v>711</v>
      </c>
      <c r="B151" s="1" t="s">
        <v>228</v>
      </c>
      <c r="C151" s="1" t="s">
        <v>54</v>
      </c>
      <c r="D151" s="1" t="s">
        <v>96</v>
      </c>
      <c r="E151" s="1" t="s">
        <v>462</v>
      </c>
      <c r="F151" s="23" t="str">
        <f>IFERROR(INDEX(Brand!$A:$A,MATCH(TRIM(C151),Brand!$B:$B,0)),"NOT FOUND")</f>
        <v>BRAND-048</v>
      </c>
      <c r="G151" s="25" t="s">
        <v>1275</v>
      </c>
      <c r="H151" s="23" t="str">
        <f t="shared" si="2"/>
        <v>INSERT INTO medical_supply_product (active, category, description, name, code, brand_code, uom) VALUES (true, 'Máy tạo oxy', 'Máy tạo oxy Owgels OZ-5-01GW0 (10 lít/phút) cung cấp oxy nồng độ cao cho người bệnh, tích hợp chức năng xông khí dung. Dùng được tại bệnh viện hoặc chăm sóc tại nhà.', '[Owgels] Máy tạo oxy 10 lít có xông khí dung - OZ-5-01GW0-10L', 'PRODUCT-00150', 'BRAND-048', 'bộ');</v>
      </c>
    </row>
    <row r="152" spans="1:8" ht="60" x14ac:dyDescent="0.25">
      <c r="A152" s="7" t="s">
        <v>712</v>
      </c>
      <c r="B152" s="1" t="s">
        <v>229</v>
      </c>
      <c r="C152" s="1" t="s">
        <v>54</v>
      </c>
      <c r="D152" s="1" t="s">
        <v>96</v>
      </c>
      <c r="E152" s="1" t="s">
        <v>463</v>
      </c>
      <c r="F152" s="23" t="str">
        <f>IFERROR(INDEX(Brand!$A:$A,MATCH(TRIM(C152),Brand!$B:$B,0)),"NOT FOUND")</f>
        <v>BRAND-048</v>
      </c>
      <c r="G152" s="25" t="s">
        <v>1275</v>
      </c>
      <c r="H152" s="23" t="str">
        <f t="shared" si="2"/>
        <v>INSERT INTO medical_supply_product (active, category, description, name, code, brand_code, uom) VALUES (true, 'Máy tạo oxy', 'Máy tạo oxy Owgels OZ-501PW0 (5 lít/phút) dùng công nghệ PSA tách oxy từ không khí, cung cấp oxy cho người bệnh, tích hợp chức năng xông khí dung. Dùng tại nhà, phòng khám và bệnh viện.', '[Owgels] Máy tạo oxy 5 lít có xông khí dung - OZ-501PW0', 'PRODUCT-00151', 'BRAND-048', 'bộ');</v>
      </c>
    </row>
    <row r="153" spans="1:8" ht="60" x14ac:dyDescent="0.25">
      <c r="A153" s="7" t="s">
        <v>713</v>
      </c>
      <c r="B153" s="1" t="s">
        <v>230</v>
      </c>
      <c r="C153" s="1" t="s">
        <v>54</v>
      </c>
      <c r="D153" s="1" t="s">
        <v>96</v>
      </c>
      <c r="E153" s="1" t="s">
        <v>464</v>
      </c>
      <c r="F153" s="23" t="str">
        <f>IFERROR(INDEX(Brand!$A:$A,MATCH(TRIM(C153),Brand!$B:$B,0)),"NOT FOUND")</f>
        <v>BRAND-048</v>
      </c>
      <c r="G153" s="25" t="s">
        <v>1275</v>
      </c>
      <c r="H153" s="23" t="str">
        <f t="shared" si="2"/>
        <v>INSERT INTO medical_supply_product (active, category, description, name, code, brand_code, uom) VALUES (true, 'Máy tạo oxy', 'Máy tạo oxy Owgels OZ-501TW0 (5 lít/phút) thế hệ mới, tích hợp xông khí dung, hỗ trợ điều trị viêm phổi mạn tính, COPD, ung thư phổi và người khó thở. Dùng tại nhà, phòng khám và bệnh viện.', '[Owgels] Máy tạo oxy 5 lít có xông khí dung - OZ-501TW0', 'PRODUCT-00152', 'BRAND-048', 'bộ');</v>
      </c>
    </row>
    <row r="154" spans="1:8" ht="60" x14ac:dyDescent="0.25">
      <c r="A154" s="7" t="s">
        <v>714</v>
      </c>
      <c r="B154" s="1" t="s">
        <v>234</v>
      </c>
      <c r="C154" s="1" t="s">
        <v>54</v>
      </c>
      <c r="D154" s="1" t="s">
        <v>2287</v>
      </c>
      <c r="E154" s="1" t="s">
        <v>465</v>
      </c>
      <c r="F154" s="23" t="str">
        <f>IFERROR(INDEX(Brand!$A:$A,MATCH(TRIM(C154),Brand!$B:$B,0)),"NOT FOUND")</f>
        <v>BRAND-048</v>
      </c>
      <c r="G154" s="25" t="s">
        <v>1275</v>
      </c>
      <c r="H154" s="23" t="str">
        <f t="shared" si="2"/>
        <v>INSERT INTO medical_supply_product (active, category, description, name, code, brand_code, uom) VALUES (true, 'Máy trợ thở', 'Máy trợ thở 2 chiều BiPAP Owgels OGH-520C, thở không xâm lấn, dùng tại nhà hoặc bệnh viện. Hỗ trợ bệnh nhân COPD, suy hô hấp, ngưng thở khi ngủ, rối loạn giấc ngủ, ngủ ngáy.', '[Owgels] Máy trợ thở 2 chiều BiPAP - OGH-520C', 'PRODUCT-00153', 'BRAND-048', 'bộ');</v>
      </c>
    </row>
    <row r="155" spans="1:8" ht="60" x14ac:dyDescent="0.25">
      <c r="A155" s="7" t="s">
        <v>715</v>
      </c>
      <c r="B155" s="1" t="s">
        <v>235</v>
      </c>
      <c r="C155" s="1" t="s">
        <v>54</v>
      </c>
      <c r="D155" s="1" t="s">
        <v>2287</v>
      </c>
      <c r="E155" s="1" t="s">
        <v>466</v>
      </c>
      <c r="F155" s="23" t="str">
        <f>IFERROR(INDEX(Brand!$A:$A,MATCH(TRIM(C155),Brand!$B:$B,0)),"NOT FOUND")</f>
        <v>BRAND-048</v>
      </c>
      <c r="G155" s="25" t="s">
        <v>1275</v>
      </c>
      <c r="H155" s="23" t="str">
        <f t="shared" si="2"/>
        <v>INSERT INTO medical_supply_product (active, category, description, name, code, brand_code, uom) VALUES (true, 'Máy trợ thở', 'Máy trợ thở Auto CPAP Owgels OGH-520A kết hợp chế độ tự động chỉnh áp suất (APAP) và áp suất liên tục (CPAP), giữ đường thở thông suốt khi ngủ. Dùng điều trị ngưng thở khi ngủ, tại nhà hoặc bệnh viện.', '[Owgels] Máy trợ thở Auto CPAP - OGH-520A', 'PRODUCT-00154', 'BRAND-048', 'bộ');</v>
      </c>
    </row>
    <row r="156" spans="1:8" ht="60" x14ac:dyDescent="0.25">
      <c r="A156" s="7" t="s">
        <v>716</v>
      </c>
      <c r="B156" s="1" t="s">
        <v>191</v>
      </c>
      <c r="C156" s="1" t="s">
        <v>55</v>
      </c>
      <c r="D156" s="1" t="s">
        <v>2279</v>
      </c>
      <c r="E156" s="1" t="s">
        <v>467</v>
      </c>
      <c r="F156" s="23" t="str">
        <f>IFERROR(INDEX(Brand!$A:$A,MATCH(TRIM(C156),Brand!$B:$B,0)),"NOT FOUND")</f>
        <v>BRAND-049</v>
      </c>
      <c r="G156" s="25" t="s">
        <v>1274</v>
      </c>
      <c r="H156" s="23" t="str">
        <f t="shared" si="2"/>
        <v>INSERT INTO medical_supply_product (active, category, description, name, code, brand_code, uom) VALUES (true, 'Phụ kiện mở khí quản', 'Mũi nhân tạo Pharma (Thụy Điển) dùng 1 lần, lắp vào đầu ống mở khí quản giúp lọc bụi, làm ấm và làm ẩm khí thở. Thiết kế nhỏ gọn, giảm công thở và khoảng chết, dễ vệ sinh.', '[Pharma] Làm ẩm mở khí quản (mũi nhân tạo)', 'PRODUCT-00155', 'BRAND-049', 'cái');</v>
      </c>
    </row>
    <row r="157" spans="1:8" ht="75" x14ac:dyDescent="0.25">
      <c r="A157" s="7" t="s">
        <v>717</v>
      </c>
      <c r="B157" s="1" t="s">
        <v>181</v>
      </c>
      <c r="C157" s="1" t="s">
        <v>60</v>
      </c>
      <c r="D157" s="1" t="s">
        <v>2264</v>
      </c>
      <c r="E157" s="1" t="s">
        <v>468</v>
      </c>
      <c r="F157" s="23" t="str">
        <f>IFERROR(INDEX(Brand!$A:$A,MATCH(TRIM(C157),Brand!$B:$B,0)),"NOT FOUND")</f>
        <v>BRAND-054</v>
      </c>
      <c r="G157" s="25" t="s">
        <v>1275</v>
      </c>
      <c r="H157" s="23" t="str">
        <f t="shared" si="2"/>
        <v>INSERT INTO medical_supply_product (active, category, description, name, code, brand_code, uom) VALUES (true, 'Dụng cụ tập thở', 'Phế dung kế Seasight 5000ml hỗ trợ tập hít sâu, tăng dung tích và độ giãn nở phổi, đồng thời theo dõi tiến bộ chức năng hô hấp. Dùng cho bệnh nhân sau phẫu thuật phổi, hen, bệnh phổi mạn tính; tập được tại viện hoặc tại nhà.', '[SeaSight] Dụng cụ tập thở phế dung kế - 5000ml', 'PRODUCT-00156', 'BRAND-054', 'bộ');</v>
      </c>
    </row>
    <row r="158" spans="1:8" ht="60" x14ac:dyDescent="0.25">
      <c r="A158" s="7" t="s">
        <v>718</v>
      </c>
      <c r="B158" s="1" t="s">
        <v>133</v>
      </c>
      <c r="C158" s="1" t="s">
        <v>62</v>
      </c>
      <c r="D158" s="1" t="s">
        <v>2277</v>
      </c>
      <c r="E158" s="1" t="s">
        <v>469</v>
      </c>
      <c r="F158" s="23" t="str">
        <f>IFERROR(INDEX(Brand!$A:$A,MATCH(TRIM(C158),Brand!$B:$B,0)),"NOT FOUND")</f>
        <v>BRAND-056</v>
      </c>
      <c r="G158" s="25" t="s">
        <v>1275</v>
      </c>
      <c r="H158" s="23" t="str">
        <f t="shared" si="2"/>
        <v>INSERT INTO medical_supply_product (active, category, description, name, code, brand_code, uom) VALUES (true, 'Bộ mở khí quản', 'Bộ mở khí quản cấp cứu Portex PCK gồm đủ dụng cụ xử trí tắc nghẽn đường hô hấp trên nghiêm trọng. Kim sắc chuyên dụng mở màng nhẫn giáp để luồn ống 6mm có bóng Soft Seal giúp duy trì đường thở.', '[Smiths] Bộ mở khí quản cấp cứu - PCK', 'PRODUCT-00157', 'BRAND-056', 'bộ');</v>
      </c>
    </row>
    <row r="159" spans="1:8" ht="60" x14ac:dyDescent="0.25">
      <c r="A159" s="7" t="s">
        <v>719</v>
      </c>
      <c r="B159" s="1" t="s">
        <v>134</v>
      </c>
      <c r="C159" s="1" t="s">
        <v>62</v>
      </c>
      <c r="D159" s="1" t="s">
        <v>2277</v>
      </c>
      <c r="E159" s="1" t="s">
        <v>470</v>
      </c>
      <c r="F159" s="23" t="str">
        <f>IFERROR(INDEX(Brand!$A:$A,MATCH(TRIM(C159),Brand!$B:$B,0)),"NOT FOUND")</f>
        <v>BRAND-056</v>
      </c>
      <c r="G159" s="25" t="s">
        <v>1275</v>
      </c>
      <c r="H159" s="23" t="str">
        <f t="shared" si="2"/>
        <v>INSERT INTO medical_supply_product (active, category, description, name, code, brand_code, uom) VALUES (true, 'Bộ mở khí quản', 'Bộ mở khí quản nhanh Portex® Mini-Trach® II đặt ống thông qua màng nhẫn giáp theo kỹ thuật Seldinger. Định vị chính xác, giảm chảy máu và nguy cơ chọc sai; đủ dụng cụ cho mở khí quản cấp cứu.', '[Smiths] Bộ mở khí quản nhanh - Portex® Mini-Trach® II', 'PRODUCT-00158', 'BRAND-056', 'bộ');</v>
      </c>
    </row>
    <row r="160" spans="1:8" ht="60" x14ac:dyDescent="0.25">
      <c r="A160" s="7" t="s">
        <v>720</v>
      </c>
      <c r="B160" s="1" t="s">
        <v>151</v>
      </c>
      <c r="C160" s="1" t="s">
        <v>62</v>
      </c>
      <c r="D160" s="1" t="s">
        <v>2283</v>
      </c>
      <c r="E160" s="1" t="s">
        <v>471</v>
      </c>
      <c r="F160" s="23" t="str">
        <f>IFERROR(INDEX(Brand!$A:$A,MATCH(TRIM(C160),Brand!$B:$B,0)),"NOT FOUND")</f>
        <v>BRAND-056</v>
      </c>
      <c r="G160" s="25" t="s">
        <v>1274</v>
      </c>
      <c r="H160" s="23" t="str">
        <f t="shared" si="2"/>
        <v>INSERT INTO medical_supply_product (active, category, description, name, code, brand_code, uom) VALUES (true, 'Dụng cụ đặt &amp; cố định nội khí quản', 'Cây nòng Bougie (Smiths Medical) dùng khi đặt nội khí quản khó mà cây nòng Stylet thông thường không thành công. Cần thiết cho bác sĩ cấp cứu, đặc biệt ở nơi thiếu phương tiện.', '[Smiths] Cây nòng đặt nội khí quản khó - Bougie', 'PRODUCT-00159', 'BRAND-056', 'cái');</v>
      </c>
    </row>
    <row r="161" spans="1:8" ht="60" x14ac:dyDescent="0.25">
      <c r="A161" s="7" t="s">
        <v>721</v>
      </c>
      <c r="B161" s="1" t="s">
        <v>176</v>
      </c>
      <c r="C161" s="1" t="s">
        <v>62</v>
      </c>
      <c r="D161" s="1" t="s">
        <v>2283</v>
      </c>
      <c r="E161" s="1" t="s">
        <v>472</v>
      </c>
      <c r="F161" s="23" t="str">
        <f>IFERROR(INDEX(Brand!$A:$A,MATCH(TRIM(C161),Brand!$B:$B,0)),"NOT FOUND")</f>
        <v>BRAND-056</v>
      </c>
      <c r="G161" s="25" t="s">
        <v>1274</v>
      </c>
      <c r="H161" s="23" t="str">
        <f t="shared" si="2"/>
        <v>INSERT INTO medical_supply_product (active, category, description, name, code, brand_code, uom) VALUES (true, 'Dụng cụ đặt &amp; cố định nội khí quản', 'Đồng hồ đo áp lực bóng Smiths giúp theo dõi và giữ áp lực bóng ống nội khí quản ở mức an toàn 20–30cmH2O, tránh tổn thương niêm mạc khí quản. Đảm bảo bóng chèn kín khi bệnh nhân thở máy áp lực cao.', '[Smiths] Đồng hồ đo áp lực bóng', 'PRODUCT-00160', 'BRAND-056', 'cái');</v>
      </c>
    </row>
    <row r="162" spans="1:8" ht="60" x14ac:dyDescent="0.25">
      <c r="A162" s="7" t="s">
        <v>722</v>
      </c>
      <c r="B162" s="1" t="s">
        <v>264</v>
      </c>
      <c r="C162" s="1" t="s">
        <v>62</v>
      </c>
      <c r="D162" s="1" t="s">
        <v>2281</v>
      </c>
      <c r="E162" s="1" t="s">
        <v>473</v>
      </c>
      <c r="F162" s="23" t="str">
        <f>IFERROR(INDEX(Brand!$A:$A,MATCH(TRIM(C162),Brand!$B:$B,0)),"NOT FOUND")</f>
        <v>BRAND-056</v>
      </c>
      <c r="G162" s="25" t="s">
        <v>1274</v>
      </c>
      <c r="H162" s="23" t="str">
        <f t="shared" si="2"/>
        <v>INSERT INTO medical_supply_product (active, category, description, name, code, brand_code, uom) VALUES (true, 'Ống nội khí quản', 'Ống nội khí quản Portex SACETT có ống hút trên bóng, hút liên tục dịch đọng dưới thanh môn, giảm nguy cơ viêm phổi thở máy (VAP). Bóng Soft-Seal thể tích lớn, áp lực thấp, giảm tổn thương khí quản.', '[Smiths] Ống nội khí quản có ống hút trên bóng - Portex SACETT', 'PRODUCT-00161', 'BRAND-056', 'cái');</v>
      </c>
    </row>
    <row r="163" spans="1:8" ht="60" x14ac:dyDescent="0.25">
      <c r="A163" s="7" t="s">
        <v>723</v>
      </c>
      <c r="B163" s="1" t="s">
        <v>1622</v>
      </c>
      <c r="C163" s="1" t="s">
        <v>69</v>
      </c>
      <c r="D163" s="1" t="s">
        <v>92</v>
      </c>
      <c r="E163" s="1" t="s">
        <v>474</v>
      </c>
      <c r="F163" s="23" t="str">
        <f>IFERROR(INDEX(Brand!$A:$A,MATCH(TRIM(C163),Brand!$B:$B,0)),"NOT FOUND")</f>
        <v>BRAND-064</v>
      </c>
      <c r="G163" s="25" t="s">
        <v>1274</v>
      </c>
      <c r="H163" s="23" t="str">
        <f t="shared" si="2"/>
        <v>INSERT INTO medical_supply_product (active, category, description, name, code, brand_code, uom) VALUES (true, 'Mask thanh quản', 'Đồng hồ đo áp lực bóng chèn VBM Universal dùng cho ống mở khí quản, ống nội khí quản và mask thanh quản, giữ áp lực bóng hiệu quả, an toàn. Đảm bảo bóng chèn kín khi bệnh nhân thở máy áp lực cao.', '[VBM] Đồng hồ đo áp lực bóng chèn - Universal (Ø68mm)', 'PRODUCT-00162', 'BRAND-064', 'cái');</v>
      </c>
    </row>
    <row r="164" spans="1:8" ht="60" x14ac:dyDescent="0.25">
      <c r="A164" s="7" t="s">
        <v>724</v>
      </c>
      <c r="B164" s="1" t="s">
        <v>253</v>
      </c>
      <c r="C164" s="1" t="s">
        <v>73</v>
      </c>
      <c r="D164" s="1" t="s">
        <v>2275</v>
      </c>
      <c r="E164" s="1" t="s">
        <v>475</v>
      </c>
      <c r="F164" s="23" t="str">
        <f>IFERROR(INDEX(Brand!$A:$A,MATCH(TRIM(C164),Brand!$B:$B,0)),"NOT FOUND")</f>
        <v>BRAND-068</v>
      </c>
      <c r="G164" s="25" t="s">
        <v>1275</v>
      </c>
      <c r="H164" s="23" t="str">
        <f t="shared" si="2"/>
        <v>INSERT INTO medical_supply_product (active, category, description, name, code, brand_code, uom) VALUES (true, 'Ống mở khí quản', 'Ống mở khí quản 2 nòng có bóng, có cửa sổ Rota-Trach kết nối máy thở; bóng cản quang dễ thấy trên X-quang. Cửa sổ giúp bệnh nhân đã ổn định tập thở, tập nói khi đậy nắp xanh.', '[Vitaltec] Ống mở khí quản 2 nòng có bóng, có cửa sổ - Rota-Trach', 'PRODUCT-00163', 'BRAND-068', 'bộ');</v>
      </c>
    </row>
    <row r="165" spans="1:8" ht="60" x14ac:dyDescent="0.25">
      <c r="A165" s="7" t="s">
        <v>725</v>
      </c>
      <c r="B165" s="1" t="s">
        <v>255</v>
      </c>
      <c r="C165" s="1" t="s">
        <v>73</v>
      </c>
      <c r="D165" s="1" t="s">
        <v>2275</v>
      </c>
      <c r="E165" s="1" t="s">
        <v>476</v>
      </c>
      <c r="F165" s="23" t="str">
        <f>IFERROR(INDEX(Brand!$A:$A,MATCH(TRIM(C165),Brand!$B:$B,0)),"NOT FOUND")</f>
        <v>BRAND-068</v>
      </c>
      <c r="G165" s="25" t="s">
        <v>1275</v>
      </c>
      <c r="H165" s="23" t="str">
        <f t="shared" si="2"/>
        <v>INSERT INTO medical_supply_product (active, category, description, name, code, brand_code, uom) VALUES (true, 'Ống mở khí quản', 'Ống mở khí quản 2 nòng có bóng, không cửa sổ Rota-Trach cho bệnh nhân thở máy; bóng thể tích lớn, áp lực thấp, giảm tổn thương niêm mạc. Nòng trong tháo rời vệ sinh, thay thế được; nên dùng kèm mũi nhân tạo.', '[Vitaltec] Ống mở khí quản 2 nòng có bóng, không cửa sổ - Rota-Trach', 'PRODUCT-00164', 'BRAND-068', 'bộ');</v>
      </c>
    </row>
    <row r="166" spans="1:8" ht="60" x14ac:dyDescent="0.25">
      <c r="A166" s="7" t="s">
        <v>726</v>
      </c>
      <c r="B166" s="1" t="s">
        <v>258</v>
      </c>
      <c r="C166" s="1" t="s">
        <v>73</v>
      </c>
      <c r="D166" s="1" t="s">
        <v>2275</v>
      </c>
      <c r="E166" s="1" t="s">
        <v>477</v>
      </c>
      <c r="F166" s="23" t="str">
        <f>IFERROR(INDEX(Brand!$A:$A,MATCH(TRIM(C166),Brand!$B:$B,0)),"NOT FOUND")</f>
        <v>BRAND-068</v>
      </c>
      <c r="G166" s="25" t="s">
        <v>1275</v>
      </c>
      <c r="H166" s="23" t="str">
        <f t="shared" si="2"/>
        <v>INSERT INTO medical_supply_product (active, category, description, name, code, brand_code, uom) VALUES (true, 'Ống mở khí quản', 'Ống mở khí quản 2 nòng không bóng, có cửa sổ Rota-Trach cho bệnh nhân không cần thở máy dài ngày. Cửa sổ giúp tự thở qua đường thở trên và tập nói khi lắp nắp xanh.', '[Vitaltec] Ống mở khí quản 2 nòng không bóng, có cửa sổ - Rota-Trach', 'PRODUCT-00165', 'BRAND-068', 'bộ');</v>
      </c>
    </row>
    <row r="167" spans="1:8" ht="60" x14ac:dyDescent="0.25">
      <c r="A167" s="7" t="s">
        <v>727</v>
      </c>
      <c r="B167" s="1" t="s">
        <v>260</v>
      </c>
      <c r="C167" s="1" t="s">
        <v>73</v>
      </c>
      <c r="D167" s="1" t="s">
        <v>2275</v>
      </c>
      <c r="E167" s="1" t="s">
        <v>478</v>
      </c>
      <c r="F167" s="23" t="str">
        <f>IFERROR(INDEX(Brand!$A:$A,MATCH(TRIM(C167),Brand!$B:$B,0)),"NOT FOUND")</f>
        <v>BRAND-068</v>
      </c>
      <c r="G167" s="25" t="s">
        <v>1275</v>
      </c>
      <c r="H167" s="23" t="str">
        <f t="shared" si="2"/>
        <v>INSERT INTO medical_supply_product (active, category, description, name, code, brand_code, uom) VALUES (true, 'Ống mở khí quản', 'Ống mở khí quản 2 nòng không bóng, không cửa sổ Rota-Trach cho bệnh nhân không cần thở máy dài ngày nhưng vẫn cần duy trì lỗ mở khí quản. Nên dùng kèm mũi nhân tạo để làm ấm, ẩm và lọc khí.', '[Vitaltec] Ống mở khí quản 2 nòng không bóng, không cửa sổ - Rota-Trach', 'PRODUCT-00166', 'BRAND-068', 'bộ');</v>
      </c>
    </row>
    <row r="168" spans="1:8" ht="45" x14ac:dyDescent="0.25">
      <c r="A168" s="7" t="s">
        <v>728</v>
      </c>
      <c r="B168" s="1" t="s">
        <v>1610</v>
      </c>
      <c r="C168" s="1" t="s">
        <v>77</v>
      </c>
      <c r="D168" s="1" t="s">
        <v>2279</v>
      </c>
      <c r="E168" s="1" t="s">
        <v>479</v>
      </c>
      <c r="F168" s="23" t="str">
        <f>IFERROR(INDEX(Brand!$A:$A,MATCH(TRIM(C168),Brand!$B:$B,0)),"NOT FOUND")</f>
        <v>BRAND-072</v>
      </c>
      <c r="G168" s="25" t="s">
        <v>1274</v>
      </c>
      <c r="H168" s="23" t="str">
        <f t="shared" si="2"/>
        <v>INSERT INTO medical_supply_product (active, category, description, name, code, brand_code, uom) VALUES (true, 'Phụ kiện mở khí quản', 'Dây đai Yafho (43 x 2,5cm) cố định ống mở khí quản chắc chắn, chỉnh được độ dài. Vải xốp mềm, giảm trầy xước và kích ứng da, giúp chăm sóc nhanh gọn hơn.', '[Yafho] Dây đai cố định ống mở khí quản (3.6cmx18cm / Xanh đậm)', 'PRODUCT-00167', 'BRAND-072', 'cái');</v>
      </c>
    </row>
    <row r="169" spans="1:8" ht="45" x14ac:dyDescent="0.25">
      <c r="A169" s="7" t="s">
        <v>729</v>
      </c>
      <c r="B169" s="1" t="s">
        <v>179</v>
      </c>
      <c r="C169" s="1" t="s">
        <v>77</v>
      </c>
      <c r="D169" s="1" t="s">
        <v>2283</v>
      </c>
      <c r="E169" s="1" t="s">
        <v>480</v>
      </c>
      <c r="F169" s="23" t="str">
        <f>IFERROR(INDEX(Brand!$A:$A,MATCH(TRIM(C169),Brand!$B:$B,0)),"NOT FOUND")</f>
        <v>BRAND-072</v>
      </c>
      <c r="G169" s="25" t="s">
        <v>1274</v>
      </c>
      <c r="H169" s="23" t="str">
        <f t="shared" si="2"/>
        <v>INSERT INTO medical_supply_product (active, category, description, name, code, brand_code, uom) VALUES (true, 'Dụng cụ đặt &amp; cố định nội khí quản', 'Dụng cụ cố định ống nội khí quản Yafho giữ ống chắc chắn, an toàn, thao tác nhanh, giúp quản lý đường thở liên tục. Đạt tiêu chuẩn FDA và CE.', '[Yafho] Dụng cụ cố định ống nội khí quản', 'PRODUCT-00168', 'BRAND-072', 'cái');</v>
      </c>
    </row>
    <row r="170" spans="1:8" ht="60" x14ac:dyDescent="0.25">
      <c r="A170" s="7" t="s">
        <v>730</v>
      </c>
      <c r="B170" s="1" t="s">
        <v>178</v>
      </c>
      <c r="C170" s="1" t="s">
        <v>77</v>
      </c>
      <c r="D170" s="1" t="s">
        <v>2283</v>
      </c>
      <c r="E170" s="1" t="s">
        <v>481</v>
      </c>
      <c r="F170" s="23" t="str">
        <f>IFERROR(INDEX(Brand!$A:$A,MATCH(TRIM(C170),Brand!$B:$B,0)),"NOT FOUND")</f>
        <v>BRAND-072</v>
      </c>
      <c r="G170" s="25" t="s">
        <v>1274</v>
      </c>
      <c r="H170" s="23" t="str">
        <f t="shared" si="2"/>
        <v>INSERT INTO medical_supply_product (active, category, description, name, code, brand_code, uom) VALUES (true, 'Dụng cụ đặt &amp; cố định nội khí quản', 'Dụng cụ cố định ống nội khí quản Yafho có chống cắn, giữ ống chắc chắn và ngừa tắc ống do cắn. Dễ vệ sinh răng miệng, dễ đổi vị trí ống tránh loét môi, giảm nguy cơ viêm phổi liên quan thở máy.', '[Yafho] Dụng cụ cố định ống nội khí quản chống cắn', 'PRODUCT-00169', 'BRAND-072', 'cái');</v>
      </c>
    </row>
    <row r="171" spans="1:8" ht="60" x14ac:dyDescent="0.25">
      <c r="A171" s="7" t="s">
        <v>731</v>
      </c>
      <c r="B171" s="1" t="s">
        <v>221</v>
      </c>
      <c r="C171" s="1" t="s">
        <v>80</v>
      </c>
      <c r="D171" s="1" t="s">
        <v>2273</v>
      </c>
      <c r="E171" s="1" t="s">
        <v>482</v>
      </c>
      <c r="F171" s="23" t="str">
        <f>IFERROR(INDEX(Brand!$A:$A,MATCH(TRIM(C171),Brand!$B:$B,0)),"NOT FOUND")</f>
        <v>BRAND-075</v>
      </c>
      <c r="G171" s="25" t="s">
        <v>1275</v>
      </c>
      <c r="H171" s="23" t="str">
        <f t="shared" si="2"/>
        <v>INSERT INTO medical_supply_product (active, category, description, name, code, brand_code, uom) VALUES (true, 'Máy hút dịch', 'Máy hút dịch 1 bình Yuwell 7E-A hút đờm, dịch tiết mũi họng nhẹ nhàng, giúp thông thoáng đường thở. Chỉnh được lực hút, dùng cho cả trẻ em và người lớn; đạt ISO 13485, FDA.', '[Yuwell] Máy hút dịch 1 bình - 7E-A', 'PRODUCT-00170', 'BRAND-075', 'bộ');</v>
      </c>
    </row>
    <row r="172" spans="1:8" ht="45" x14ac:dyDescent="0.25">
      <c r="A172" s="7" t="s">
        <v>732</v>
      </c>
      <c r="B172" s="1" t="s">
        <v>120</v>
      </c>
      <c r="C172" s="1" t="s">
        <v>39</v>
      </c>
      <c r="D172" s="1" t="s">
        <v>2279</v>
      </c>
      <c r="E172" s="1" t="s">
        <v>483</v>
      </c>
      <c r="F172" s="23" t="str">
        <f>IFERROR(INDEX(Brand!$A:$A,MATCH(TRIM(C172),Brand!$B:$B,0)),"NOT FOUND")</f>
        <v>BRAND-031</v>
      </c>
      <c r="G172" s="24" t="s">
        <v>1274</v>
      </c>
      <c r="H172" s="23" t="str">
        <f t="shared" si="2"/>
        <v>INSERT INTO medical_supply_product (active, category, description, name, code, brand_code, uom) VALUES (true, 'Phụ kiện mở khí quản', 'Dây đai cố định ống mở khí quản bằng vải xốp mềm, giữ ống chắc chắn và chỉnh được độ dài. Giảm trầy xước, kích ứng da, giúp chăm sóc nhanh gọn hơn.', 'Dây đai cố định ống mở khí quản', 'PRODUCT-00171', 'BRAND-031', 'cái');</v>
      </c>
    </row>
    <row r="173" spans="1:8" ht="45" x14ac:dyDescent="0.25">
      <c r="A173" s="7" t="s">
        <v>733</v>
      </c>
      <c r="B173" s="1" t="s">
        <v>121</v>
      </c>
      <c r="C173" s="1" t="s">
        <v>39</v>
      </c>
      <c r="D173" s="1" t="s">
        <v>2279</v>
      </c>
      <c r="E173" s="1" t="s">
        <v>484</v>
      </c>
      <c r="F173" s="23" t="str">
        <f>IFERROR(INDEX(Brand!$A:$A,MATCH(TRIM(C173),Brand!$B:$B,0)),"NOT FOUND")</f>
        <v>BRAND-031</v>
      </c>
      <c r="G173" s="24" t="s">
        <v>1274</v>
      </c>
      <c r="H173" s="23" t="str">
        <f t="shared" si="2"/>
        <v>INSERT INTO medical_supply_product (active, category, description, name, code, brand_code, uom) VALUES (true, 'Phụ kiện mở khí quản', 'Mũi nhân tạo dùng 1 lần, lắp vào đầu ống mở khí quản giúp lọc bụi, làm ấm và làm ẩm khí thở. Thiết kế nhỏ gọn, giảm công thở và khoảng chết, dễ vệ sinh.', 'Làm ẩm mở khí quản (mũi nhân tạo)', 'PRODUCT-00172', 'BRAND-031', 'cái');</v>
      </c>
    </row>
    <row r="174" spans="1:8" ht="60" x14ac:dyDescent="0.25">
      <c r="A174" s="7" t="s">
        <v>734</v>
      </c>
      <c r="B174" s="1" t="s">
        <v>126</v>
      </c>
      <c r="C174" s="1" t="s">
        <v>16</v>
      </c>
      <c r="D174" s="1" t="s">
        <v>2295</v>
      </c>
      <c r="E174" s="1" t="s">
        <v>485</v>
      </c>
      <c r="F174" s="23" t="str">
        <f>IFERROR(INDEX(Brand!$A:$A,MATCH(TRIM(C174),Brand!$B:$B,0)),"NOT FOUND")</f>
        <v>BRAND-002</v>
      </c>
      <c r="G174" s="25" t="s">
        <v>1275</v>
      </c>
      <c r="H174" s="23" t="str">
        <f t="shared" si="2"/>
        <v>INSERT INTO medical_supply_product (active, category, description, name, code, brand_code, uom) VALUES (true, 'Hệ thống đo đường huyết liên tục (CGM)', 'Cảm biến FreeStyle Libre (Abbott) gắn ở mặt sau cánh tay, theo dõi đường huyết liên tục đến 14 ngày mà không cần chích máu ngón tay. Chỉ cần quét 1 giây bằng máy đọc FreeStyle Libre; được FDA chứng nhận.', '[Abbott] Bộ cảm biến đo đường huyết - FreeStyle Libre Flash Glucose Monitoring Sensor', 'PRODUCT-00173', 'BRAND-002', 'bộ');</v>
      </c>
    </row>
    <row r="175" spans="1:8" ht="75" x14ac:dyDescent="0.25">
      <c r="A175" s="7" t="s">
        <v>735</v>
      </c>
      <c r="B175" s="1" t="s">
        <v>204</v>
      </c>
      <c r="C175" s="1" t="s">
        <v>16</v>
      </c>
      <c r="D175" s="1" t="s">
        <v>2295</v>
      </c>
      <c r="E175" s="1" t="s">
        <v>486</v>
      </c>
      <c r="F175" s="23" t="str">
        <f>IFERROR(INDEX(Brand!$A:$A,MATCH(TRIM(C175),Brand!$B:$B,0)),"NOT FOUND")</f>
        <v>BRAND-002</v>
      </c>
      <c r="G175" s="25" t="s">
        <v>1275</v>
      </c>
      <c r="H175" s="23" t="str">
        <f t="shared" si="2"/>
        <v>INSERT INTO medical_supply_product (active, category, description, name, code, brand_code, uom) VALUES (true, 'Hệ thống đo đường huyết liên tục (CGM)', 'Máy đo đường huyết liên tục FreeStyle Libre 2 (Abbott) theo dõi đường huyết không cần chích máu, quét 1 giây bằng đầu đọc hoặc điện thoại. Thế hệ 2 có cảnh báo đường huyết cao/thấp qua Bluetooth, dùng được cho trẻ từ 2 tuổi và phụ nữ mang thai.', '[Abbott] Máy đo đường huyết liên tục - FreeStyle Libre 2', 'PRODUCT-00174', 'BRAND-002', 'bộ');</v>
      </c>
    </row>
    <row r="176" spans="1:8" ht="60" x14ac:dyDescent="0.25">
      <c r="A176" s="7" t="s">
        <v>736</v>
      </c>
      <c r="B176" s="1" t="s">
        <v>205</v>
      </c>
      <c r="C176" s="1" t="s">
        <v>17</v>
      </c>
      <c r="D176" s="1" t="s">
        <v>2291</v>
      </c>
      <c r="E176" s="1" t="s">
        <v>487</v>
      </c>
      <c r="F176" s="23" t="str">
        <f>IFERROR(INDEX(Brand!$A:$A,MATCH(TRIM(C176),Brand!$B:$B,0)),"NOT FOUND")</f>
        <v>BRAND-003</v>
      </c>
      <c r="G176" s="25" t="s">
        <v>1275</v>
      </c>
      <c r="H176" s="23" t="str">
        <f t="shared" si="2"/>
        <v>INSERT INTO medical_supply_product (active, category, description, name, code, brand_code, uom) VALUES (true, 'Máy đo đường huyết', 'Máy đo đường huyết On Call Plus (Acon) dùng que thử men GOD cho kết quả chính xác cao. Gọn nhẹ, thao tác đơn giản, tiện tự đo đường huyết tại nhà hoặc khi di chuyển.', '[Acon] Máy đo đường huyết - On Call Plus', 'PRODUCT-00175', 'BRAND-003', 'bộ');</v>
      </c>
    </row>
    <row r="177" spans="1:8" ht="60" x14ac:dyDescent="0.25">
      <c r="A177" s="7" t="s">
        <v>737</v>
      </c>
      <c r="B177" s="1" t="s">
        <v>279</v>
      </c>
      <c r="C177" s="1" t="s">
        <v>17</v>
      </c>
      <c r="D177" s="1" t="s">
        <v>2293</v>
      </c>
      <c r="E177" s="1" t="s">
        <v>488</v>
      </c>
      <c r="F177" s="23" t="str">
        <f>IFERROR(INDEX(Brand!$A:$A,MATCH(TRIM(C177),Brand!$B:$B,0)),"NOT FOUND")</f>
        <v>BRAND-003</v>
      </c>
      <c r="G177" s="25" t="s">
        <v>1470</v>
      </c>
      <c r="H177" s="23" t="str">
        <f t="shared" si="2"/>
        <v>INSERT INTO medical_supply_product (active, category, description, name, code, brand_code, uom) VALUES (true, 'Que thử', 'Que thử đường huyết On Call Plus (Acon, Mỹ) dùng men GOD, phản ứng đặc hiệu với glucose cho kết quả chính xác trên 99%. Thao tác đơn giản, phù hợp cả người cao tuổi; dùng với máy On Call Plus.', '[Acon] Que thử đường huyết - On Call Plus', 'PRODUCT-00176', 'BRAND-003', 'que');</v>
      </c>
    </row>
    <row r="178" spans="1:8" ht="45" x14ac:dyDescent="0.25">
      <c r="A178" s="7" t="s">
        <v>738</v>
      </c>
      <c r="B178" s="1" t="s">
        <v>208</v>
      </c>
      <c r="C178" s="1" t="s">
        <v>8</v>
      </c>
      <c r="D178" s="1" t="s">
        <v>93</v>
      </c>
      <c r="E178" s="1" t="s">
        <v>489</v>
      </c>
      <c r="F178" s="23" t="str">
        <f>IFERROR(INDEX(Brand!$A:$A,MATCH(TRIM(C178),Brand!$B:$B,0)),"NOT FOUND")</f>
        <v>BRAND-028</v>
      </c>
      <c r="G178" s="25" t="s">
        <v>1275</v>
      </c>
      <c r="H178" s="23" t="str">
        <f t="shared" si="2"/>
        <v>INSERT INTO medical_supply_product (active, category, description, name, code, brand_code, uom) VALUES (true, 'Máy đo huyết áp', 'Máy đo huyết áp bắp tay tự động iMediCare iBPM-6S (Singapore) đo huyết áp và nhịp tim chính xác. Giá hợp lý, dễ dùng, phù hợp theo dõi hằng ngày tại nhà.', '[iMedicare] Máy đo huyết áp bắp tay - iBPM-6S', 'PRODUCT-00177', 'BRAND-028', 'bộ');</v>
      </c>
    </row>
    <row r="179" spans="1:8" ht="60" x14ac:dyDescent="0.25">
      <c r="A179" s="7" t="s">
        <v>739</v>
      </c>
      <c r="B179" s="1" t="s">
        <v>218</v>
      </c>
      <c r="C179" s="1" t="s">
        <v>8</v>
      </c>
      <c r="D179" s="1" t="s">
        <v>2298</v>
      </c>
      <c r="E179" s="1" t="s">
        <v>490</v>
      </c>
      <c r="F179" s="23" t="str">
        <f>IFERROR(INDEX(Brand!$A:$A,MATCH(TRIM(C179),Brand!$B:$B,0)),"NOT FOUND")</f>
        <v>BRAND-028</v>
      </c>
      <c r="G179" s="25" t="s">
        <v>1275</v>
      </c>
      <c r="H179" s="23" t="str">
        <f t="shared" si="2"/>
        <v>INSERT INTO medical_supply_product (active, category, description, name, code, brand_code, uom) VALUES (true, 'Máy đo SpO2', 'Máy đo SpO2 iMediCare iOM-A6 kẹp ngón tay, đo nồng độ oxy trong máu và nhịp tim nhanh, không đau. Nhỏ gọn, dễ dùng cho người lớn và trẻ trên 12 tuổi, tại nhà hoặc bệnh viện.', '[iMedicare] Máy đo SPO2 - iOM-A6', 'PRODUCT-00178', 'BRAND-028', 'bộ');</v>
      </c>
    </row>
    <row r="180" spans="1:8" ht="60" x14ac:dyDescent="0.25">
      <c r="A180" s="7" t="s">
        <v>740</v>
      </c>
      <c r="B180" s="1" t="s">
        <v>242</v>
      </c>
      <c r="C180" s="1" t="s">
        <v>8</v>
      </c>
      <c r="D180" s="1" t="s">
        <v>94</v>
      </c>
      <c r="E180" s="1" t="s">
        <v>491</v>
      </c>
      <c r="F180" s="23" t="str">
        <f>IFERROR(INDEX(Brand!$A:$A,MATCH(TRIM(C180),Brand!$B:$B,0)),"NOT FOUND")</f>
        <v>BRAND-028</v>
      </c>
      <c r="G180" s="24" t="s">
        <v>1274</v>
      </c>
      <c r="H180" s="23" t="str">
        <f t="shared" si="2"/>
        <v>INSERT INTO medical_supply_product (active, category, description, name, code, brand_code, uom) VALUES (true, 'Nhiệt kế điện tử', 'Nhiệt kế hồng ngoại iMediCare iTM-32A đo nhanh ở tai, trán, đo được cả nhiệt độ phòng và đồ vật; lưu 32 kết quả. Màn hình lớn có đèn nền, cảnh báo pin yếu, tự tắt; tiện cho gia đình có trẻ nhỏ.', '[iMedicare] Nhiệt kế hồng ngoại - iTM-32A', 'PRODUCT-00179', 'BRAND-028', 'cái');</v>
      </c>
    </row>
    <row r="181" spans="1:8" ht="60" x14ac:dyDescent="0.25">
      <c r="A181" s="7" t="s">
        <v>741</v>
      </c>
      <c r="B181" s="1" t="s">
        <v>207</v>
      </c>
      <c r="C181" s="1" t="s">
        <v>36</v>
      </c>
      <c r="D181" s="1" t="s">
        <v>2291</v>
      </c>
      <c r="E181" s="1" t="s">
        <v>492</v>
      </c>
      <c r="F181" s="23" t="str">
        <f>IFERROR(INDEX(Brand!$A:$A,MATCH(TRIM(C181),Brand!$B:$B,0)),"NOT FOUND")</f>
        <v>BRAND-029</v>
      </c>
      <c r="G181" s="25" t="s">
        <v>1275</v>
      </c>
      <c r="H181" s="23" t="str">
        <f t="shared" si="2"/>
        <v>INSERT INTO medical_supply_product (active, category, description, name, code, brand_code, uom) VALUES (true, 'Máy đo đường huyết', 'Máy đo 3 trong 1 GlucoAlpha IN4 Care đo đường huyết, cholesterol và axit uric chỉ trên một thiết bị. Kết quả chính xác, giúp theo dõi tiểu đường, mỡ máu, gút tại nhà.', '[IN4 Care] Máy đo đường huyết, mỡ máu, gút 3 trong 1 - GlucoAlpha', 'PRODUCT-00180', 'BRAND-029', 'bộ');</v>
      </c>
    </row>
    <row r="182" spans="1:8" ht="60" x14ac:dyDescent="0.25">
      <c r="A182" s="7" t="s">
        <v>742</v>
      </c>
      <c r="B182" s="1" t="s">
        <v>276</v>
      </c>
      <c r="C182" s="1" t="s">
        <v>36</v>
      </c>
      <c r="D182" s="1" t="s">
        <v>2293</v>
      </c>
      <c r="E182" s="1" t="s">
        <v>493</v>
      </c>
      <c r="F182" s="23" t="str">
        <f>IFERROR(INDEX(Brand!$A:$A,MATCH(TRIM(C182),Brand!$B:$B,0)),"NOT FOUND")</f>
        <v>BRAND-029</v>
      </c>
      <c r="G182" s="25" t="s">
        <v>1470</v>
      </c>
      <c r="H182" s="23" t="str">
        <f t="shared" si="2"/>
        <v>INSERT INTO medical_supply_product (active, category, description, name, code, brand_code, uom) VALUES (true, 'Que thử', 'Que thử axit uric GlucoAlpha dùng với máy 3 trong 1 GlucoAlpha IN4 Care, đo axit uric từ máu mao mạch đầu ngón tay. Giúp theo dõi bệnh gút; kết quả nhanh, chính xác.', '[IN4 Care] Que thử axit uric (gút) cho máy 3 trong 1 - GlucoAlpha', 'PRODUCT-00181', 'BRAND-029', 'que');</v>
      </c>
    </row>
    <row r="183" spans="1:8" ht="60" x14ac:dyDescent="0.25">
      <c r="A183" s="7" t="s">
        <v>743</v>
      </c>
      <c r="B183" s="1" t="s">
        <v>277</v>
      </c>
      <c r="C183" s="1" t="s">
        <v>36</v>
      </c>
      <c r="D183" s="1" t="s">
        <v>2293</v>
      </c>
      <c r="E183" s="1" t="s">
        <v>494</v>
      </c>
      <c r="F183" s="23" t="str">
        <f>IFERROR(INDEX(Brand!$A:$A,MATCH(TRIM(C183),Brand!$B:$B,0)),"NOT FOUND")</f>
        <v>BRAND-029</v>
      </c>
      <c r="G183" s="25" t="s">
        <v>1470</v>
      </c>
      <c r="H183" s="23" t="str">
        <f t="shared" si="2"/>
        <v>INSERT INTO medical_supply_product (active, category, description, name, code, brand_code, uom) VALUES (true, 'Que thử', 'Que thử cholesterol GlucoAlpha dùng với máy 3 trong 1 GlucoAlpha IN4 Care, đo cholesterol toàn phần từ máu mao mạch đầu ngón tay. Giúp theo dõi mỡ máu; kết quả nhanh, chính xác.', '[IN4 Care] Que thử cholesterol cho máy 3 trong 1 - GlucoAlpha', 'PRODUCT-00182', 'BRAND-029', 'que');</v>
      </c>
    </row>
    <row r="184" spans="1:8" ht="60" x14ac:dyDescent="0.25">
      <c r="A184" s="7" t="s">
        <v>744</v>
      </c>
      <c r="B184" s="1" t="s">
        <v>278</v>
      </c>
      <c r="C184" s="1" t="s">
        <v>36</v>
      </c>
      <c r="D184" s="1" t="s">
        <v>2293</v>
      </c>
      <c r="E184" s="1" t="s">
        <v>495</v>
      </c>
      <c r="F184" s="23" t="str">
        <f>IFERROR(INDEX(Brand!$A:$A,MATCH(TRIM(C184),Brand!$B:$B,0)),"NOT FOUND")</f>
        <v>BRAND-029</v>
      </c>
      <c r="G184" s="25" t="s">
        <v>1470</v>
      </c>
      <c r="H184" s="23" t="str">
        <f t="shared" si="2"/>
        <v>INSERT INTO medical_supply_product (active, category, description, name, code, brand_code, uom) VALUES (true, 'Que thử', 'Que thử đường huyết GlucoAlpha dùng với máy 3 trong 1 GlucoAlpha IN4 Care, đo đường huyết từ máu mao mạch đầu ngón tay. Giúp người tiểu đường theo dõi thường xuyên; kết quả nhanh, chính xác.', '[IN4 Care] Que thử đường huyết cho máy 3 trong 1 - GlucoAlpha', 'PRODUCT-00183', 'BRAND-029', 'que');</v>
      </c>
    </row>
    <row r="185" spans="1:8" ht="60" x14ac:dyDescent="0.25">
      <c r="A185" s="7" t="s">
        <v>745</v>
      </c>
      <c r="B185" s="1" t="s">
        <v>217</v>
      </c>
      <c r="C185" s="1" t="s">
        <v>38</v>
      </c>
      <c r="D185" s="1" t="s">
        <v>2298</v>
      </c>
      <c r="E185" s="1" t="s">
        <v>496</v>
      </c>
      <c r="F185" s="23" t="str">
        <f>IFERROR(INDEX(Brand!$A:$A,MATCH(TRIM(C185),Brand!$B:$B,0)),"NOT FOUND")</f>
        <v>BRAND-030</v>
      </c>
      <c r="G185" s="25" t="s">
        <v>1275</v>
      </c>
      <c r="H185" s="23" t="str">
        <f t="shared" si="2"/>
        <v>INSERT INTO medical_supply_product (active, category, description, name, code, brand_code, uom) VALUES (true, 'Máy đo SpO2', 'Máy đo SpO2 Jumper JPD-500D kẹp ngón tay, đo nồng độ oxy trong máu và nhịp tim bằng cảm biến quang học, không đau. Nhỏ gọn, dễ mang theo; đạt chứng nhận FDA.', '[Jumper] Máy đo nồng độ oxy trong máu và nhịp tim SPO2 - JPD-500D', 'PRODUCT-00184', 'BRAND-030', 'bộ');</v>
      </c>
    </row>
    <row r="186" spans="1:8" ht="45" x14ac:dyDescent="0.25">
      <c r="A186" s="7" t="s">
        <v>746</v>
      </c>
      <c r="B186" s="1" t="s">
        <v>220</v>
      </c>
      <c r="C186" s="1" t="s">
        <v>38</v>
      </c>
      <c r="D186" s="1" t="s">
        <v>311</v>
      </c>
      <c r="E186" s="1" t="s">
        <v>497</v>
      </c>
      <c r="F186" s="23" t="str">
        <f>IFERROR(INDEX(Brand!$A:$A,MATCH(TRIM(C186),Brand!$B:$B,0)),"NOT FOUND")</f>
        <v>BRAND-030</v>
      </c>
      <c r="G186" s="24" t="s">
        <v>1274</v>
      </c>
      <c r="H186" s="23" t="str">
        <f t="shared" si="2"/>
        <v>INSERT INTO medical_supply_product (active, category, description, name, code, brand_code, uom) VALUES (true, 'Máy đo tim thai', 'Máy đo tim thai Cody Health JPD-100E dùng công nghệ Doppler, giúp mẹ bầu tự nghe và theo dõi nhịp tim thai tại nhà. Đạt chứng nhận CE, FDA, ISO 13485.', '[Jumper] Máy đo tim thai cá nhân - Cody Health JPD-100E', 'PRODUCT-00185', 'BRAND-030', 'cái');</v>
      </c>
    </row>
    <row r="187" spans="1:8" ht="60" x14ac:dyDescent="0.25">
      <c r="A187" s="7" t="s">
        <v>747</v>
      </c>
      <c r="B187" s="1" t="s">
        <v>1611</v>
      </c>
      <c r="C187" s="1" t="s">
        <v>46</v>
      </c>
      <c r="D187" s="1" t="s">
        <v>2295</v>
      </c>
      <c r="E187" s="1" t="s">
        <v>498</v>
      </c>
      <c r="F187" s="23" t="str">
        <f>IFERROR(INDEX(Brand!$A:$A,MATCH(TRIM(C187),Brand!$B:$B,0)),"NOT FOUND")</f>
        <v>BRAND-038</v>
      </c>
      <c r="G187" s="25" t="s">
        <v>1275</v>
      </c>
      <c r="H187" s="23" t="str">
        <f t="shared" si="2"/>
        <v>INSERT INTO medical_supply_product (active, category, description, name, code, brand_code, uom) VALUES (true, 'Hệ thống đo đường huyết liên tục (CGM)', 'Bộ truyền tín hiệu Medtronic Guardian™ Link 3 kết nối cảm biến Guardian™ Sensor 3 với máy bơm insulin MiniMed 640G. Truyền dữ liệu đường huyết để máy bơm tự tính và điều chỉnh liều insulin.', '[Medtronic] Bộ truyền tín hiệu kết nối cảm biến CGM và máy bơm insulin - Guardian™ Link 3 Transmitter (640g)', 'PRODUCT-00186', 'BRAND-038', 'bộ');</v>
      </c>
    </row>
    <row r="188" spans="1:8" ht="75" x14ac:dyDescent="0.25">
      <c r="A188" s="7" t="s">
        <v>748</v>
      </c>
      <c r="B188" s="1" t="s">
        <v>147</v>
      </c>
      <c r="C188" s="1" t="s">
        <v>46</v>
      </c>
      <c r="D188" s="1" t="s">
        <v>2295</v>
      </c>
      <c r="E188" s="1" t="s">
        <v>499</v>
      </c>
      <c r="F188" s="23" t="str">
        <f>IFERROR(INDEX(Brand!$A:$A,MATCH(TRIM(C188),Brand!$B:$B,0)),"NOT FOUND")</f>
        <v>BRAND-038</v>
      </c>
      <c r="G188" s="25" t="s">
        <v>1274</v>
      </c>
      <c r="H188" s="23" t="str">
        <f t="shared" si="2"/>
        <v>INSERT INTO medical_supply_product (active, category, description, name, code, brand_code, uom) VALUES (true, 'Hệ thống đo đường huyết liên tục (CGM)', 'Cảm biến Medtronic Guardian™ Sensor 3 thuộc hệ thống đo đường huyết liên tục CGM Guardian™ Connect, nhỏ gọn, gắn lên da không đau. Giúp người tiểu đường theo dõi liên tục và xử trí kịp thời khi đường huyết tăng hoặc hạ.', '[Medtronic] Cảm biến hệ thống đo đường huyết liên tục CGM - Guardian™ Sensor 3', 'PRODUCT-00187', 'BRAND-038', 'cái');</v>
      </c>
    </row>
    <row r="189" spans="1:8" ht="75" x14ac:dyDescent="0.25">
      <c r="A189" s="7" t="s">
        <v>749</v>
      </c>
      <c r="B189" s="1" t="s">
        <v>186</v>
      </c>
      <c r="C189" s="1" t="s">
        <v>46</v>
      </c>
      <c r="D189" s="1" t="s">
        <v>2295</v>
      </c>
      <c r="E189" s="1" t="s">
        <v>500</v>
      </c>
      <c r="F189" s="23" t="str">
        <f>IFERROR(INDEX(Brand!$A:$A,MATCH(TRIM(C189),Brand!$B:$B,0)),"NOT FOUND")</f>
        <v>BRAND-038</v>
      </c>
      <c r="G189" s="25" t="s">
        <v>1275</v>
      </c>
      <c r="H189" s="23" t="str">
        <f t="shared" si="2"/>
        <v>INSERT INTO medical_supply_product (active, category, description, name, code, brand_code, uom) VALUES (true, 'Hệ thống đo đường huyết liên tục (CGM)', 'Hệ thống CGM Medtronic Guardian™ Connect theo dõi đường huyết liên tục qua cảm biến Guardian™ Sensor 3 gắn ở cánh tay hoặc bụng, không cần chích máu. Dữ liệu hiển thị theo thời gian thực trên điện thoại; bác sĩ, người thân theo dõi được qua CareLink™.', '[Medtronic] Hệ thống đo đường huyết liên tục CGM - GUARDIAN™ CONNECT', 'PRODUCT-00188', 'BRAND-038', 'bộ');</v>
      </c>
    </row>
    <row r="190" spans="1:8" ht="60" x14ac:dyDescent="0.25">
      <c r="A190" s="7" t="s">
        <v>750</v>
      </c>
      <c r="B190" s="1" t="s">
        <v>148</v>
      </c>
      <c r="C190" s="1" t="s">
        <v>5</v>
      </c>
      <c r="D190" s="1" t="s">
        <v>2302</v>
      </c>
      <c r="E190" s="1" t="s">
        <v>501</v>
      </c>
      <c r="F190" s="23" t="str">
        <f>IFERROR(INDEX(Brand!$A:$A,MATCH(TRIM(C190),Brand!$B:$B,0)),"NOT FOUND")</f>
        <v>BRAND-045</v>
      </c>
      <c r="G190" s="25" t="s">
        <v>1275</v>
      </c>
      <c r="H190" s="23" t="str">
        <f t="shared" si="2"/>
        <v>INSERT INTO medical_supply_product (active, category, description, name, code, brand_code, uom) VALUES (true, 'Cân &amp; máy đo thành phần cơ thể', 'Cân sức khỏe điện tử Omron HN-289 có cảm biến 4 góc, chỉ cần chạm chân là cân tự bật. Gọn nhẹ, mặt kính cường lực dễ vệ sinh, phù hợp theo dõi cân nặng cho gia đình.', '[Omron] Cân sức khỏe điện tử - HN-289', 'PRODUCT-00189', 'BRAND-045', 'bộ');</v>
      </c>
    </row>
    <row r="191" spans="1:8" ht="60" x14ac:dyDescent="0.25">
      <c r="A191" s="7" t="s">
        <v>751</v>
      </c>
      <c r="B191" s="1" t="s">
        <v>202</v>
      </c>
      <c r="C191" s="1" t="s">
        <v>5</v>
      </c>
      <c r="D191" s="1" t="s">
        <v>2302</v>
      </c>
      <c r="E191" s="1" t="s">
        <v>502</v>
      </c>
      <c r="F191" s="23" t="str">
        <f>IFERROR(INDEX(Brand!$A:$A,MATCH(TRIM(C191),Brand!$B:$B,0)),"NOT FOUND")</f>
        <v>BRAND-045</v>
      </c>
      <c r="G191" s="25" t="s">
        <v>1275</v>
      </c>
      <c r="H191" s="23" t="str">
        <f t="shared" si="2"/>
        <v>INSERT INTO medical_supply_product (active, category, description, name, code, brand_code, uom) VALUES (true, 'Cân &amp; máy đo thành phần cơ thể', 'Cân đo chỉ số cơ thể Omron BodySCAN™ HBF-224 theo dõi mỡ cơ thể, mỡ nội tạng và cơ xương cho cả gia đình. Nhỏ gọn, chân đế chống trượt, màn hình chữ lớn dễ đọc.', '[Omron] Máy cân đo chỉ số cơ thể - BodySCAN™ HBF-224', 'PRODUCT-00190', 'BRAND-045', 'bộ');</v>
      </c>
    </row>
    <row r="192" spans="1:8" ht="60" x14ac:dyDescent="0.25">
      <c r="A192" s="7" t="s">
        <v>752</v>
      </c>
      <c r="B192" s="1" t="s">
        <v>210</v>
      </c>
      <c r="C192" s="1" t="s">
        <v>5</v>
      </c>
      <c r="D192" s="1" t="s">
        <v>93</v>
      </c>
      <c r="E192" s="1" t="s">
        <v>503</v>
      </c>
      <c r="F192" s="23" t="str">
        <f>IFERROR(INDEX(Brand!$A:$A,MATCH(TRIM(C192),Brand!$B:$B,0)),"NOT FOUND")</f>
        <v>BRAND-045</v>
      </c>
      <c r="G192" s="25" t="s">
        <v>1275</v>
      </c>
      <c r="H192" s="23" t="str">
        <f t="shared" si="2"/>
        <v>INSERT INTO medical_supply_product (active, category, description, name, code, brand_code, uom) VALUES (true, 'Máy đo huyết áp', 'Máy đo huyết áp bắp tay Omron JPN600 nhập khẩu nguyên chiếc từ Nhật Bản, đo nhanh, chính xác, bền và ổn định. Phù hợp theo dõi huyết áp tại nhà, kể cả người cao tuổi.', '[Omron] Máy đo huyết áp bắp tay - JPN600', 'PRODUCT-00191', 'BRAND-045', 'bộ');</v>
      </c>
    </row>
    <row r="193" spans="1:8" ht="60" x14ac:dyDescent="0.25">
      <c r="A193" s="7" t="s">
        <v>753</v>
      </c>
      <c r="B193" s="1" t="s">
        <v>211</v>
      </c>
      <c r="C193" s="1" t="s">
        <v>5</v>
      </c>
      <c r="D193" s="1" t="s">
        <v>93</v>
      </c>
      <c r="E193" s="1" t="s">
        <v>504</v>
      </c>
      <c r="F193" s="23" t="str">
        <f>IFERROR(INDEX(Brand!$A:$A,MATCH(TRIM(C193),Brand!$B:$B,0)),"NOT FOUND")</f>
        <v>BRAND-045</v>
      </c>
      <c r="G193" s="25" t="s">
        <v>1275</v>
      </c>
      <c r="H193" s="23" t="str">
        <f t="shared" si="2"/>
        <v>INSERT INTO medical_supply_product (active, category, description, name, code, brand_code, uom) VALUES (true, 'Máy đo huyết áp', 'Máy đo huyết áp bắp tay Omron JPN750 nhập khẩu nguyên chiếc từ Nhật Bản, đo nhanh, chính xác, bền và ổn định. Phù hợp theo dõi huyết áp tại nhà, kể cả người cao tuổi.', '[Omron] Máy đo huyết áp bắp tay - JPN750', 'PRODUCT-00192', 'BRAND-045', 'bộ');</v>
      </c>
    </row>
    <row r="194" spans="1:8" ht="60" x14ac:dyDescent="0.25">
      <c r="A194" s="7" t="s">
        <v>754</v>
      </c>
      <c r="B194" s="1" t="s">
        <v>209</v>
      </c>
      <c r="C194" s="1" t="s">
        <v>5</v>
      </c>
      <c r="D194" s="1" t="s">
        <v>93</v>
      </c>
      <c r="E194" s="1" t="s">
        <v>505</v>
      </c>
      <c r="F194" s="23" t="str">
        <f>IFERROR(INDEX(Brand!$A:$A,MATCH(TRIM(C194),Brand!$B:$B,0)),"NOT FOUND")</f>
        <v>BRAND-045</v>
      </c>
      <c r="G194" s="25" t="s">
        <v>1275</v>
      </c>
      <c r="H194" s="23" t="str">
        <f t="shared" si="2"/>
        <v>INSERT INTO medical_supply_product (active, category, description, name, code, brand_code, uom) VALUES (true, 'Máy đo huyết áp', 'Máy đo huyết áp bắp tay Omron HEM-7156T kết nối Bluetooth, vòng bít IntelliWrap™ 360° cho kết quả chính xác dù quấn ở vị trí nào. Đo tự động, lưu 60 kết quả, phù hợp đo huyết áp và nhịp tim tại nhà.', '[Omron] Máy đo huyết áp bắp tay kết nối Bluetooth - HEM-7156T', 'PRODUCT-00193', 'BRAND-045', 'bộ');</v>
      </c>
    </row>
    <row r="195" spans="1:8" ht="60" x14ac:dyDescent="0.25">
      <c r="A195" s="7" t="s">
        <v>755</v>
      </c>
      <c r="B195" s="1" t="s">
        <v>212</v>
      </c>
      <c r="C195" s="1" t="s">
        <v>5</v>
      </c>
      <c r="D195" s="1" t="s">
        <v>93</v>
      </c>
      <c r="E195" s="1" t="s">
        <v>506</v>
      </c>
      <c r="F195" s="23" t="str">
        <f>IFERROR(INDEX(Brand!$A:$A,MATCH(TRIM(C195),Brand!$B:$B,0)),"NOT FOUND")</f>
        <v>BRAND-045</v>
      </c>
      <c r="G195" s="25" t="s">
        <v>1275</v>
      </c>
      <c r="H195" s="23" t="str">
        <f t="shared" ref="H195:H258" si="3">"INSERT INTO medical_supply_product (active, category, description, name, code, brand_code, uom) VALUES (true, '"&amp;SUBSTITUTE(D195,"'","''")&amp;"', '"&amp;SUBSTITUTE(E195,"'","''")&amp;"', '"&amp;SUBSTITUTE(B195,"'","''")&amp;"', '"&amp;SUBSTITUTE(A195,"'","''")&amp;"', '"&amp;SUBSTITUTE(F195,"'","''")&amp;"', '"&amp;SUBSTITUTE(G195,"'","''")&amp;"');"</f>
        <v>INSERT INTO medical_supply_product (active, category, description, name, code, brand_code, uom) VALUES (true, 'Máy đo huyết áp', 'Máy đo huyết áp bắp tay tự động Omron HEM-7156, vòng bít IntelliWrap™ 360° cho kết quả chính xác dù quấn ở vị trí nào. Dễ sử dụng, lưu 60 kết quả, phù hợp đo huyết áp và nhịp tim tại nhà.', '[Omron] Máy đo huyết áp bắp tay tự động - HEM-7156', 'PRODUCT-00194', 'BRAND-045', 'bộ');</v>
      </c>
    </row>
    <row r="196" spans="1:8" ht="60" x14ac:dyDescent="0.25">
      <c r="A196" s="7" t="s">
        <v>756</v>
      </c>
      <c r="B196" s="1" t="s">
        <v>213</v>
      </c>
      <c r="C196" s="1" t="s">
        <v>5</v>
      </c>
      <c r="D196" s="1" t="s">
        <v>93</v>
      </c>
      <c r="E196" s="1" t="s">
        <v>507</v>
      </c>
      <c r="F196" s="23" t="str">
        <f>IFERROR(INDEX(Brand!$A:$A,MATCH(TRIM(C196),Brand!$B:$B,0)),"NOT FOUND")</f>
        <v>BRAND-045</v>
      </c>
      <c r="G196" s="25" t="s">
        <v>1275</v>
      </c>
      <c r="H196" s="23" t="str">
        <f t="shared" si="3"/>
        <v>INSERT INTO medical_supply_product (active, category, description, name, code, brand_code, uom) VALUES (true, 'Máy đo huyết áp', 'Máy đo huyết áp bắp tay tự động Omron HEM-7180 (EZ Lite) đo huyết áp và nhịp tim nhanh, chính xác tại nhà. Nhỏ gọn, màn hình LCD rõ, có cảnh báo thông minh; phù hợp người trung niên, cao tuổi.', '[Omron] Máy đo huyết áp tự động - HEM-7180 (EZ Lite)', 'PRODUCT-00195', 'BRAND-045', 'bộ');</v>
      </c>
    </row>
    <row r="197" spans="1:8" ht="60" x14ac:dyDescent="0.25">
      <c r="A197" s="7" t="s">
        <v>757</v>
      </c>
      <c r="B197" s="1" t="s">
        <v>214</v>
      </c>
      <c r="C197" s="1" t="s">
        <v>5</v>
      </c>
      <c r="D197" s="1" t="s">
        <v>93</v>
      </c>
      <c r="E197" s="1" t="s">
        <v>508</v>
      </c>
      <c r="F197" s="23" t="str">
        <f>IFERROR(INDEX(Brand!$A:$A,MATCH(TRIM(C197),Brand!$B:$B,0)),"NOT FOUND")</f>
        <v>BRAND-045</v>
      </c>
      <c r="G197" s="25" t="s">
        <v>1275</v>
      </c>
      <c r="H197" s="23" t="str">
        <f t="shared" si="3"/>
        <v>INSERT INTO medical_supply_product (active, category, description, name, code, brand_code, uom) VALUES (true, 'Máy đo huyết áp', 'Máy đo huyết áp bắp tay tự động Omron HEM-7142T1 kết nối Bluetooth với điện thoại để theo dõi huyết áp liên tục. Thao tác đơn giản, kết quả nhanh, chính xác; gọn nhẹ, dễ mang theo.', '[Omron] Máy đo huyết áp tự động kết nối Bluetooth - HEM-7142T1', 'PRODUCT-00196', 'BRAND-045', 'bộ');</v>
      </c>
    </row>
    <row r="198" spans="1:8" ht="60" x14ac:dyDescent="0.25">
      <c r="A198" s="7" t="s">
        <v>758</v>
      </c>
      <c r="B198" s="1" t="s">
        <v>215</v>
      </c>
      <c r="C198" s="1" t="s">
        <v>5</v>
      </c>
      <c r="D198" s="1" t="s">
        <v>93</v>
      </c>
      <c r="E198" s="1" t="s">
        <v>509</v>
      </c>
      <c r="F198" s="23" t="str">
        <f>IFERROR(INDEX(Brand!$A:$A,MATCH(TRIM(C198),Brand!$B:$B,0)),"NOT FOUND")</f>
        <v>BRAND-045</v>
      </c>
      <c r="G198" s="25" t="s">
        <v>1275</v>
      </c>
      <c r="H198" s="23" t="str">
        <f t="shared" si="3"/>
        <v>INSERT INTO medical_supply_product (active, category, description, name, code, brand_code, uom) VALUES (true, 'Máy đo huyết áp', 'Máy đo huyết áp bắp tay tự động Omron HEM-7142T2 kết nối Bluetooth với điện thoại để theo dõi huyết áp liên tục. Thao tác đơn giản, kết quả nhanh, chính xác; gọn nhẹ, dễ mang theo.', '[Omron] Máy đo huyết áp tự động kết nối Bluetooth - HEM-7142T2', 'PRODUCT-00197', 'BRAND-045', 'bộ');</v>
      </c>
    </row>
    <row r="199" spans="1:8" ht="60" x14ac:dyDescent="0.25">
      <c r="A199" s="7" t="s">
        <v>759</v>
      </c>
      <c r="B199" s="1" t="s">
        <v>216</v>
      </c>
      <c r="C199" s="1" t="s">
        <v>5</v>
      </c>
      <c r="D199" s="1" t="s">
        <v>93</v>
      </c>
      <c r="E199" s="1" t="s">
        <v>510</v>
      </c>
      <c r="F199" s="23" t="str">
        <f>IFERROR(INDEX(Brand!$A:$A,MATCH(TRIM(C199),Brand!$B:$B,0)),"NOT FOUND")</f>
        <v>BRAND-045</v>
      </c>
      <c r="G199" s="25" t="s">
        <v>1275</v>
      </c>
      <c r="H199" s="23" t="str">
        <f t="shared" si="3"/>
        <v>INSERT INTO medical_supply_product (active, category, description, name, code, brand_code, uom) VALUES (true, 'Máy đo huyết áp', 'Máy đo huyết áp bắp tay tự động Omron HEM-7143T1 kết nối Bluetooth với điện thoại để theo dõi huyết áp liên tục. Thao tác đơn giản, kết quả nhanh, chính xác; gọn nhẹ, dễ mang theo.', '[Omron] Máy đo huyết áp tự động kết nối Bluetooth - HEM-7143T1', 'PRODUCT-00198', 'BRAND-045', 'bộ');</v>
      </c>
    </row>
    <row r="200" spans="1:8" ht="60" x14ac:dyDescent="0.25">
      <c r="A200" s="7" t="s">
        <v>760</v>
      </c>
      <c r="B200" s="1" t="s">
        <v>219</v>
      </c>
      <c r="C200" s="1" t="s">
        <v>5</v>
      </c>
      <c r="D200" s="1" t="s">
        <v>2302</v>
      </c>
      <c r="E200" s="1" t="s">
        <v>511</v>
      </c>
      <c r="F200" s="23" t="str">
        <f>IFERROR(INDEX(Brand!$A:$A,MATCH(TRIM(C200),Brand!$B:$B,0)),"NOT FOUND")</f>
        <v>BRAND-045</v>
      </c>
      <c r="G200" s="25" t="s">
        <v>1275</v>
      </c>
      <c r="H200" s="23" t="str">
        <f t="shared" si="3"/>
        <v>INSERT INTO medical_supply_product (active, category, description, name, code, brand_code, uom) VALUES (true, 'Cân &amp; máy đo thành phần cơ thể', 'Máy đo thành phần cơ thể Omron HBF-375 phân tích cân nặng, mỡ cơ thể, BMI, tỷ lệ cơ xương, mức chuyển hóa (BMR). Giúp theo dõi sức khỏe và xây dựng chế độ ăn uống, sinh hoạt phù hợp.', '[Omron] Máy đo thành phần cơ thể - HBF-375', 'PRODUCT-00199', 'BRAND-045', 'bộ');</v>
      </c>
    </row>
    <row r="201" spans="1:8" ht="45" x14ac:dyDescent="0.25">
      <c r="A201" s="7" t="s">
        <v>761</v>
      </c>
      <c r="B201" s="1" t="s">
        <v>241</v>
      </c>
      <c r="C201" s="1" t="s">
        <v>5</v>
      </c>
      <c r="D201" s="1" t="s">
        <v>94</v>
      </c>
      <c r="E201" s="1" t="s">
        <v>512</v>
      </c>
      <c r="F201" s="23" t="str">
        <f>IFERROR(INDEX(Brand!$A:$A,MATCH(TRIM(C201),Brand!$B:$B,0)),"NOT FOUND")</f>
        <v>BRAND-045</v>
      </c>
      <c r="G201" s="24" t="s">
        <v>1274</v>
      </c>
      <c r="H201" s="23" t="str">
        <f t="shared" si="3"/>
        <v>INSERT INTO medical_supply_product (active, category, description, name, code, brand_code, uom) VALUES (true, 'Nhiệt kế điện tử', 'Nhiệt kế điện tử Omron MC-246 đầu đo mềm, đo được ở miệng, nách, hậu môn, chính xác đến 0,1°C. An toàn hơn nhiệt kế thủy ngân, ghi nhớ kết quả lần đo trước.', '[Omron] Nhiệt kế điện tử - MC-246', 'PRODUCT-00200', 'BRAND-045', 'cái');</v>
      </c>
    </row>
    <row r="202" spans="1:8" ht="60" x14ac:dyDescent="0.25">
      <c r="A202" s="7" t="s">
        <v>762</v>
      </c>
      <c r="B202" s="1" t="s">
        <v>240</v>
      </c>
      <c r="C202" s="1" t="s">
        <v>5</v>
      </c>
      <c r="D202" s="1" t="s">
        <v>94</v>
      </c>
      <c r="E202" s="1" t="s">
        <v>513</v>
      </c>
      <c r="F202" s="23" t="str">
        <f>IFERROR(INDEX(Brand!$A:$A,MATCH(TRIM(C202),Brand!$B:$B,0)),"NOT FOUND")</f>
        <v>BRAND-045</v>
      </c>
      <c r="G202" s="24" t="s">
        <v>1274</v>
      </c>
      <c r="H202" s="23" t="str">
        <f t="shared" si="3"/>
        <v>INSERT INTO medical_supply_product (active, category, description, name, code, brand_code, uom) VALUES (true, 'Nhiệt kế điện tử', 'Nhiệt kế đo trán Omron MC-720 không tiếp xúc da, cho kết quả trong 1 giây, dùng được cho mọi lứa tuổi kể cả trẻ sơ sinh. Tích hợp 3 chế độ: đo thân nhiệt, nhiệt độ bề mặt và nhiệt độ phòng.', '[Omron] Nhiệt kế điện tử đo trán - MC-720', 'PRODUCT-00201', 'BRAND-045', 'cái');</v>
      </c>
    </row>
    <row r="203" spans="1:8" ht="60" x14ac:dyDescent="0.25">
      <c r="A203" s="7" t="s">
        <v>763</v>
      </c>
      <c r="B203" s="1" t="s">
        <v>203</v>
      </c>
      <c r="C203" s="1" t="s">
        <v>59</v>
      </c>
      <c r="D203" s="1" t="s">
        <v>2291</v>
      </c>
      <c r="E203" s="1" t="s">
        <v>514</v>
      </c>
      <c r="F203" s="23" t="str">
        <f>IFERROR(INDEX(Brand!$A:$A,MATCH(TRIM(C203),Brand!$B:$B,0)),"NOT FOUND")</f>
        <v>BRAND-053</v>
      </c>
      <c r="G203" s="25" t="s">
        <v>1275</v>
      </c>
      <c r="H203" s="23" t="str">
        <f t="shared" si="3"/>
        <v>INSERT INTO medical_supply_product (active, category, description, name, code, brand_code, uom) VALUES (true, 'Máy đo đường huyết', 'Máy đo đường huyết Accu-Chek Instant (Roche) đo nhanh, cần ít máu, độ chính xác cao tương đương thiết bị chuyên dụng. Nhỏ gọn, thao tác đơn giản, phù hợp tự theo dõi tại nhà.', '[Roche] Máy đo đường huyết - Accu-Chek Instant', 'PRODUCT-00202', 'BRAND-053', 'bộ');</v>
      </c>
    </row>
    <row r="204" spans="1:8" ht="60" x14ac:dyDescent="0.25">
      <c r="A204" s="7" t="s">
        <v>764</v>
      </c>
      <c r="B204" s="1" t="s">
        <v>275</v>
      </c>
      <c r="C204" s="1" t="s">
        <v>59</v>
      </c>
      <c r="D204" s="1" t="s">
        <v>2293</v>
      </c>
      <c r="E204" s="1" t="s">
        <v>515</v>
      </c>
      <c r="F204" s="23" t="str">
        <f>IFERROR(INDEX(Brand!$A:$A,MATCH(TRIM(C204),Brand!$B:$B,0)),"NOT FOUND")</f>
        <v>BRAND-053</v>
      </c>
      <c r="G204" s="25" t="s">
        <v>1470</v>
      </c>
      <c r="H204" s="23" t="str">
        <f t="shared" si="3"/>
        <v>INSERT INTO medical_supply_product (active, category, description, name, code, brand_code, uom) VALUES (true, 'Que thử', 'Que thử đường huyết Accu-Chek Instant (Roche) dùng với máy Accu-Chek Instant, giúp tự kiểm tra đường huyết tại nhà an toàn, chính xác. Nhỏ gọn, dễ mang theo.', '[Roche] Que thử đường huyết - Accu-Chek Instant', 'PRODUCT-00203', 'BRAND-053', 'que');</v>
      </c>
    </row>
    <row r="205" spans="1:8" ht="60" x14ac:dyDescent="0.25">
      <c r="A205" s="7" t="s">
        <v>765</v>
      </c>
      <c r="B205" s="1" t="s">
        <v>185</v>
      </c>
      <c r="C205" s="1" t="s">
        <v>61</v>
      </c>
      <c r="D205" s="1" t="s">
        <v>2295</v>
      </c>
      <c r="E205" s="1" t="s">
        <v>516</v>
      </c>
      <c r="F205" s="23" t="str">
        <f>IFERROR(INDEX(Brand!$A:$A,MATCH(TRIM(C205),Brand!$B:$B,0)),"NOT FOUND")</f>
        <v>BRAND-055</v>
      </c>
      <c r="G205" s="25" t="s">
        <v>1275</v>
      </c>
      <c r="H205" s="23" t="str">
        <f t="shared" si="3"/>
        <v>INSERT INTO medical_supply_product (active, category, description, name, code, brand_code, uom) VALUES (true, 'Hệ thống đo đường huyết liên tục (CGM)', 'Hệ thống CGM Sinocare iCan i3 theo dõi đường huyết liên tục qua cảm biến gắn ở cánh tay hoặc bụng, không cần chích máu. Dữ liệu hiển thị theo thời gian thực trên điện thoại; bác sĩ, người thân theo dõi được từ xa.', '[Sinocare] Hệ thống đo đường huyết liên tục CGM - iCan i3', 'PRODUCT-00204', 'BRAND-055', 'bộ');</v>
      </c>
    </row>
    <row r="206" spans="1:8" ht="45" x14ac:dyDescent="0.25">
      <c r="A206" s="7" t="s">
        <v>766</v>
      </c>
      <c r="B206" s="1" t="s">
        <v>206</v>
      </c>
      <c r="C206" s="1" t="s">
        <v>61</v>
      </c>
      <c r="D206" s="1" t="s">
        <v>2291</v>
      </c>
      <c r="E206" s="1" t="s">
        <v>517</v>
      </c>
      <c r="F206" s="23" t="str">
        <f>IFERROR(INDEX(Brand!$A:$A,MATCH(TRIM(C206),Brand!$B:$B,0)),"NOT FOUND")</f>
        <v>BRAND-055</v>
      </c>
      <c r="G206" s="25" t="s">
        <v>1275</v>
      </c>
      <c r="H206" s="23" t="str">
        <f t="shared" si="3"/>
        <v>INSERT INTO medical_supply_product (active, category, description, name, code, brand_code, uom) VALUES (true, 'Máy đo đường huyết', 'Máy đo đường huyết Sinocare Safe-Accu sản xuất theo công nghệ Đức, cho kết quả nhanh và chính xác. Que thử không cần cài mã, dễ sử dụng tại nhà.', '[Sinocare] Máy đo đường huyết - Safe-Accu', 'PRODUCT-00205', 'BRAND-055', 'bộ');</v>
      </c>
    </row>
    <row r="207" spans="1:8" ht="45" x14ac:dyDescent="0.25">
      <c r="A207" s="7" t="s">
        <v>767</v>
      </c>
      <c r="B207" s="1" t="s">
        <v>280</v>
      </c>
      <c r="C207" s="1" t="s">
        <v>61</v>
      </c>
      <c r="D207" s="1" t="s">
        <v>2293</v>
      </c>
      <c r="E207" s="1" t="s">
        <v>518</v>
      </c>
      <c r="F207" s="23" t="str">
        <f>IFERROR(INDEX(Brand!$A:$A,MATCH(TRIM(C207),Brand!$B:$B,0)),"NOT FOUND")</f>
        <v>BRAND-055</v>
      </c>
      <c r="G207" s="25" t="s">
        <v>1470</v>
      </c>
      <c r="H207" s="23" t="str">
        <f t="shared" si="3"/>
        <v>INSERT INTO medical_supply_product (active, category, description, name, code, brand_code, uom) VALUES (true, 'Que thử', 'Que thử đường huyết Sinocare Safe-Accu dùng với máy Safe-Accu, sản xuất theo công nghệ Đức, cho kết quả chính xác. Gọn nhẹ, tiện mang theo.', '[Sinocare] Que thử đường huyết - Safe-Accu', 'PRODUCT-00206', 'BRAND-055', 'que');</v>
      </c>
    </row>
    <row r="208" spans="1:8" ht="60" x14ac:dyDescent="0.25">
      <c r="A208" s="7" t="s">
        <v>768</v>
      </c>
      <c r="B208" s="1" t="s">
        <v>138</v>
      </c>
      <c r="C208" s="1" t="s">
        <v>25</v>
      </c>
      <c r="D208" s="1" t="s">
        <v>2304</v>
      </c>
      <c r="E208" s="1" t="s">
        <v>519</v>
      </c>
      <c r="F208" s="23" t="str">
        <f>IFERROR(INDEX(Brand!$A:$A,MATCH(TRIM(C208),Brand!$B:$B,0)),"NOT FOUND")</f>
        <v>BRAND-013</v>
      </c>
      <c r="G208" s="25" t="s">
        <v>1274</v>
      </c>
      <c r="H208" s="23" t="str">
        <f t="shared" si="3"/>
        <v>INSERT INTO medical_supply_product (active, category, description, name, code, brand_code, uom) VALUES (true, 'Ống thông tiểu ngắt quãng', 'Bộ ống thông tiểu ngắt quãng Cliny cho nam bằng 100% silicone y tế (tiêu chuẩn Nhật Bản), đầu thuôn nhỏ dễ đặt, không đau, ít tắc. Dùng tự thông tiểu tại nhà, bệnh viện, phòng khám.', '[Create Medic] Bộ ống thông tiểu ngắt quãng silicon - Cliny', 'PRODUCT-00207', 'BRAND-013', 'cái');</v>
      </c>
    </row>
    <row r="209" spans="1:8" ht="75" x14ac:dyDescent="0.25">
      <c r="A209" s="7" t="s">
        <v>769</v>
      </c>
      <c r="B209" s="1" t="s">
        <v>268</v>
      </c>
      <c r="C209" s="1" t="s">
        <v>29</v>
      </c>
      <c r="D209" s="1" t="s">
        <v>2304</v>
      </c>
      <c r="E209" s="1" t="s">
        <v>520</v>
      </c>
      <c r="F209" s="23" t="str">
        <f>IFERROR(INDEX(Brand!$A:$A,MATCH(TRIM(C209),Brand!$B:$B,0)),"NOT FOUND")</f>
        <v>BRAND-018</v>
      </c>
      <c r="G209" s="24" t="s">
        <v>1274</v>
      </c>
      <c r="H209" s="23" t="str">
        <f t="shared" si="3"/>
        <v>INSERT INTO medical_supply_product (active, category, description, name, code, brand_code, uom) VALUES (true, 'Ống thông tiểu ngắt quãng', 'Ống thông tiểu ngắt quãng Selfcath (Fuji Systems, Nhật Bản) bằng silicone y tế siêu mềm, giúp người bí tiểu, bàng quang thần kinh, tổn thương tủy sống chủ động tự thông tiểu. Kèm hộp đựng sát khuẩn, tái sử dụng nhiều lần, giảm nguy cơ nhiễm trùng.', '[Fuji System] Ống thông tiểu ngắt quãng silicone - Selfcath', 'PRODUCT-00208', 'BRAND-018', 'cái');</v>
      </c>
    </row>
    <row r="210" spans="1:8" ht="60" x14ac:dyDescent="0.25">
      <c r="A210" s="7" t="s">
        <v>770</v>
      </c>
      <c r="B210" s="1" t="s">
        <v>269</v>
      </c>
      <c r="C210" s="1" t="s">
        <v>37</v>
      </c>
      <c r="D210" s="1" t="s">
        <v>2306</v>
      </c>
      <c r="E210" s="1" t="s">
        <v>521</v>
      </c>
      <c r="F210" s="23" t="str">
        <f>IFERROR(INDEX(Brand!$A:$A,MATCH(TRIM(C210),Brand!$B:$B,0)),"NOT FOUND")</f>
        <v>BRAND-027</v>
      </c>
      <c r="G210" s="25" t="s">
        <v>1274</v>
      </c>
      <c r="H210" s="23" t="str">
        <f t="shared" si="3"/>
        <v>INSERT INTO medical_supply_product (active, category, description, name, code, brand_code, uom) VALUES (true, 'Ống thông tiểu Foley', 'Ống thông tiểu Foley 2 nhánh Idealcare bằng 100% silicone y tế, lưu ống đến 1 tháng, hạn chế viêm nhiễm, dị ứng và việc đặt lại nhiều lần. Bóng ở đầu ống giúp cố định trong bàng quang.', '[Idealcare] Ống thông tiểu Foley silicon 2 nhánh dài ngày', 'PRODUCT-00209', 'BRAND-027', 'cái');</v>
      </c>
    </row>
    <row r="211" spans="1:8" ht="75" x14ac:dyDescent="0.25">
      <c r="A211" s="7" t="s">
        <v>771</v>
      </c>
      <c r="B211" s="1" t="s">
        <v>272</v>
      </c>
      <c r="C211" s="1" t="s">
        <v>37</v>
      </c>
      <c r="D211" s="1" t="s">
        <v>2306</v>
      </c>
      <c r="E211" s="1" t="s">
        <v>522</v>
      </c>
      <c r="F211" s="23" t="str">
        <f>IFERROR(INDEX(Brand!$A:$A,MATCH(TRIM(C211),Brand!$B:$B,0)),"NOT FOUND")</f>
        <v>BRAND-027</v>
      </c>
      <c r="G211" s="25" t="s">
        <v>1274</v>
      </c>
      <c r="H211" s="23" t="str">
        <f t="shared" si="3"/>
        <v>INSERT INTO medical_supply_product (active, category, description, name, code, brand_code, uom) VALUES (true, 'Ống thông tiểu Foley', 'Ống thông tiểu Foley 3 nhánh Idealcare bằng 100% silicone y tế, lưu ống đến 1 tháng, hạn chế viêm nhiễm, dị ứng và việc đặt lại nhiều lần. Nhánh thứ ba dùng bơm rửa bàng quang; bóng ở đầu giúp cố định ống.', '[Idealcare] Ống thông tiểu Foley silicon 3 nhánh dài ngày', 'PRODUCT-00210', 'BRAND-027', 'cái');</v>
      </c>
    </row>
    <row r="212" spans="1:8" ht="60" x14ac:dyDescent="0.25">
      <c r="A212" s="7" t="s">
        <v>772</v>
      </c>
      <c r="B212" s="1" t="s">
        <v>270</v>
      </c>
      <c r="C212" s="1" t="s">
        <v>47</v>
      </c>
      <c r="D212" s="1" t="s">
        <v>2306</v>
      </c>
      <c r="E212" s="1" t="s">
        <v>523</v>
      </c>
      <c r="F212" s="23" t="str">
        <f>IFERROR(INDEX(Brand!$A:$A,MATCH(TRIM(C212),Brand!$B:$B,0)),"NOT FOUND")</f>
        <v>BRAND-039</v>
      </c>
      <c r="G212" s="25" t="s">
        <v>1274</v>
      </c>
      <c r="H212" s="23" t="str">
        <f t="shared" si="3"/>
        <v>INSERT INTO medical_supply_product (active, category, description, name, code, brand_code, uom) VALUES (true, 'Ống thông tiểu Foley', 'Ống thông tiểu Foley 2 nhánh Mepro bằng 100% silicone y tế, lưu ống đến 30 ngày, hạn chế viêm nhiễm, dị ứng và việc đặt lại nhiều lần. Bóng ở đầu ống giúp cố định trong bàng quang.', '[Mepro] Ống thông tiểu Foley silicon 2 nhánh dài ngày', 'PRODUCT-00211', 'BRAND-039', 'cái');</v>
      </c>
    </row>
    <row r="213" spans="1:8" ht="60" x14ac:dyDescent="0.25">
      <c r="A213" s="7" t="s">
        <v>773</v>
      </c>
      <c r="B213" s="1" t="s">
        <v>180</v>
      </c>
      <c r="C213" s="1" t="s">
        <v>56</v>
      </c>
      <c r="D213" s="1" t="s">
        <v>2308</v>
      </c>
      <c r="E213" s="1" t="s">
        <v>524</v>
      </c>
      <c r="F213" s="23" t="str">
        <f>IFERROR(INDEX(Brand!$A:$A,MATCH(TRIM(C213),Brand!$B:$B,0)),"NOT FOUND")</f>
        <v>BRAND-050</v>
      </c>
      <c r="G213" s="24" t="s">
        <v>1275</v>
      </c>
      <c r="H213" s="23" t="str">
        <f t="shared" si="3"/>
        <v>INSERT INTO medical_supply_product (active, category, description, name, code, brand_code, uom) VALUES (true, 'Dụng cụ hỗ trợ đi tiểu nam', 'Bộ chụp tiểu nam PitrMed bằng silicone y tế, thu nước tiểu tại giường cho người không đi lại được như người cao tuổi, sau tai biến. Thay thế bỉm, giảm bí bách, kích ứng và giảm công chăm sóc.', '[Pitr Med] Dụng cụ hỗ trợ đi tiểu nam (bộ chụp tiểu silicon)', 'PRODUCT-00212', 'BRAND-050', 'bộ');</v>
      </c>
    </row>
    <row r="214" spans="1:8" ht="60" x14ac:dyDescent="0.25">
      <c r="A214" s="7" t="s">
        <v>774</v>
      </c>
      <c r="B214" s="1" t="s">
        <v>281</v>
      </c>
      <c r="C214" s="1" t="s">
        <v>75</v>
      </c>
      <c r="D214" s="1" t="s">
        <v>2310</v>
      </c>
      <c r="E214" s="1" t="s">
        <v>525</v>
      </c>
      <c r="F214" s="23" t="str">
        <f>IFERROR(INDEX(Brand!$A:$A,MATCH(TRIM(C214),Brand!$B:$B,0)),"NOT FOUND")</f>
        <v>BRAND-070</v>
      </c>
      <c r="G214" s="25" t="s">
        <v>1274</v>
      </c>
      <c r="H214" s="23" t="str">
        <f t="shared" si="3"/>
        <v>INSERT INTO medical_supply_product (active, category, description, name, code, brand_code, uom) VALUES (true, 'Túi đựng nước tiểu', 'Túi đựng nước tiểu i-CARE (Welford, Malaysia) nối với ống thông tiểu Foley, có van xả và van chống trào ngược giúp ngừa nhiễm trùng. Tiệt trùng EO, đạt CE, ISO.', '[Welford] Túi đựng nước tiểu có van khóa - i-CARE', 'PRODUCT-00213', 'BRAND-070', 'cái');</v>
      </c>
    </row>
    <row r="215" spans="1:8" ht="60" x14ac:dyDescent="0.25">
      <c r="A215" s="7" t="s">
        <v>775</v>
      </c>
      <c r="B215" s="1" t="s">
        <v>131</v>
      </c>
      <c r="C215" s="1" t="s">
        <v>79</v>
      </c>
      <c r="D215" s="1" t="s">
        <v>108</v>
      </c>
      <c r="E215" s="1" t="s">
        <v>526</v>
      </c>
      <c r="F215" s="23" t="str">
        <f>IFERROR(INDEX(Brand!$A:$A,MATCH(TRIM(C215),Brand!$B:$B,0)),"NOT FOUND")</f>
        <v>BRAND-074</v>
      </c>
      <c r="G215" s="25" t="s">
        <v>1275</v>
      </c>
      <c r="H215" s="23" t="str">
        <f t="shared" si="3"/>
        <v>INSERT INTO medical_supply_product (active, category, description, name, code, brand_code, uom) VALUES (true, 'Bộ mở bàng quang qua da', 'Bộ mở bàng quang qua da Yushin dẫn lưu nước tiểu qua thành bụng khi tắc niệu đạo, không đặt được ống thông tiểu thông thường. Ống silicone 2 nhánh: một nhánh dẫn nước tiểu, một nhánh bơm bóng cố định.', '[Yushin] Bộ mở bàng quang qua da - Suprapubic Catheter Set', 'PRODUCT-00214', 'BRAND-074', 'bộ');</v>
      </c>
    </row>
    <row r="216" spans="1:8" ht="60" x14ac:dyDescent="0.25">
      <c r="A216" s="7" t="s">
        <v>776</v>
      </c>
      <c r="B216" s="1" t="s">
        <v>271</v>
      </c>
      <c r="C216" s="1" t="s">
        <v>79</v>
      </c>
      <c r="D216" s="1" t="s">
        <v>2306</v>
      </c>
      <c r="E216" s="1" t="s">
        <v>527</v>
      </c>
      <c r="F216" s="23" t="str">
        <f>IFERROR(INDEX(Brand!$A:$A,MATCH(TRIM(C216),Brand!$B:$B,0)),"NOT FOUND")</f>
        <v>BRAND-074</v>
      </c>
      <c r="G216" s="25" t="s">
        <v>1274</v>
      </c>
      <c r="H216" s="23" t="str">
        <f t="shared" si="3"/>
        <v>INSERT INTO medical_supply_product (active, category, description, name, code, brand_code, uom) VALUES (true, 'Ống thông tiểu Foley', 'Ống thông tiểu Foley 2 nhánh Yushin bằng 100% silicone y tế, lưu ống đến 1 tháng, hạn chế viêm nhiễm, dị ứng và việc đặt lại nhiều lần. Bóng ở đầu ống giúp cố định trong bàng quang.', '[Yushin] Ống thông tiểu Foley silicon 2 nhánh dài ngày', 'PRODUCT-00215', 'BRAND-074', 'cái');</v>
      </c>
    </row>
    <row r="217" spans="1:8" ht="45" x14ac:dyDescent="0.25">
      <c r="A217" s="7" t="s">
        <v>777</v>
      </c>
      <c r="B217" s="1" t="s">
        <v>267</v>
      </c>
      <c r="C217" s="1" t="s">
        <v>79</v>
      </c>
      <c r="D217" s="1" t="s">
        <v>2304</v>
      </c>
      <c r="E217" s="1" t="s">
        <v>528</v>
      </c>
      <c r="F217" s="23" t="str">
        <f>IFERROR(INDEX(Brand!$A:$A,MATCH(TRIM(C217),Brand!$B:$B,0)),"NOT FOUND")</f>
        <v>BRAND-074</v>
      </c>
      <c r="G217" s="25" t="s">
        <v>1274</v>
      </c>
      <c r="H217" s="23" t="str">
        <f t="shared" si="3"/>
        <v>INSERT INTO medical_supply_product (active, category, description, name, code, brand_code, uom) VALUES (true, 'Ống thông tiểu ngắt quãng', 'Ống thông tiểu ngắt quãng Yushin cho nam bằng 100% silicone y tế, đầu thuôn nhỏ dễ đặt, không đau, ít tắc. Dùng tự thông tiểu tại nhà, bệnh viện, phòng khám.', '[Yushin] Ống thông tiểu ngắt quãng silicon', 'PRODUCT-00216', 'BRAND-074', 'cái');</v>
      </c>
    </row>
    <row r="218" spans="1:8" ht="60" x14ac:dyDescent="0.25">
      <c r="A218" s="7" t="s">
        <v>778</v>
      </c>
      <c r="B218" s="1" t="s">
        <v>107</v>
      </c>
      <c r="C218" s="1" t="s">
        <v>39</v>
      </c>
      <c r="D218" s="1" t="s">
        <v>2310</v>
      </c>
      <c r="E218" s="1" t="s">
        <v>529</v>
      </c>
      <c r="F218" s="23" t="str">
        <f>IFERROR(INDEX(Brand!$A:$A,MATCH(TRIM(C218),Brand!$B:$B,0)),"NOT FOUND")</f>
        <v>BRAND-031</v>
      </c>
      <c r="G218" s="24" t="s">
        <v>1274</v>
      </c>
      <c r="H218" s="23" t="str">
        <f t="shared" si="3"/>
        <v>INSERT INTO medical_supply_product (active, category, description, name, code, brand_code, uom) VALUES (true, 'Túi đựng nước tiểu', 'Túi đựng nước tiểu cột chân nối với ống thông tiểu Foley, có van xả và van chống trào ngược giúp ngừa nhiễm trùng. Dây thun điều chỉnh cố định túi lên chân, tiện di chuyển; đạt CE, ISO.', 'Túi đựng nước tiểu cột chân có van khóa', 'PRODUCT-00217', 'BRAND-031', 'cái');</v>
      </c>
    </row>
    <row r="219" spans="1:8" ht="60" x14ac:dyDescent="0.25">
      <c r="A219" s="7" t="s">
        <v>779</v>
      </c>
      <c r="B219" s="1" t="s">
        <v>184</v>
      </c>
      <c r="C219" s="1" t="s">
        <v>21</v>
      </c>
      <c r="D219" s="1" t="s">
        <v>2313</v>
      </c>
      <c r="E219" s="1" t="s">
        <v>530</v>
      </c>
      <c r="F219" s="23" t="str">
        <f>IFERROR(INDEX(Brand!$A:$A,MATCH(TRIM(C219),Brand!$B:$B,0)),"NOT FOUND")</f>
        <v>BRAND-007</v>
      </c>
      <c r="G219" s="24" t="s">
        <v>1275</v>
      </c>
      <c r="H219" s="23" t="str">
        <f t="shared" si="3"/>
        <v>INSERT INTO medical_supply_product (active, category, description, name, code, brand_code, uom) VALUES (true, 'Hệ thống dẫn lưu phân', 'Hệ thống dẫn lưu phân Bornsun bằng gel silica y tế, thu gom phân lỏng, bán lỏng cho bệnh nhân nằm lâu, đặc biệt tại ICU. Bảo vệ da quanh hậu môn, ngừa nhiễm trùng và giảm công chăm sóc; dùng 1 lần.', '[Bornsun] Hệ thống dẫn lưu phân', 'PRODUCT-00218', 'BRAND-007', 'bộ');</v>
      </c>
    </row>
    <row r="220" spans="1:8" x14ac:dyDescent="0.25">
      <c r="A220" s="7" t="s">
        <v>780</v>
      </c>
      <c r="B220" s="1" t="s">
        <v>201</v>
      </c>
      <c r="C220" s="1" t="s">
        <v>24</v>
      </c>
      <c r="D220" s="1" t="s">
        <v>310</v>
      </c>
      <c r="E220" s="1"/>
      <c r="F220" s="23" t="str">
        <f>IFERROR(INDEX(Brand!$A:$A,MATCH(TRIM(C220),Brand!$B:$B,0)),"NOT FOUND")</f>
        <v>BRAND-012</v>
      </c>
      <c r="G220" s="24" t="s">
        <v>1274</v>
      </c>
      <c r="H220" s="23" t="str">
        <f t="shared" si="3"/>
        <v>INSERT INTO medical_supply_product (active, category, description, name, code, brand_code, uom) VALUES (true, 'Máy bơm thức ăn', '', '[Covidien] Máy bơm thức ăn - Kangaroo ePump™', 'PRODUCT-00219', 'BRAND-012', 'cái');</v>
      </c>
    </row>
    <row r="221" spans="1:8" ht="60" x14ac:dyDescent="0.25">
      <c r="A221" s="7" t="s">
        <v>781</v>
      </c>
      <c r="B221" s="1" t="s">
        <v>266</v>
      </c>
      <c r="C221" s="1" t="s">
        <v>24</v>
      </c>
      <c r="D221" s="1" t="s">
        <v>2316</v>
      </c>
      <c r="E221" s="1" t="s">
        <v>531</v>
      </c>
      <c r="F221" s="23" t="str">
        <f>IFERROR(INDEX(Brand!$A:$A,MATCH(TRIM(C221),Brand!$B:$B,0)),"NOT FOUND")</f>
        <v>BRAND-012</v>
      </c>
      <c r="G221" s="25" t="s">
        <v>1274</v>
      </c>
      <c r="H221" s="23" t="str">
        <f t="shared" si="3"/>
        <v>INSERT INTO medical_supply_product (active, category, description, name, code, brand_code, uom) VALUES (true, 'Ống thông nuôi ăn', 'Ống thông dạ dày silicone Kangaroo lưu ống đến 29 ngày, dùng đưa dinh dưỡng, thuốc vào dạ dày hoặc rửa, giảm áp dạ dày. Ít phải thay ống, giảm tổn thương mũi họng.', '[Covidien] Ống thông dạ dày nuôi ăn 29 ngày - Kangaroo', 'PRODUCT-00220', 'BRAND-012', 'cái');</v>
      </c>
    </row>
    <row r="222" spans="1:8" ht="75" x14ac:dyDescent="0.25">
      <c r="A222" s="7" t="s">
        <v>782</v>
      </c>
      <c r="B222" s="1" t="s">
        <v>136</v>
      </c>
      <c r="C222" s="1" t="s">
        <v>25</v>
      </c>
      <c r="D222" s="1" t="s">
        <v>101</v>
      </c>
      <c r="E222" s="1" t="s">
        <v>532</v>
      </c>
      <c r="F222" s="23" t="str">
        <f>IFERROR(INDEX(Brand!$A:$A,MATCH(TRIM(C222),Brand!$B:$B,0)),"NOT FOUND")</f>
        <v>BRAND-013</v>
      </c>
      <c r="G222" s="25" t="s">
        <v>1274</v>
      </c>
      <c r="H222" s="23" t="str">
        <f t="shared" si="3"/>
        <v>INSERT INTO medical_supply_product (active, category, description, name, code, brand_code, uom) VALUES (true, 'Bộ mở thông dạ dày qua da', 'Bộ mở thông dạ dày qua da Cliny bằng 100% silicone y tế, không latex, nuôi ăn qua thành bụng cho người tắc nghẽn tiêu hóa, tai biến, chấn thương đầu cổ. Ống 2 nòng: cổng bơm thức ăn có nắp và cổng van bơm bóng cố định.', '[Create Medic] Bộ mở thông dạ dày qua da - Cliny', 'PRODUCT-00221', 'BRAND-013', 'cái');</v>
      </c>
    </row>
    <row r="223" spans="1:8" ht="60" x14ac:dyDescent="0.25">
      <c r="A223" s="7" t="s">
        <v>783</v>
      </c>
      <c r="B223" s="1" t="s">
        <v>1612</v>
      </c>
      <c r="C223" s="1" t="s">
        <v>26</v>
      </c>
      <c r="D223" s="1" t="s">
        <v>106</v>
      </c>
      <c r="E223" s="1" t="s">
        <v>533</v>
      </c>
      <c r="F223" s="23" t="str">
        <f>IFERROR(INDEX(Brand!$A:$A,MATCH(TRIM(C223),Brand!$B:$B,0)),"NOT FOUND")</f>
        <v>BRAND-014</v>
      </c>
      <c r="G223" s="24" t="s">
        <v>1286</v>
      </c>
      <c r="H223" s="23" t="str">
        <f t="shared" si="3"/>
        <v>INSERT INTO medical_supply_product (active, category, description, name, code, brand_code, uom) VALUES (true, 'Sữa dinh dưỡng', 'Sữa NUCARE Glucose Plan dinh dưỡng cân bằng dành riêng cho người tiểu đường, giúp kiểm soát đường huyết sau ăn. Dùng thay bữa chính hoặc bữa phụ; hương vị dễ uống.', '[Daesang Wellife] Sữa dinh dưỡng dành cho người tiểu đường - Nucare Glucose Plan (200ml)', 'PRODUCT-00222', 'BRAND-014', 'hộp');</v>
      </c>
    </row>
    <row r="224" spans="1:8" ht="60" x14ac:dyDescent="0.25">
      <c r="A224" s="7" t="s">
        <v>784</v>
      </c>
      <c r="B224" s="1" t="s">
        <v>137</v>
      </c>
      <c r="C224" s="1" t="s">
        <v>28</v>
      </c>
      <c r="D224" s="1" t="s">
        <v>101</v>
      </c>
      <c r="E224" s="1" t="s">
        <v>534</v>
      </c>
      <c r="F224" s="23" t="str">
        <f>IFERROR(INDEX(Brand!$A:$A,MATCH(TRIM(C224),Brand!$B:$B,0)),"NOT FOUND")</f>
        <v>BRAND-016</v>
      </c>
      <c r="G224" s="25" t="s">
        <v>1274</v>
      </c>
      <c r="H224" s="23" t="str">
        <f t="shared" si="3"/>
        <v>INSERT INTO medical_supply_product (active, category, description, name, code, brand_code, uom) VALUES (true, 'Bộ mở thông dạ dày qua da', 'Bộ mở thông dạ dày qua da Fortune bằng silicone, nuôi ăn qua thành bụng tạm thời hoặc lâu dài. Ống 3 nòng: cổng bơm thức ăn, cổng bơm thuốc và cổng van bơm bóng cố định.', '[Fortune] Bộ mở thông dạ dày qua da', 'PRODUCT-00223', 'BRAND-016', 'cái');</v>
      </c>
    </row>
    <row r="225" spans="1:8" ht="60" x14ac:dyDescent="0.25">
      <c r="A225" s="7" t="s">
        <v>785</v>
      </c>
      <c r="B225" s="1" t="s">
        <v>304</v>
      </c>
      <c r="C225" s="1" t="s">
        <v>28</v>
      </c>
      <c r="D225" s="1" t="s">
        <v>2316</v>
      </c>
      <c r="E225" s="1" t="s">
        <v>535</v>
      </c>
      <c r="F225" s="23" t="str">
        <f>IFERROR(INDEX(Brand!$A:$A,MATCH(TRIM(C225),Brand!$B:$B,0)),"NOT FOUND")</f>
        <v>BRAND-016</v>
      </c>
      <c r="G225" s="25" t="s">
        <v>1274</v>
      </c>
      <c r="H225" s="23" t="str">
        <f t="shared" si="3"/>
        <v>INSERT INTO medical_supply_product (active, category, description, name, code, brand_code, uom) VALUES (true, 'Ống thông nuôi ăn', 'Xông nuôi ăn silicone Fortune lưu ống đến 29 ngày, dùng đưa dinh dưỡng, thuốc vào dạ dày hoặc rửa, giảm áp dạ dày. Ít phải thay ống, giảm tổn thương mũi họng; tiệt trùng EO.', '[Fortune] Xông nuôi ăn silicone dài ngày', 'PRODUCT-00224', 'BRAND-016', 'cái');</v>
      </c>
    </row>
    <row r="226" spans="1:8" ht="60" x14ac:dyDescent="0.25">
      <c r="A226" s="7" t="s">
        <v>786</v>
      </c>
      <c r="B226" s="1" t="s">
        <v>168</v>
      </c>
      <c r="C226" s="1" t="s">
        <v>47</v>
      </c>
      <c r="D226" s="1" t="s">
        <v>2316</v>
      </c>
      <c r="E226" s="1" t="s">
        <v>536</v>
      </c>
      <c r="F226" s="23" t="str">
        <f>IFERROR(INDEX(Brand!$A:$A,MATCH(TRIM(C226),Brand!$B:$B,0)),"NOT FOUND")</f>
        <v>BRAND-039</v>
      </c>
      <c r="G226" s="25" t="s">
        <v>1274</v>
      </c>
      <c r="H226" s="23" t="str">
        <f t="shared" si="3"/>
        <v>INSERT INTO medical_supply_product (active, category, description, name, code, brand_code, uom) VALUES (true, 'Ống thông nuôi ăn', 'Dây xông dạ dày silicone Mepro (1200mm) lưu ống đến 30 ngày, dùng đưa dinh dưỡng, thuốc vào dạ dày hoặc hút dịch giảm áp. Ít phải thay ống, giảm tổn thương mũi họng; tiệt trùng EO.', '[Mepro] Dây xông dạ dày nuôi ăn silicone 30 ngày', 'PRODUCT-00225', 'BRAND-039', 'cái');</v>
      </c>
    </row>
    <row r="227" spans="1:8" ht="60" x14ac:dyDescent="0.25">
      <c r="A227" s="7" t="s">
        <v>787</v>
      </c>
      <c r="B227" s="1" t="s">
        <v>1613</v>
      </c>
      <c r="C227" s="1" t="s">
        <v>51</v>
      </c>
      <c r="D227" s="1" t="s">
        <v>106</v>
      </c>
      <c r="E227" s="1" t="s">
        <v>537</v>
      </c>
      <c r="F227" s="23" t="str">
        <f>IFERROR(INDEX(Brand!$A:$A,MATCH(TRIM(C227),Brand!$B:$B,0)),"NOT FOUND")</f>
        <v>BRAND-044</v>
      </c>
      <c r="G227" s="24" t="s">
        <v>1286</v>
      </c>
      <c r="H227" s="23" t="str">
        <f t="shared" si="3"/>
        <v>INSERT INTO medical_supply_product (active, category, description, name, code, brand_code, uom) VALUES (true, 'Sữa dinh dưỡng', 'Sữa Fortimel Power (Nutricia) giàu đạm, cao hơn 35% so với các sản phẩm thông thường, giúp người bệnh phục hồi nhanh. Phù hợp người sau mổ, người cao tuổi, người ốm cần bổ sung dinh dưỡng; dễ uống.', '[Nutricia] Sữa dinh dưỡng - Fortimel Power (335g)', 'PRODUCT-00226', 'BRAND-044', 'hộp');</v>
      </c>
    </row>
    <row r="228" spans="1:8" ht="60" x14ac:dyDescent="0.25">
      <c r="A228" s="7" t="s">
        <v>788</v>
      </c>
      <c r="B228" s="1" t="s">
        <v>1614</v>
      </c>
      <c r="C228" s="1" t="s">
        <v>51</v>
      </c>
      <c r="D228" s="1" t="s">
        <v>106</v>
      </c>
      <c r="E228" s="1" t="s">
        <v>538</v>
      </c>
      <c r="F228" s="23" t="str">
        <f>IFERROR(INDEX(Brand!$A:$A,MATCH(TRIM(C228),Brand!$B:$B,0)),"NOT FOUND")</f>
        <v>BRAND-044</v>
      </c>
      <c r="G228" s="25" t="s">
        <v>1278</v>
      </c>
      <c r="H228" s="23" t="str">
        <f t="shared" si="3"/>
        <v>INSERT INTO medical_supply_product (active, category, description, name, code, brand_code, uom) VALUES (true, 'Sữa dinh dưỡng', 'Sữa Forticare (Nutricia) dinh dưỡng chuyên biệt cho bệnh nhân ung thư, giúp ngăn ngừa và hỗ trợ điều trị sụt cân. Bổ sung năng lượng, vitamin, khoáng chất cho người suy kiệt, khó nhai nuốt, mới ốm dậy.', '[Nutricia] Sữa dinh dưỡng dành cho bệnh nhân ung thư - Forticare (125ml)', 'PRODUCT-00227', 'BRAND-044', 'chai');</v>
      </c>
    </row>
    <row r="229" spans="1:8" ht="60" x14ac:dyDescent="0.25">
      <c r="A229" s="7" t="s">
        <v>789</v>
      </c>
      <c r="B229" s="1" t="s">
        <v>1615</v>
      </c>
      <c r="C229" s="1" t="s">
        <v>51</v>
      </c>
      <c r="D229" s="1" t="s">
        <v>106</v>
      </c>
      <c r="E229" s="1" t="s">
        <v>539</v>
      </c>
      <c r="F229" s="23" t="str">
        <f>IFERROR(INDEX(Brand!$A:$A,MATCH(TRIM(C229),Brand!$B:$B,0)),"NOT FOUND")</f>
        <v>BRAND-044</v>
      </c>
      <c r="G229" s="24" t="s">
        <v>1285</v>
      </c>
      <c r="H229" s="23" t="str">
        <f t="shared" si="3"/>
        <v>INSERT INTO medical_supply_product (active, category, description, name, code, brand_code, uom) VALUES (true, 'Sữa dinh dưỡng', 'Sữa Nutrison (Nutricia) dạng nước dùng nuôi ăn qua ống thông dạ dày, cung cấp đủ dưỡng chất giúp duy trì năng lượng và phục hồi sức khỏe. Dùng 1 lần với dây nuôi ăn, hạn chế nhiễm khuẩn so với pha sữa bột.', '[Nutricia] Sữa dinh dưỡng nuôi ăn qua ống thông - Nutrison (1000ml)', 'PRODUCT-00228', 'BRAND-044', 'túi');</v>
      </c>
    </row>
    <row r="230" spans="1:8" ht="75" x14ac:dyDescent="0.25">
      <c r="A230" s="7" t="s">
        <v>790</v>
      </c>
      <c r="B230" s="1" t="s">
        <v>132</v>
      </c>
      <c r="C230" s="1" t="s">
        <v>60</v>
      </c>
      <c r="D230" s="1" t="s">
        <v>101</v>
      </c>
      <c r="E230" s="1" t="s">
        <v>540</v>
      </c>
      <c r="F230" s="23" t="str">
        <f>IFERROR(INDEX(Brand!$A:$A,MATCH(TRIM(C230),Brand!$B:$B,0)),"NOT FOUND")</f>
        <v>BRAND-054</v>
      </c>
      <c r="G230" s="25" t="s">
        <v>1274</v>
      </c>
      <c r="H230" s="23" t="str">
        <f t="shared" si="3"/>
        <v>INSERT INTO medical_supply_product (active, category, description, name, code, brand_code, uom) VALUES (true, 'Bộ mở thông dạ dày qua da', 'Bộ mở thông dạ dày qua da SeaSight bằng silicone, nuôi ăn qua thành bụng cho người tắc nghẽn tiêu hóa, tai biến, chấn thương đầu cổ. Ống 3 nòng: cổng bơm thức ăn, cổng bơm thuốc và cổng van bơm bóng cố định.', '[SeaSight] Bộ mở dạ dày qua da', 'PRODUCT-00229', 'BRAND-054', 'cái');</v>
      </c>
    </row>
    <row r="231" spans="1:8" ht="60" x14ac:dyDescent="0.25">
      <c r="A231" s="7" t="s">
        <v>791</v>
      </c>
      <c r="B231" s="1" t="s">
        <v>164</v>
      </c>
      <c r="C231" s="1" t="s">
        <v>60</v>
      </c>
      <c r="D231" s="1" t="s">
        <v>2316</v>
      </c>
      <c r="E231" s="1" t="s">
        <v>541</v>
      </c>
      <c r="F231" s="23" t="str">
        <f>IFERROR(INDEX(Brand!$A:$A,MATCH(TRIM(C231),Brand!$B:$B,0)),"NOT FOUND")</f>
        <v>BRAND-054</v>
      </c>
      <c r="G231" s="25" t="s">
        <v>1274</v>
      </c>
      <c r="H231" s="23" t="str">
        <f t="shared" si="3"/>
        <v>INSERT INTO medical_supply_product (active, category, description, name, code, brand_code, uom) VALUES (true, 'Ống thông nuôi ăn', 'Dây nuôi ăn mũi - dạ dày silicone Seasight (1000mm) lưu ống đến 29 ngày, dùng đưa dinh dưỡng, thuốc vào dạ dày hoặc rửa, giảm áp dạ dày. Ít phải thay ống, giảm tổn thương mũi họng; tiệt trùng EO.', '[SeaSight] Dây nuôi ăn mũi - dạ dày silicone dài ngày', 'PRODUCT-00230', 'BRAND-054', 'cái');</v>
      </c>
    </row>
    <row r="232" spans="1:8" ht="75" x14ac:dyDescent="0.25">
      <c r="A232" s="7" t="s">
        <v>792</v>
      </c>
      <c r="B232" s="1" t="s">
        <v>247</v>
      </c>
      <c r="C232" s="1" t="s">
        <v>65</v>
      </c>
      <c r="D232" s="1" t="s">
        <v>100</v>
      </c>
      <c r="E232" s="1" t="s">
        <v>542</v>
      </c>
      <c r="F232" s="23" t="str">
        <f>IFERROR(INDEX(Brand!$A:$A,MATCH(TRIM(C232),Brand!$B:$B,0)),"NOT FOUND")</f>
        <v>BRAND-060</v>
      </c>
      <c r="G232" s="24" t="s">
        <v>1274</v>
      </c>
      <c r="H232" s="23" t="str">
        <f t="shared" si="3"/>
        <v>INSERT INTO medical_supply_product (active, category, description, name, code, brand_code, uom) VALUES (true, 'Ống chẹn thực quản dạ dày', 'Ống chẹn thực quản - dạ dày Sengstaken-Blakemore (Teleflex RÜSCH) dùng cầm máu tạm thời khi chảy máu thực quản cấp (thường do xơ gan) trong lúc chờ điều trị triệt để. Ống 3–4 nòng có bóng chèn tại vị trí chảy máu ở thực quản hoặc dạ dày.', '[Teleflex] Ống chẹn thực quản, dạ dày - Sengstaken-Blakemore Tube', 'PRODUCT-00231', 'BRAND-060', 'cái');</v>
      </c>
    </row>
    <row r="233" spans="1:8" ht="60" x14ac:dyDescent="0.25">
      <c r="A233" s="7" t="s">
        <v>793</v>
      </c>
      <c r="B233" s="1" t="s">
        <v>1616</v>
      </c>
      <c r="C233" s="1" t="s">
        <v>72</v>
      </c>
      <c r="D233" s="1" t="s">
        <v>2321</v>
      </c>
      <c r="E233" s="1" t="s">
        <v>543</v>
      </c>
      <c r="F233" s="23" t="str">
        <f>IFERROR(INDEX(Brand!$A:$A,MATCH(TRIM(C233),Brand!$B:$B,0)),"NOT FOUND")</f>
        <v>BRAND-067</v>
      </c>
      <c r="G233" s="25" t="s">
        <v>1274</v>
      </c>
      <c r="H233" s="23" t="str">
        <f t="shared" si="3"/>
        <v>INSERT INTO medical_supply_product (active, category, description, name, code, brand_code, uom) VALUES (true, 'Bơm tiêm cho ăn', 'Bơm tiêm cho ăn 50cc Vinahankook dùng 1 lần, bơm thức ăn lỏng vào dạ dày qua ống thông cho trẻ sơ sinh và người không tự ăn được. Tiệt trùng EO, đóng gói từng chiếc.', '[Vinahankook] Bơm tiêm cho ăn sử dụng 1 lần - 50cc (50ml)', 'PRODUCT-00232', 'BRAND-067', 'cái');</v>
      </c>
    </row>
    <row r="234" spans="1:8" ht="60" x14ac:dyDescent="0.25">
      <c r="A234" s="7" t="s">
        <v>794</v>
      </c>
      <c r="B234" s="1" t="s">
        <v>110</v>
      </c>
      <c r="C234" s="1" t="s">
        <v>39</v>
      </c>
      <c r="D234" s="1" t="s">
        <v>2316</v>
      </c>
      <c r="E234" s="1" t="s">
        <v>544</v>
      </c>
      <c r="F234" s="23" t="str">
        <f>IFERROR(INDEX(Brand!$A:$A,MATCH(TRIM(C234),Brand!$B:$B,0)),"NOT FOUND")</f>
        <v>BRAND-031</v>
      </c>
      <c r="G234" s="25" t="s">
        <v>1274</v>
      </c>
      <c r="H234" s="23" t="str">
        <f t="shared" si="3"/>
        <v>INSERT INTO medical_supply_product (active, category, description, name, code, brand_code, uom) VALUES (true, 'Ống thông nuôi ăn', 'Dây nuôi ăn đầu nặng bằng 100% silicone y tế, lưu ống đến 30 ngày, dùng đưa dinh dưỡng, thuốc vào dạ dày hoặc rửa, giảm áp dạ dày. Ít phải thay ống, giảm tổn thương mũi họng; tiệt trùng EO.', 'Dây nuôi ăn đầu nặng silicon', 'PRODUCT-00233', 'BRAND-031', 'cái');</v>
      </c>
    </row>
    <row r="235" spans="1:8" ht="60" x14ac:dyDescent="0.25">
      <c r="A235" s="7" t="s">
        <v>795</v>
      </c>
      <c r="B235" s="1" t="s">
        <v>149</v>
      </c>
      <c r="C235" s="1" t="s">
        <v>40</v>
      </c>
      <c r="D235" s="1" t="s">
        <v>312</v>
      </c>
      <c r="E235" s="1" t="s">
        <v>545</v>
      </c>
      <c r="F235" s="23" t="str">
        <f>IFERROR(INDEX(Brand!$A:$A,MATCH(TRIM(C235),Brand!$B:$B,0)),"NOT FOUND")</f>
        <v>BRAND-032</v>
      </c>
      <c r="G235" s="25" t="s">
        <v>1275</v>
      </c>
      <c r="H235" s="23" t="str">
        <f t="shared" si="3"/>
        <v>INSERT INTO medical_supply_product (active, category, description, name, code, brand_code, uom) VALUES (true, 'Catheter chạy thận', 'Catheter chạy thận 2 nòng Lepu, đầu thẳng, bằng polyurethane vô trùng, tạo đường kết nối tạm thời giữa bệnh nhân và máy lọc máu khi lọc máu cấp, ngắn hạn. Dùng 1 lần; đạt ISO, CE.', '[Lepu Medical] Catheter chạy thận nhân tạo 2 nòng, đầu thẳng', 'PRODUCT-00234', 'BRAND-032', 'bộ');</v>
      </c>
    </row>
    <row r="236" spans="1:8" ht="75" x14ac:dyDescent="0.25">
      <c r="A236" s="7" t="s">
        <v>796</v>
      </c>
      <c r="B236" s="1" t="s">
        <v>150</v>
      </c>
      <c r="C236" s="1" t="s">
        <v>40</v>
      </c>
      <c r="D236" s="1" t="s">
        <v>312</v>
      </c>
      <c r="E236" s="1" t="s">
        <v>546</v>
      </c>
      <c r="F236" s="23" t="str">
        <f>IFERROR(INDEX(Brand!$A:$A,MATCH(TRIM(C236),Brand!$B:$B,0)),"NOT FOUND")</f>
        <v>BRAND-032</v>
      </c>
      <c r="G236" s="25" t="s">
        <v>1275</v>
      </c>
      <c r="H236" s="23" t="str">
        <f t="shared" si="3"/>
        <v>INSERT INTO medical_supply_product (active, category, description, name, code, brand_code, uom) VALUES (true, 'Catheter chạy thận', 'Catheter chạy thận 3 nòng Lepu, đầu thẳng, bằng polyurethane vô trùng, tạo đường kết nối tạm thời giữa bệnh nhân và máy lọc máu khi lọc máu cấp, ngắn hạn. Nòng thứ ba hỗ trợ truyền dịch, thuốc; dùng 1 lần, đạt ISO, CE.', '[Lepu Medical] Catheter chạy thận nhân tạo 3 nòng, đầu thẳng', 'PRODUCT-00235', 'BRAND-032', 'bộ');</v>
      </c>
    </row>
    <row r="237" spans="1:8" ht="60" x14ac:dyDescent="0.25">
      <c r="A237" s="7" t="s">
        <v>797</v>
      </c>
      <c r="B237" s="1" t="s">
        <v>1617</v>
      </c>
      <c r="C237" s="1" t="s">
        <v>46</v>
      </c>
      <c r="D237" s="1" t="s">
        <v>2326</v>
      </c>
      <c r="E237" s="1" t="s">
        <v>547</v>
      </c>
      <c r="F237" s="23" t="str">
        <f>IFERROR(INDEX(Brand!$A:$A,MATCH(TRIM(C237),Brand!$B:$B,0)),"NOT FOUND")</f>
        <v>BRAND-038</v>
      </c>
      <c r="G237" s="25" t="s">
        <v>1274</v>
      </c>
      <c r="H237" s="23" t="str">
        <f t="shared" si="3"/>
        <v>INSERT INTO medical_supply_product (active, category, description, name, code, brand_code, uom) VALUES (true, 'Phụ kiện máy bơm insulin', 'Bình chứa insulin Medtronic MiniMed Reservoir MMT-332A (3ml, tối đa 300 đơn vị U100) cho máy bơm MiniMed Paradigm 715 và 640G. Kết nối với dây truyền Quick-Set MMT-387, 398, 399.', '[Medtronic] Bình chứa insulin - MiniMed Reservoir 3.0ml MMT-332A (3ml)', 'PRODUCT-00236', 'BRAND-038', 'cái');</v>
      </c>
    </row>
    <row r="238" spans="1:8" ht="60" x14ac:dyDescent="0.25">
      <c r="A238" s="7" t="s">
        <v>798</v>
      </c>
      <c r="B238" s="1" t="s">
        <v>127</v>
      </c>
      <c r="C238" s="1" t="s">
        <v>46</v>
      </c>
      <c r="D238" s="1" t="s">
        <v>2295</v>
      </c>
      <c r="E238" s="1" t="s">
        <v>548</v>
      </c>
      <c r="F238" s="23" t="str">
        <f>IFERROR(INDEX(Brand!$A:$A,MATCH(TRIM(C238),Brand!$B:$B,0)),"NOT FOUND")</f>
        <v>BRAND-038</v>
      </c>
      <c r="G238" s="25" t="s">
        <v>1274</v>
      </c>
      <c r="H238" s="23" t="str">
        <f t="shared" si="3"/>
        <v>INSERT INTO medical_supply_product (active, category, description, name, code, brand_code, uom) VALUES (true, 'Hệ thống đo đường huyết liên tục (CGM)', 'Dụng cụ One-Press Serter (Medtronic) giúp gắn cảm biến CGM Guardian™ Sensor 3 lên da nhanh và dễ chỉ bằng một nút ấn. Phụ kiện của hệ thống Guardian™ Connect; bán riêng.', '[Medtronic] Bộ dụng cụ gắn cảm biến đo đường huyết liên tục - One-Press Serter', 'PRODUCT-00237', 'BRAND-038', 'cái');</v>
      </c>
    </row>
    <row r="239" spans="1:8" ht="60" x14ac:dyDescent="0.25">
      <c r="A239" s="7" t="s">
        <v>799</v>
      </c>
      <c r="B239" s="1" t="s">
        <v>128</v>
      </c>
      <c r="C239" s="1" t="s">
        <v>46</v>
      </c>
      <c r="D239" s="1" t="s">
        <v>2326</v>
      </c>
      <c r="E239" s="1" t="s">
        <v>549</v>
      </c>
      <c r="F239" s="23" t="str">
        <f>IFERROR(INDEX(Brand!$A:$A,MATCH(TRIM(C239),Brand!$B:$B,0)),"NOT FOUND")</f>
        <v>BRAND-038</v>
      </c>
      <c r="G239" s="25" t="s">
        <v>1274</v>
      </c>
      <c r="H239" s="23" t="str">
        <f t="shared" si="3"/>
        <v>INSERT INTO medical_supply_product (active, category, description, name, code, brand_code, uom) VALUES (true, 'Phụ kiện máy bơm insulin', 'Dụng cụ Quick-Serter (Medtronic) giúp gắn cổng tiêm của dây truyền insulin vào da nhanh và dễ bằng một nút ấn. Dùng với dây truyền Paradigm Quick-Set MMT-387, 398, 399.', '[Medtronic] Bộ dụng cụ gắn cổng tiêm insulin - Quick-Serter', 'PRODUCT-00238', 'BRAND-038', 'cái');</v>
      </c>
    </row>
    <row r="240" spans="1:8" ht="60" x14ac:dyDescent="0.25">
      <c r="A240" s="7" t="s">
        <v>800</v>
      </c>
      <c r="B240" s="1" t="s">
        <v>167</v>
      </c>
      <c r="C240" s="1" t="s">
        <v>46</v>
      </c>
      <c r="D240" s="1" t="s">
        <v>2326</v>
      </c>
      <c r="E240" s="1" t="s">
        <v>550</v>
      </c>
      <c r="F240" s="23" t="str">
        <f>IFERROR(INDEX(Brand!$A:$A,MATCH(TRIM(C240),Brand!$B:$B,0)),"NOT FOUND")</f>
        <v>BRAND-038</v>
      </c>
      <c r="G240" s="25" t="s">
        <v>1274</v>
      </c>
      <c r="H240" s="23" t="str">
        <f t="shared" si="3"/>
        <v>INSERT INTO medical_supply_product (active, category, description, name, code, brand_code, uom) VALUES (true, 'Phụ kiện máy bơm insulin', 'Dây truyền insulin Medtronic Paradigm Quick-Set MMT-397, một đầu gắn dưới da, một đầu nối bình chứa insulin. Dùng cho máy bơm MiniMed Paradigm 715 và 640G.', '[Medtronic] Dây truyền insulin - Paradigm Quick Set Infusion', 'PRODUCT-00239', 'BRAND-038', 'cái');</v>
      </c>
    </row>
    <row r="241" spans="1:8" ht="75" x14ac:dyDescent="0.25">
      <c r="A241" s="7" t="s">
        <v>801</v>
      </c>
      <c r="B241" s="1" t="s">
        <v>199</v>
      </c>
      <c r="C241" s="1" t="s">
        <v>46</v>
      </c>
      <c r="D241" s="1" t="s">
        <v>2324</v>
      </c>
      <c r="E241" s="1" t="s">
        <v>551</v>
      </c>
      <c r="F241" s="23" t="str">
        <f>IFERROR(INDEX(Brand!$A:$A,MATCH(TRIM(C241),Brand!$B:$B,0)),"NOT FOUND")</f>
        <v>BRAND-038</v>
      </c>
      <c r="G241" s="25" t="s">
        <v>1274</v>
      </c>
      <c r="H241" s="23" t="str">
        <f t="shared" si="3"/>
        <v>INSERT INTO medical_supply_product (active, category, description, name, code, brand_code, uom) VALUES (true, 'Máy bơm insulin', 'Máy bơm insulin tự động Medtronic MiniMed 640G kết hợp đo đường huyết liên tục (CGM), tự điều chỉnh liều insulin theo đường huyết. Công nghệ SmartGuard mô phỏng tuyến tụy, dành cho người tiểu đường phụ thuộc insulin.', '[Medtronic] Máy bơm insulin tự động - MiniMed 640G Black MMOL', 'PRODUCT-00240', 'BRAND-038', 'cái');</v>
      </c>
    </row>
    <row r="242" spans="1:8" ht="60" x14ac:dyDescent="0.25">
      <c r="A242" s="7" t="s">
        <v>802</v>
      </c>
      <c r="B242" s="1" t="s">
        <v>200</v>
      </c>
      <c r="C242" s="1" t="s">
        <v>46</v>
      </c>
      <c r="D242" s="1" t="s">
        <v>2324</v>
      </c>
      <c r="E242" s="1" t="s">
        <v>552</v>
      </c>
      <c r="F242" s="23" t="str">
        <f>IFERROR(INDEX(Brand!$A:$A,MATCH(TRIM(C242),Brand!$B:$B,0)),"NOT FOUND")</f>
        <v>BRAND-038</v>
      </c>
      <c r="G242" s="25" t="s">
        <v>1274</v>
      </c>
      <c r="H242" s="23" t="str">
        <f t="shared" si="3"/>
        <v>INSERT INTO medical_supply_product (active, category, description, name, code, brand_code, uom) VALUES (true, 'Máy bơm insulin', 'Máy bơm insulin tự động Medtronic MiniMed Paradigm 715 cung cấp insulin liên tục 24 giờ theo liều cơ bản cài đặt, tốc độ ổn định và chính xác. Dành cho người tiểu đường phụ thuộc insulin.', '[Medtronic] Máy bơm insulin tự động - MiniMed Paradigm 715', 'PRODUCT-00241', 'BRAND-038', 'cái');</v>
      </c>
    </row>
    <row r="243" spans="1:8" ht="60" x14ac:dyDescent="0.25">
      <c r="A243" s="7" t="s">
        <v>803</v>
      </c>
      <c r="B243" s="1" t="s">
        <v>188</v>
      </c>
      <c r="C243" s="1" t="s">
        <v>57</v>
      </c>
      <c r="D243" s="1" t="s">
        <v>97</v>
      </c>
      <c r="E243" s="1" t="s">
        <v>553</v>
      </c>
      <c r="F243" s="23" t="str">
        <f>IFERROR(INDEX(Brand!$A:$A,MATCH(TRIM(C243),Brand!$B:$B,0)),"NOT FOUND")</f>
        <v>BRAND-051</v>
      </c>
      <c r="G243" s="24" t="s">
        <v>1274</v>
      </c>
      <c r="H243" s="23" t="str">
        <f t="shared" si="3"/>
        <v>INSERT INTO medical_supply_product (active, category, description, name, code, brand_code, uom) VALUES (true, 'Khẩu trang y tế', 'Khẩu trang N95 Nask dùng sợi Nanofiber, lọc trên 95% vi khuẩn và bụi mịn PM2.5 theo tiêu chuẩn N95 (NIOSH). Siêu mỏng, nhẹ, thoáng khí; đạt giải vàng sáng chế Geneva 2017.', '[Profit Royal] Khẩu trang y tế N95 sợi Nanofiber - Nask', 'PRODUCT-00242', 'BRAND-051', 'cái');</v>
      </c>
    </row>
    <row r="244" spans="1:8" ht="60" x14ac:dyDescent="0.25">
      <c r="A244" s="7" t="s">
        <v>804</v>
      </c>
      <c r="B244" s="1" t="s">
        <v>1618</v>
      </c>
      <c r="C244" s="1" t="s">
        <v>59</v>
      </c>
      <c r="D244" s="1" t="s">
        <v>2330</v>
      </c>
      <c r="E244" s="1" t="s">
        <v>554</v>
      </c>
      <c r="F244" s="23" t="str">
        <f>IFERROR(INDEX(Brand!$A:$A,MATCH(TRIM(C244),Brand!$B:$B,0)),"NOT FOUND")</f>
        <v>BRAND-053</v>
      </c>
      <c r="G244" s="25" t="s">
        <v>1281</v>
      </c>
      <c r="H244" s="23" t="str">
        <f t="shared" si="3"/>
        <v>INSERT INTO medical_supply_product (active, category, description, name, code, brand_code, uom) VALUES (true, 'Kim chích máu', 'Thiết bị lấy máu tích hợp kim Accu-Chek Safe-T-Pro Uno (Roche) dùng chích máu mao mạch đầu ngón tay, vô trùng, dùng 1 lần. Trẻ dưới 1 tuổi lấy máu gót chân do nhân viên y tế thực hiện; đạt CE.', '[Roche] Thiết bị lấy máu tích hợp kim - Accu-Chek Safe-T-Pro Uno (Ø0.36mm)', 'PRODUCT-00243', 'BRAND-053', 'chiếc');</v>
      </c>
    </row>
    <row r="245" spans="1:8" ht="45" x14ac:dyDescent="0.25">
      <c r="A245" s="7" t="s">
        <v>805</v>
      </c>
      <c r="B245" s="1" t="s">
        <v>190</v>
      </c>
      <c r="C245" s="1" t="s">
        <v>61</v>
      </c>
      <c r="D245" s="1" t="s">
        <v>2330</v>
      </c>
      <c r="E245" s="1" t="s">
        <v>555</v>
      </c>
      <c r="F245" s="23" t="str">
        <f>IFERROR(INDEX(Brand!$A:$A,MATCH(TRIM(C245),Brand!$B:$B,0)),"NOT FOUND")</f>
        <v>BRAND-055</v>
      </c>
      <c r="G245" s="25" t="s">
        <v>1287</v>
      </c>
      <c r="H245" s="23" t="str">
        <f t="shared" si="3"/>
        <v>INSERT INTO medical_supply_product (active, category, description, name, code, brand_code, uom) VALUES (true, 'Kim chích máu', 'Kim chích máu Sinodraw 4 cạnh dùng lấy máu mao mạch đầu ngón tay nhẹ nhàng, đơn giản. Dùng kèm máy đo đường huyết Sinocare Safe-Accu.', '[Sinocare] Kim chích máu - Sinodraw', 'PRODUCT-00244', 'BRAND-055', 'kim');</v>
      </c>
    </row>
    <row r="246" spans="1:8" ht="45" x14ac:dyDescent="0.25">
      <c r="A246" s="7" t="s">
        <v>806</v>
      </c>
      <c r="B246" s="1" t="s">
        <v>1619</v>
      </c>
      <c r="C246" s="1" t="s">
        <v>63</v>
      </c>
      <c r="D246" s="1" t="s">
        <v>2328</v>
      </c>
      <c r="E246" s="1" t="s">
        <v>556</v>
      </c>
      <c r="F246" s="23" t="str">
        <f>IFERROR(INDEX(Brand!$A:$A,MATCH(TRIM(C246),Brand!$B:$B,0)),"NOT FOUND")</f>
        <v>BRAND-058</v>
      </c>
      <c r="G246" s="25" t="s">
        <v>1274</v>
      </c>
      <c r="H246" s="23" t="str">
        <f t="shared" si="3"/>
        <v>INSERT INTO medical_supply_product (active, category, description, name, code, brand_code, uom) VALUES (true, 'Bơm tiêm insulin', 'Bơm tiêm insulin SungShim (Hàn Quốc) 0,5ml, kim ngắn siêu mỏng giúp giảm đau khi tiêm. Kim liền xi lanh tránh hao thuốc; được nhiều bệnh viện tin dùng.', '[SungShim] Bơm tiêm insulin (0.5ml)', 'PRODUCT-00245', 'BRAND-058', 'cái');</v>
      </c>
    </row>
    <row r="247" spans="1:8" ht="45" x14ac:dyDescent="0.25">
      <c r="A247" s="7" t="s">
        <v>807</v>
      </c>
      <c r="B247" s="1" t="s">
        <v>144</v>
      </c>
      <c r="C247" s="1" t="s">
        <v>72</v>
      </c>
      <c r="D247" s="1" t="s">
        <v>2328</v>
      </c>
      <c r="E247" s="1" t="s">
        <v>557</v>
      </c>
      <c r="F247" s="23" t="str">
        <f>IFERROR(INDEX(Brand!$A:$A,MATCH(TRIM(C247),Brand!$B:$B,0)),"NOT FOUND")</f>
        <v>BRAND-067</v>
      </c>
      <c r="G247" s="25" t="s">
        <v>1274</v>
      </c>
      <c r="H247" s="23" t="str">
        <f t="shared" si="3"/>
        <v>INSERT INTO medical_supply_product (active, category, description, name, code, brand_code, uom) VALUES (true, 'Bơm tiêm insulin', 'Bơm tiêm insulin Vinahankook 1ml U100 dùng 1 lần, sản xuất theo công nghệ Hàn Quốc, vô trùng, không độc. Kim sắc mỏng, tiêm dễ, ít đau; đạt ISO 13485, GMP.', '[Vinahankook] Bơm tiêm insulin sử dụng 1 lần - 1ml U100', 'PRODUCT-00246', 'BRAND-067', 'cái');</v>
      </c>
    </row>
    <row r="248" spans="1:8" ht="60" x14ac:dyDescent="0.25">
      <c r="A248" s="7" t="s">
        <v>808</v>
      </c>
      <c r="B248" s="1" t="s">
        <v>166</v>
      </c>
      <c r="C248" s="1" t="s">
        <v>75</v>
      </c>
      <c r="D248" s="1" t="s">
        <v>2332</v>
      </c>
      <c r="E248" s="1" t="s">
        <v>558</v>
      </c>
      <c r="F248" s="23" t="str">
        <f>IFERROR(INDEX(Brand!$A:$A,MATCH(TRIM(C248),Brand!$B:$B,0)),"NOT FOUND")</f>
        <v>BRAND-070</v>
      </c>
      <c r="G248" s="25" t="s">
        <v>1275</v>
      </c>
      <c r="H248" s="23" t="str">
        <f t="shared" si="3"/>
        <v>INSERT INTO medical_supply_product (active, category, description, name, code, brand_code, uom) VALUES (true, 'Dây truyền dịch', 'Dây truyền dịch WELCARE IF6006 loại 60 giọt, không kim, có bộ điều chỉnh giọt chính xác và màng lọc khuẩn. Giảm công theo dõi, điều chỉnh; tiệt trùng EO, đóng gói riêng.', '[Welford] Dây truyền dịch đếm giọt - WELCARE IF6006', 'PRODUCT-00247', 'BRAND-070', 'bộ');</v>
      </c>
    </row>
    <row r="249" spans="1:8" ht="60" x14ac:dyDescent="0.25">
      <c r="A249" s="7" t="s">
        <v>809</v>
      </c>
      <c r="B249" s="1" t="s">
        <v>1620</v>
      </c>
      <c r="C249" s="1" t="s">
        <v>78</v>
      </c>
      <c r="D249" s="1" t="s">
        <v>2241</v>
      </c>
      <c r="E249" s="1" t="s">
        <v>559</v>
      </c>
      <c r="F249" s="23" t="str">
        <f>IFERROR(INDEX(Brand!$A:$A,MATCH(TRIM(C249),Brand!$B:$B,0)),"NOT FOUND")</f>
        <v>BRAND-073</v>
      </c>
      <c r="G249" s="25" t="s">
        <v>1276</v>
      </c>
      <c r="H249" s="23" t="str">
        <f t="shared" si="3"/>
        <v>INSERT INTO medical_supply_product (active, category, description, name, code, brand_code, uom) VALUES (true, 'Băng keo cố định kim luồn', 'Băng keo cố định kim luồn có gạc Wound-IV (6x7cm) nền vải không dệt, rãnh chữ V giúp cố định kim luồn, ống thông chắc chắn. Gạc thấm hút, mềm, thoáng, an toàn cho da nhạy cảm.', '[Young Chemical Vina] Băng keo cố định kim luồn có gạc - Wound - IV (6cmx7cm)', 'PRODUCT-00248', 'BRAND-073', 'miếng');</v>
      </c>
    </row>
    <row r="250" spans="1:8" ht="60" x14ac:dyDescent="0.25">
      <c r="A250" s="7" t="s">
        <v>810</v>
      </c>
      <c r="B250" s="1" t="s">
        <v>1621</v>
      </c>
      <c r="C250" s="1" t="s">
        <v>78</v>
      </c>
      <c r="D250" s="1" t="s">
        <v>2241</v>
      </c>
      <c r="E250" s="1" t="s">
        <v>560</v>
      </c>
      <c r="F250" s="23" t="str">
        <f>IFERROR(INDEX(Brand!$A:$A,MATCH(TRIM(C250),Brand!$B:$B,0)),"NOT FOUND")</f>
        <v>BRAND-073</v>
      </c>
      <c r="G250" s="25" t="s">
        <v>1276</v>
      </c>
      <c r="H250" s="23" t="str">
        <f t="shared" si="3"/>
        <v>INSERT INTO medical_supply_product (active, category, description, name, code, brand_code, uom) VALUES (true, 'Băng keo cố định kim luồn', 'Băng keo cố định kim luồn Adflex-IV (5,1x6cm) bằng PU trong suốt, không thấm nước, không gạc, rãnh chữ V giữ kim luồn, ống truyền chắc chắn. Dễ quan sát vùng dán; góc bo tròn tránh bong mép.', '[Young Chemical Vina] Băng keo cố định kim luồn không thấm nước không gạc - Adflex - IV (5.1cmx6cm)', 'PRODUCT-00249', 'BRAND-073', 'miếng');</v>
      </c>
    </row>
    <row r="251" spans="1:8" ht="60" x14ac:dyDescent="0.25">
      <c r="A251" s="7" t="s">
        <v>1474</v>
      </c>
      <c r="B251" s="1" t="s">
        <v>1475</v>
      </c>
      <c r="C251" s="1" t="s">
        <v>78</v>
      </c>
      <c r="D251" s="1" t="s">
        <v>2208</v>
      </c>
      <c r="E251" s="1" t="s">
        <v>320</v>
      </c>
      <c r="F251" s="23" t="str">
        <f>IFERROR(INDEX(Brand!$A:$A,MATCH(TRIM(C251),Brand!$B:$B,0)),"NOT FOUND")</f>
        <v>BRAND-073</v>
      </c>
      <c r="G251" s="25" t="s">
        <v>1276</v>
      </c>
      <c r="H251" s="23" t="str">
        <f t="shared" si="3"/>
        <v>INSERT INTO medical_supply_product (active, category, description, name, code, brand_code, uom) VALUES (true, 'Miếng dán mụn', 'Miếng dán mụn Somaderm Spot chứa hydrocolloid giúp hút dịch mủ, nhân mụn, kháng khuẩn và hạn chế sẹo thâm. Miếng tròn nhỏ, cùng màu da, chống nước, dùng được cho mọi loại da.', '[Young Chemical Vina] Miếng dán mụn - Somaderm Spot (24 miếng)', 'PRODUCT-00250', 'BRAND-073', 'miếng');</v>
      </c>
    </row>
    <row r="252" spans="1:8" ht="60" x14ac:dyDescent="0.25">
      <c r="A252" s="7" t="s">
        <v>1476</v>
      </c>
      <c r="B252" s="1" t="s">
        <v>1477</v>
      </c>
      <c r="C252" s="1" t="s">
        <v>78</v>
      </c>
      <c r="D252" s="1" t="s">
        <v>2208</v>
      </c>
      <c r="E252" s="1" t="s">
        <v>320</v>
      </c>
      <c r="F252" s="23" t="str">
        <f>IFERROR(INDEX(Brand!$A:$A,MATCH(TRIM(C252),Brand!$B:$B,0)),"NOT FOUND")</f>
        <v>BRAND-073</v>
      </c>
      <c r="G252" s="25" t="s">
        <v>1276</v>
      </c>
      <c r="H252" s="23" t="str">
        <f t="shared" si="3"/>
        <v>INSERT INTO medical_supply_product (active, category, description, name, code, brand_code, uom) VALUES (true, 'Miếng dán mụn', 'Miếng dán mụn Somaderm Spot chứa hydrocolloid giúp hút dịch mủ, nhân mụn, kháng khuẩn và hạn chế sẹo thâm. Miếng tròn nhỏ, cùng màu da, chống nước, dùng được cho mọi loại da.', '[Young Chemical Vina] Miếng dán mụn - Somaderm Spot (18 miếng)', 'PRODUCT-00251', 'BRAND-073', 'miếng');</v>
      </c>
    </row>
    <row r="253" spans="1:8" ht="60" x14ac:dyDescent="0.25">
      <c r="A253" s="7" t="s">
        <v>1479</v>
      </c>
      <c r="B253" s="1" t="s">
        <v>1480</v>
      </c>
      <c r="C253" s="1" t="s">
        <v>11</v>
      </c>
      <c r="D253" s="1" t="s">
        <v>307</v>
      </c>
      <c r="E253" s="1" t="s">
        <v>324</v>
      </c>
      <c r="F253" s="23" t="str">
        <f>IFERROR(INDEX(Brand!$A:$A,MATCH(TRIM(C253),Brand!$B:$B,0)),"NOT FOUND")</f>
        <v>BRAND-001</v>
      </c>
      <c r="G253" s="25" t="s">
        <v>1277</v>
      </c>
      <c r="H253" s="23" t="str">
        <f t="shared" si="3"/>
        <v>INSERT INTO medical_supply_product (active, category, description, name, code, brand_code, uom) VALUES (true, 'Miếng dán khép miệng vết thương', 'Miếng dán 3M™ Steri-Strip™ thay chỉ khâu hoặc kim bấm da, giúp khép miệng vết thương sau phẫu thuật, tiểu phẫu hoặc vết rách do chấn thương. Không xâm lấn, thao tác dễ, hạn chế giãn sẹo.', '[3M™] Miếng dán vết thương thay chỉ khâu - STERI-STRIP™ (6mmx100mm)', 'PRODUCT-00252', 'BRAND-001', 'sợi');</v>
      </c>
    </row>
    <row r="254" spans="1:8" ht="60" x14ac:dyDescent="0.25">
      <c r="A254" s="7" t="s">
        <v>1481</v>
      </c>
      <c r="B254" s="1" t="s">
        <v>1482</v>
      </c>
      <c r="C254" s="1" t="s">
        <v>11</v>
      </c>
      <c r="D254" s="1" t="s">
        <v>307</v>
      </c>
      <c r="E254" s="1" t="s">
        <v>324</v>
      </c>
      <c r="F254" s="23" t="str">
        <f>IFERROR(INDEX(Brand!$A:$A,MATCH(TRIM(C254),Brand!$B:$B,0)),"NOT FOUND")</f>
        <v>BRAND-001</v>
      </c>
      <c r="G254" s="25" t="s">
        <v>1277</v>
      </c>
      <c r="H254" s="23" t="str">
        <f t="shared" si="3"/>
        <v>INSERT INTO medical_supply_product (active, category, description, name, code, brand_code, uom) VALUES (true, 'Miếng dán khép miệng vết thương', 'Miếng dán 3M™ Steri-Strip™ thay chỉ khâu hoặc kim bấm da, giúp khép miệng vết thương sau phẫu thuật, tiểu phẫu hoặc vết rách do chấn thương. Không xâm lấn, thao tác dễ, hạn chế giãn sẹo.', '[3M™] Miếng dán vết thương thay chỉ khâu - STERI-STRIP™ (12mmx100mm)', 'PRODUCT-00253', 'BRAND-001', 'sợi');</v>
      </c>
    </row>
    <row r="255" spans="1:8" ht="75" x14ac:dyDescent="0.25">
      <c r="A255" s="7" t="s">
        <v>1483</v>
      </c>
      <c r="B255" s="1" t="s">
        <v>1484</v>
      </c>
      <c r="C255" s="1" t="s">
        <v>23</v>
      </c>
      <c r="D255" s="1" t="s">
        <v>2219</v>
      </c>
      <c r="E255" s="1" t="s">
        <v>326</v>
      </c>
      <c r="F255" s="23" t="str">
        <f>IFERROR(INDEX(Brand!$A:$A,MATCH(TRIM(C255),Brand!$B:$B,0)),"NOT FOUND")</f>
        <v>BRAND-011</v>
      </c>
      <c r="G255" s="25" t="s">
        <v>1276</v>
      </c>
      <c r="H255" s="23" t="str">
        <f t="shared" si="3"/>
        <v>INSERT INTO medical_supply_product (active, category, description, name, code, brand_code, uom) VALUES (true, 'Băng dán hydrocolloid', 'Băng dán hydrocolloid DuoDerm Extra Thin (10x10cm) cho vết thương tiết dịch ít đến trung bình, tạo môi trường ẩm giúp mau lành và hạn chế sẹo. Không dính vết thương khi tháo, chống nước tốt, lưu băng đến 7 ngày.', '[ConvaTec] Băng dán vết thương - DuoDerm Extra Thin (5cmx20cm)', 'PRODUCT-00254', 'BRAND-011', 'miếng');</v>
      </c>
    </row>
    <row r="256" spans="1:8" ht="75" x14ac:dyDescent="0.25">
      <c r="A256" s="7" t="s">
        <v>1485</v>
      </c>
      <c r="B256" s="1" t="s">
        <v>1486</v>
      </c>
      <c r="C256" s="1" t="s">
        <v>23</v>
      </c>
      <c r="D256" s="1" t="s">
        <v>2219</v>
      </c>
      <c r="E256" s="1" t="s">
        <v>326</v>
      </c>
      <c r="F256" s="23" t="str">
        <f>IFERROR(INDEX(Brand!$A:$A,MATCH(TRIM(C256),Brand!$B:$B,0)),"NOT FOUND")</f>
        <v>BRAND-011</v>
      </c>
      <c r="G256" s="25" t="s">
        <v>1276</v>
      </c>
      <c r="H256" s="23" t="str">
        <f t="shared" si="3"/>
        <v>INSERT INTO medical_supply_product (active, category, description, name, code, brand_code, uom) VALUES (true, 'Băng dán hydrocolloid', 'Băng dán hydrocolloid DuoDerm Extra Thin (10x10cm) cho vết thương tiết dịch ít đến trung bình, tạo môi trường ẩm giúp mau lành và hạn chế sẹo. Không dính vết thương khi tháo, chống nước tốt, lưu băng đến 7 ngày.', '[ConvaTec] Băng dán vết thương - DuoDerm Extra Thin (5cmx10cm)', 'PRODUCT-00255', 'BRAND-011', 'miếng');</v>
      </c>
    </row>
    <row r="257" spans="1:8" ht="60" x14ac:dyDescent="0.25">
      <c r="A257" s="7" t="s">
        <v>1487</v>
      </c>
      <c r="B257" s="1" t="s">
        <v>1488</v>
      </c>
      <c r="C257" s="1" t="s">
        <v>27</v>
      </c>
      <c r="D257" s="1" t="s">
        <v>2221</v>
      </c>
      <c r="E257" s="1" t="s">
        <v>327</v>
      </c>
      <c r="F257" s="23" t="str">
        <f>IFERROR(INDEX(Brand!$A:$A,MATCH(TRIM(C257),Brand!$B:$B,0)),"NOT FOUND")</f>
        <v>BRAND-015</v>
      </c>
      <c r="G257" s="25" t="s">
        <v>1279</v>
      </c>
      <c r="H257" s="23" t="str">
        <f t="shared" si="3"/>
        <v>INSERT INTO medical_supply_product (active, category, description, name, code, brand_code, uom) VALUES (true, 'Gel bôi vết thương', 'Gel Okuskin (Cộng hòa Séc) giúp vết thương hở mau lành, tái tạo da, hạn chế sẹo và thâm. Dùng cho bỏng, trầy xước, nứt da, vết mổ; chiết xuất thảo dược, được nhiều bệnh viện lớn sử dụng.', '[Dr.Muller Pharma] Gel bôi vết thương hở - Okuskin (30g)', 'PRODUCT-00256', 'BRAND-015', 'tuýp');</v>
      </c>
    </row>
    <row r="258" spans="1:8" ht="60" x14ac:dyDescent="0.25">
      <c r="A258" s="7" t="s">
        <v>1495</v>
      </c>
      <c r="B258" s="1" t="s">
        <v>1496</v>
      </c>
      <c r="C258" s="1" t="s">
        <v>60</v>
      </c>
      <c r="D258" s="1" t="s">
        <v>307</v>
      </c>
      <c r="E258" s="1" t="s">
        <v>331</v>
      </c>
      <c r="F258" s="23" t="str">
        <f>IFERROR(INDEX(Brand!$A:$A,MATCH(TRIM(C258),Brand!$B:$B,0)),"NOT FOUND")</f>
        <v>BRAND-054</v>
      </c>
      <c r="G258" s="25" t="s">
        <v>1277</v>
      </c>
      <c r="H258" s="23" t="str">
        <f t="shared" si="3"/>
        <v>INSERT INTO medical_supply_product (active, category, description, name, code, brand_code, uom) VALUES (true, 'Miếng dán khép miệng vết thương', 'Miếng dán Seasight thay chỉ khâu hoặc kim bấm da, giúp khép miệng vết thương sau phẫu thuật, tiểu phẫu hoặc vết rách do chấn thương. Không xâm lấn, thao tác dễ, hạn chế giãn sẹo.', '[SeaSight] Miếng dán vết thương thay chỉ khâu (6mmx38mm)', 'PRODUCT-00257', 'BRAND-054', 'sợi');</v>
      </c>
    </row>
    <row r="259" spans="1:8" ht="60" x14ac:dyDescent="0.25">
      <c r="A259" s="7" t="s">
        <v>1497</v>
      </c>
      <c r="B259" s="1" t="s">
        <v>1498</v>
      </c>
      <c r="C259" s="1" t="s">
        <v>60</v>
      </c>
      <c r="D259" s="1" t="s">
        <v>307</v>
      </c>
      <c r="E259" s="1" t="s">
        <v>331</v>
      </c>
      <c r="F259" s="23" t="str">
        <f>IFERROR(INDEX(Brand!$A:$A,MATCH(TRIM(C259),Brand!$B:$B,0)),"NOT FOUND")</f>
        <v>BRAND-054</v>
      </c>
      <c r="G259" s="25" t="s">
        <v>1277</v>
      </c>
      <c r="H259" s="23" t="str">
        <f t="shared" ref="H259:H301" si="4">"INSERT INTO medical_supply_product (active, category, description, name, code, brand_code, uom) VALUES (true, '"&amp;SUBSTITUTE(D259,"'","''")&amp;"', '"&amp;SUBSTITUTE(E259,"'","''")&amp;"', '"&amp;SUBSTITUTE(B259,"'","''")&amp;"', '"&amp;SUBSTITUTE(A259,"'","''")&amp;"', '"&amp;SUBSTITUTE(F259,"'","''")&amp;"', '"&amp;SUBSTITUTE(G259,"'","''")&amp;"');"</f>
        <v>INSERT INTO medical_supply_product (active, category, description, name, code, brand_code, uom) VALUES (true, 'Miếng dán khép miệng vết thương', 'Miếng dán Seasight thay chỉ khâu hoặc kim bấm da, giúp khép miệng vết thương sau phẫu thuật, tiểu phẫu hoặc vết rách do chấn thương. Không xâm lấn, thao tác dễ, hạn chế giãn sẹo.', '[SeaSight] Miếng dán vết thương thay chỉ khâu (6mmx100mm)', 'PRODUCT-00258', 'BRAND-054', 'sợi');</v>
      </c>
    </row>
    <row r="260" spans="1:8" ht="60" x14ac:dyDescent="0.25">
      <c r="A260" s="7" t="s">
        <v>1499</v>
      </c>
      <c r="B260" s="1" t="s">
        <v>1500</v>
      </c>
      <c r="C260" s="1" t="s">
        <v>60</v>
      </c>
      <c r="D260" s="1" t="s">
        <v>307</v>
      </c>
      <c r="E260" s="1" t="s">
        <v>331</v>
      </c>
      <c r="F260" s="23" t="str">
        <f>IFERROR(INDEX(Brand!$A:$A,MATCH(TRIM(C260),Brand!$B:$B,0)),"NOT FOUND")</f>
        <v>BRAND-054</v>
      </c>
      <c r="G260" s="25" t="s">
        <v>1277</v>
      </c>
      <c r="H260" s="23" t="str">
        <f t="shared" si="4"/>
        <v>INSERT INTO medical_supply_product (active, category, description, name, code, brand_code, uom) VALUES (true, 'Miếng dán khép miệng vết thương', 'Miếng dán Seasight thay chỉ khâu hoặc kim bấm da, giúp khép miệng vết thương sau phẫu thuật, tiểu phẫu hoặc vết rách do chấn thương. Không xâm lấn, thao tác dễ, hạn chế giãn sẹo.', '[SeaSight] Miếng dán vết thương thay chỉ khâu (12mmx100mm)', 'PRODUCT-00259', 'BRAND-054', 'sợi');</v>
      </c>
    </row>
    <row r="261" spans="1:8" ht="75" x14ac:dyDescent="0.25">
      <c r="A261" s="7" t="s">
        <v>1501</v>
      </c>
      <c r="B261" s="1" t="s">
        <v>1502</v>
      </c>
      <c r="C261" s="1" t="s">
        <v>68</v>
      </c>
      <c r="D261" s="1" t="s">
        <v>2229</v>
      </c>
      <c r="E261" s="1" t="s">
        <v>335</v>
      </c>
      <c r="F261" s="23" t="str">
        <f>IFERROR(INDEX(Brand!$A:$A,MATCH(TRIM(C261),Brand!$B:$B,0)),"NOT FOUND")</f>
        <v>BRAND-063</v>
      </c>
      <c r="G261" s="25" t="s">
        <v>1276</v>
      </c>
      <c r="H261" s="23" t="str">
        <f t="shared" si="4"/>
        <v>INSERT INTO medical_supply_product (active, category, description, name, code, brand_code, uom) VALUES (true, 'Gạc lưới chống dính', 'Gạc lưới chống dính UrgoTul (10x10cm) với công nghệ TLC độc quyền, tạo môi trường ẩm giúp vết thương mau lành. Không dính vết thương nên thay băng không đau; dùng cho vết bỏng, trầy xước, vết loét giai đoạn lên mô hạt.', '[Urgo] Gạc lưới chống dính - UrgoTul (15cmx20cm)', 'PRODUCT-00260', 'BRAND-063', 'miếng');</v>
      </c>
    </row>
    <row r="262" spans="1:8" ht="75" x14ac:dyDescent="0.25">
      <c r="A262" s="7" t="s">
        <v>1503</v>
      </c>
      <c r="B262" s="1" t="s">
        <v>1504</v>
      </c>
      <c r="C262" s="1" t="s">
        <v>68</v>
      </c>
      <c r="D262" s="1" t="s">
        <v>2229</v>
      </c>
      <c r="E262" s="1" t="s">
        <v>335</v>
      </c>
      <c r="F262" s="23" t="str">
        <f>IFERROR(INDEX(Brand!$A:$A,MATCH(TRIM(C262),Brand!$B:$B,0)),"NOT FOUND")</f>
        <v>BRAND-063</v>
      </c>
      <c r="G262" s="25" t="s">
        <v>1276</v>
      </c>
      <c r="H262" s="23" t="str">
        <f t="shared" si="4"/>
        <v>INSERT INTO medical_supply_product (active, category, description, name, code, brand_code, uom) VALUES (true, 'Gạc lưới chống dính', 'Gạc lưới chống dính UrgoTul (10x10cm) với công nghệ TLC độc quyền, tạo môi trường ẩm giúp vết thương mau lành. Không dính vết thương nên thay băng không đau; dùng cho vết bỏng, trầy xước, vết loét giai đoạn lên mô hạt.', '[Urgo] Gạc lưới chống dính - UrgoTul (5cmx5cm)', 'PRODUCT-00261', 'BRAND-063', 'miếng');</v>
      </c>
    </row>
    <row r="263" spans="1:8" ht="75" x14ac:dyDescent="0.25">
      <c r="A263" s="7" t="s">
        <v>1505</v>
      </c>
      <c r="B263" s="1" t="s">
        <v>1506</v>
      </c>
      <c r="C263" s="1" t="s">
        <v>68</v>
      </c>
      <c r="D263" s="1" t="s">
        <v>2229</v>
      </c>
      <c r="E263" s="1" t="s">
        <v>336</v>
      </c>
      <c r="F263" s="23" t="str">
        <f>IFERROR(INDEX(Brand!$A:$A,MATCH(TRIM(C263),Brand!$B:$B,0)),"NOT FOUND")</f>
        <v>BRAND-063</v>
      </c>
      <c r="G263" s="25" t="s">
        <v>1276</v>
      </c>
      <c r="H263" s="23" t="str">
        <f t="shared" si="4"/>
        <v>INSERT INTO medical_supply_product (active, category, description, name, code, brand_code, uom) VALUES (true, 'Gạc lưới chống dính', 'Gạc lưới tẩm bạc UrgoTul Ag/Silver kết hợp công nghệ TLC và bạc sulfate, kháng khuẩn cho vết thương nhiễm trùng hoặc có nguy cơ nhiễm trùng cao. Không dính vết thương, thay băng không đau, rút ngắn thời gian lành thương.', '[Urgo] Gạc lưới tẩm bạc chống dính - UrgoTul Ag/Silver (15cmx20cm)', 'PRODUCT-00262', 'BRAND-063', 'miếng');</v>
      </c>
    </row>
    <row r="264" spans="1:8" ht="75" x14ac:dyDescent="0.25">
      <c r="A264" s="7" t="s">
        <v>1507</v>
      </c>
      <c r="B264" s="1" t="s">
        <v>1508</v>
      </c>
      <c r="C264" s="1" t="s">
        <v>68</v>
      </c>
      <c r="D264" s="1" t="s">
        <v>2229</v>
      </c>
      <c r="E264" s="1" t="s">
        <v>336</v>
      </c>
      <c r="F264" s="23" t="str">
        <f>IFERROR(INDEX(Brand!$A:$A,MATCH(TRIM(C264),Brand!$B:$B,0)),"NOT FOUND")</f>
        <v>BRAND-063</v>
      </c>
      <c r="G264" s="25" t="s">
        <v>1276</v>
      </c>
      <c r="H264" s="23" t="str">
        <f t="shared" si="4"/>
        <v>INSERT INTO medical_supply_product (active, category, description, name, code, brand_code, uom) VALUES (true, 'Gạc lưới chống dính', 'Gạc lưới tẩm bạc UrgoTul Ag/Silver kết hợp công nghệ TLC và bạc sulfate, kháng khuẩn cho vết thương nhiễm trùng hoặc có nguy cơ nhiễm trùng cao. Không dính vết thương, thay băng không đau, rút ngắn thời gian lành thương.', '[Urgo] Gạc lưới tẩm bạc chống dính - UrgoTul Ag/Silver (5cmx5cm)', 'PRODUCT-00263', 'BRAND-063', 'miếng');</v>
      </c>
    </row>
    <row r="265" spans="1:8" ht="75" x14ac:dyDescent="0.25">
      <c r="A265" s="7" t="s">
        <v>1509</v>
      </c>
      <c r="B265" s="1" t="s">
        <v>1510</v>
      </c>
      <c r="C265" s="1" t="s">
        <v>76</v>
      </c>
      <c r="D265" s="1" t="s">
        <v>2227</v>
      </c>
      <c r="E265" s="1" t="s">
        <v>339</v>
      </c>
      <c r="F265" s="23" t="str">
        <f>IFERROR(INDEX(Brand!$A:$A,MATCH(TRIM(C265),Brand!$B:$B,0)),"NOT FOUND")</f>
        <v>BRAND-071</v>
      </c>
      <c r="G265" s="25" t="s">
        <v>1276</v>
      </c>
      <c r="H265" s="23" t="str">
        <f t="shared" si="4"/>
        <v>INSERT INTO medical_supply_product (active, category, description, name, code, brand_code, uom) VALUES (true, 'Gạc xốp hút dịch', 'Băng gạc xốp Therasorb® Algi Plus Adhesive có viền dính, dùng cho vết thương, vết loét tiết dịch trung bình đến nhiều. Chứa Sodium Alginate thấm hút gấp 15–20 lần trọng lượng, không dính và không đau khi thay băng.', '[Wonbiogen] Băng gạc xốp không dính vết thương - Therasorb Algi Plus Adhesive (9cmx15cm)', 'PRODUCT-00264', 'BRAND-071', 'miếng');</v>
      </c>
    </row>
    <row r="266" spans="1:8" ht="75" x14ac:dyDescent="0.25">
      <c r="A266" s="7" t="s">
        <v>1511</v>
      </c>
      <c r="B266" s="1" t="s">
        <v>1512</v>
      </c>
      <c r="C266" s="1" t="s">
        <v>76</v>
      </c>
      <c r="D266" s="1" t="s">
        <v>2227</v>
      </c>
      <c r="E266" s="1" t="s">
        <v>339</v>
      </c>
      <c r="F266" s="23" t="str">
        <f>IFERROR(INDEX(Brand!$A:$A,MATCH(TRIM(C266),Brand!$B:$B,0)),"NOT FOUND")</f>
        <v>BRAND-071</v>
      </c>
      <c r="G266" s="25" t="s">
        <v>1276</v>
      </c>
      <c r="H266" s="23" t="str">
        <f t="shared" si="4"/>
        <v>INSERT INTO medical_supply_product (active, category, description, name, code, brand_code, uom) VALUES (true, 'Gạc xốp hút dịch', 'Băng gạc xốp Therasorb® Algi Plus Adhesive có viền dính, dùng cho vết thương, vết loét tiết dịch trung bình đến nhiều. Chứa Sodium Alginate thấm hút gấp 15–20 lần trọng lượng, không dính và không đau khi thay băng.', '[Wonbiogen] Băng gạc xốp không dính vết thương - Therasorb Algi Plus Adhesive (9cmx20cm)', 'PRODUCT-00265', 'BRAND-071', 'miếng');</v>
      </c>
    </row>
    <row r="267" spans="1:8" ht="75" x14ac:dyDescent="0.25">
      <c r="A267" s="7" t="s">
        <v>1513</v>
      </c>
      <c r="B267" s="1" t="s">
        <v>1514</v>
      </c>
      <c r="C267" s="1" t="s">
        <v>76</v>
      </c>
      <c r="D267" s="1" t="s">
        <v>2227</v>
      </c>
      <c r="E267" s="1" t="s">
        <v>340</v>
      </c>
      <c r="F267" s="23" t="str">
        <f>IFERROR(INDEX(Brand!$A:$A,MATCH(TRIM(C267),Brand!$B:$B,0)),"NOT FOUND")</f>
        <v>BRAND-071</v>
      </c>
      <c r="G267" s="25" t="s">
        <v>1276</v>
      </c>
      <c r="H267" s="23" t="str">
        <f t="shared" si="4"/>
        <v>INSERT INTO medical_supply_product (active, category, description, name, code, brand_code, uom) VALUES (true, 'Gạc xốp hút dịch',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(20cmx20cmx0.5cm)', 'PRODUCT-00266', 'BRAND-071', 'miếng');</v>
      </c>
    </row>
    <row r="268" spans="1:8" ht="75" x14ac:dyDescent="0.25">
      <c r="A268" s="7" t="s">
        <v>1515</v>
      </c>
      <c r="B268" s="1" t="s">
        <v>1516</v>
      </c>
      <c r="C268" s="1" t="s">
        <v>76</v>
      </c>
      <c r="D268" s="1" t="s">
        <v>2227</v>
      </c>
      <c r="E268" s="1" t="s">
        <v>340</v>
      </c>
      <c r="F268" s="23" t="str">
        <f>IFERROR(INDEX(Brand!$A:$A,MATCH(TRIM(C268),Brand!$B:$B,0)),"NOT FOUND")</f>
        <v>BRAND-071</v>
      </c>
      <c r="G268" s="25" t="s">
        <v>1276</v>
      </c>
      <c r="H268" s="23" t="str">
        <f t="shared" si="4"/>
        <v>INSERT INTO medical_supply_product (active, category, description, name, code, brand_code, uom) VALUES (true, 'Gạc xốp hút dịch',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(35cmx50cmx0.5cm)', 'PRODUCT-00267', 'BRAND-071', 'miếng');</v>
      </c>
    </row>
    <row r="269" spans="1:8" ht="75" x14ac:dyDescent="0.25">
      <c r="A269" s="7" t="s">
        <v>1517</v>
      </c>
      <c r="B269" s="1" t="s">
        <v>1518</v>
      </c>
      <c r="C269" s="1" t="s">
        <v>76</v>
      </c>
      <c r="D269" s="1" t="s">
        <v>2227</v>
      </c>
      <c r="E269" s="1" t="s">
        <v>340</v>
      </c>
      <c r="F269" s="23" t="str">
        <f>IFERROR(INDEX(Brand!$A:$A,MATCH(TRIM(C269),Brand!$B:$B,0)),"NOT FOUND")</f>
        <v>BRAND-071</v>
      </c>
      <c r="G269" s="25" t="s">
        <v>1276</v>
      </c>
      <c r="H269" s="23" t="str">
        <f t="shared" si="4"/>
        <v>INSERT INTO medical_supply_product (active, category, description, name, code, brand_code, uom) VALUES (true, 'Gạc xốp hút dịch',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(30cmx100cmx0.5cm)', 'PRODUCT-00268', 'BRAND-071', 'miếng');</v>
      </c>
    </row>
    <row r="270" spans="1:8" ht="75" x14ac:dyDescent="0.25">
      <c r="A270" s="7" t="s">
        <v>1519</v>
      </c>
      <c r="B270" s="1" t="s">
        <v>1520</v>
      </c>
      <c r="C270" s="1" t="s">
        <v>76</v>
      </c>
      <c r="D270" s="1" t="s">
        <v>2227</v>
      </c>
      <c r="E270" s="1" t="s">
        <v>340</v>
      </c>
      <c r="F270" s="23" t="str">
        <f>IFERROR(INDEX(Brand!$A:$A,MATCH(TRIM(C270),Brand!$B:$B,0)),"NOT FOUND")</f>
        <v>BRAND-071</v>
      </c>
      <c r="G270" s="25" t="s">
        <v>1276</v>
      </c>
      <c r="H270" s="23" t="str">
        <f t="shared" si="4"/>
        <v>INSERT INTO medical_supply_product (active, category, description, name, code, brand_code, uom) VALUES (true, 'Gạc xốp hút dịch',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(10cmx10cm)', 'PRODUCT-00269', 'BRAND-071', 'miếng');</v>
      </c>
    </row>
    <row r="271" spans="1:8" ht="75" x14ac:dyDescent="0.25">
      <c r="A271" s="7" t="s">
        <v>1521</v>
      </c>
      <c r="B271" s="1" t="s">
        <v>1522</v>
      </c>
      <c r="C271" s="1" t="s">
        <v>76</v>
      </c>
      <c r="D271" s="1" t="s">
        <v>2227</v>
      </c>
      <c r="E271" s="1" t="s">
        <v>340</v>
      </c>
      <c r="F271" s="23" t="str">
        <f>IFERROR(INDEX(Brand!$A:$A,MATCH(TRIM(C271),Brand!$B:$B,0)),"NOT FOUND")</f>
        <v>BRAND-071</v>
      </c>
      <c r="G271" s="25" t="s">
        <v>1276</v>
      </c>
      <c r="H271" s="23" t="str">
        <f t="shared" si="4"/>
        <v>INSERT INTO medical_supply_product (active, category, description, name, code, brand_code, uom) VALUES (true, 'Gạc xốp hút dịch',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(20cmx20cm)', 'PRODUCT-00270', 'BRAND-071', 'miếng');</v>
      </c>
    </row>
    <row r="272" spans="1:8" ht="75" x14ac:dyDescent="0.25">
      <c r="A272" s="7" t="s">
        <v>1523</v>
      </c>
      <c r="B272" s="1" t="s">
        <v>1524</v>
      </c>
      <c r="C272" s="1" t="s">
        <v>76</v>
      </c>
      <c r="D272" s="1" t="s">
        <v>2227</v>
      </c>
      <c r="E272" s="1" t="s">
        <v>340</v>
      </c>
      <c r="F272" s="23" t="str">
        <f>IFERROR(INDEX(Brand!$A:$A,MATCH(TRIM(C272),Brand!$B:$B,0)),"NOT FOUND")</f>
        <v>BRAND-071</v>
      </c>
      <c r="G272" s="25" t="s">
        <v>1276</v>
      </c>
      <c r="H272" s="23" t="str">
        <f t="shared" si="4"/>
        <v>INSERT INTO medical_supply_product (active, category, description, name, code, brand_code, uom) VALUES (true, 'Gạc xốp hút dịch',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(35cmx50cm)', 'PRODUCT-00271', 'BRAND-071', 'miếng');</v>
      </c>
    </row>
    <row r="273" spans="1:8" ht="75" x14ac:dyDescent="0.25">
      <c r="A273" s="7" t="s">
        <v>1525</v>
      </c>
      <c r="B273" s="1" t="s">
        <v>1526</v>
      </c>
      <c r="C273" s="1" t="s">
        <v>76</v>
      </c>
      <c r="D273" s="1" t="s">
        <v>2227</v>
      </c>
      <c r="E273" s="1" t="s">
        <v>341</v>
      </c>
      <c r="F273" s="23" t="str">
        <f>IFERROR(INDEX(Brand!$A:$A,MATCH(TRIM(C273),Brand!$B:$B,0)),"NOT FOUND")</f>
        <v>BRAND-071</v>
      </c>
      <c r="G273" s="25" t="s">
        <v>1276</v>
      </c>
      <c r="H273" s="23" t="str">
        <f t="shared" si="4"/>
        <v>INSERT INTO medical_supply_product (active, category, description, name, code, brand_code, uom) VALUES (true, 'Gạc xốp hút dịch', 'Gạc xốp tẩm bạc Therasorb® Ag Plus chứa Sodium Alginate và bạc nitrat 1%, kháng khuẩn và thấm hút dịch mạnh. Dùng cho vết thương nhiễm trùng như loét tì đè, loét tiểu đường, bỏng; không dính và không đau khi thay băng.', '[Wonbiogen] Gạc xốp tẩm bạc kháng khuẩn - Therasorb® Ag Plus (20cmx20cm)', 'PRODUCT-00272', 'BRAND-071', 'miếng');</v>
      </c>
    </row>
    <row r="274" spans="1:8" ht="75" x14ac:dyDescent="0.25">
      <c r="A274" s="7" t="s">
        <v>1527</v>
      </c>
      <c r="B274" s="1" t="s">
        <v>1528</v>
      </c>
      <c r="C274" s="1" t="s">
        <v>76</v>
      </c>
      <c r="D274" s="1" t="s">
        <v>2231</v>
      </c>
      <c r="E274" s="1" t="s">
        <v>343</v>
      </c>
      <c r="F274" s="23" t="str">
        <f>IFERROR(INDEX(Brand!$A:$A,MATCH(TRIM(C274),Brand!$B:$B,0)),"NOT FOUND")</f>
        <v>BRAND-071</v>
      </c>
      <c r="G274" s="25" t="s">
        <v>1279</v>
      </c>
      <c r="H274" s="23" t="str">
        <f t="shared" si="4"/>
        <v>INSERT INTO medical_supply_product (active, category, description, name, code, brand_code, uom) VALUES (true, 'Gel trị sẹo', 'Gel silicone trị sẹo RemScar® chứa silicone y tế và vitamin E, giúp làm mềm, làm phẳng và mờ sẹo lồi, sẹo phì đại, sẹo bỏng, sẹo thâm. Phù hợp vị trí nhỏ hoặc khó dán miếng silicone; thấy hiệu quả sau 1–2 tháng dùng đều.', '[Wonbiogen] Kem gel silicone trị sẹo - RemScar® Gel (30g)', 'PRODUCT-00273', 'BRAND-071', 'tuýp');</v>
      </c>
    </row>
    <row r="275" spans="1:8" ht="60" x14ac:dyDescent="0.25">
      <c r="A275" s="7" t="s">
        <v>1529</v>
      </c>
      <c r="B275" s="1" t="s">
        <v>1530</v>
      </c>
      <c r="C275" s="1" t="s">
        <v>76</v>
      </c>
      <c r="D275" s="1" t="s">
        <v>2233</v>
      </c>
      <c r="E275" s="1" t="s">
        <v>344</v>
      </c>
      <c r="F275" s="23" t="str">
        <f>IFERROR(INDEX(Brand!$A:$A,MATCH(TRIM(C275),Brand!$B:$B,0)),"NOT FOUND")</f>
        <v>BRAND-071</v>
      </c>
      <c r="G275" s="25" t="s">
        <v>1276</v>
      </c>
      <c r="H275" s="23" t="str">
        <f t="shared" si="4"/>
        <v>INSERT INTO medical_supply_product (active, category, description, name, code, brand_code, uom) VALUES (true, 'Miếng dán trị sẹo', 'Miếng dán silicone RemScar® TR giúp làm phẳng và mờ sẹo lồi, sẹo thâm sau phẫu thuật, bỏng, tai nạn, mụn. Silicone y tế trong suốt, không bí da; giặt và tái sử dụng được trong 30 ngày.', '[Wonbiogen] Miếng dán silicone trị sẹo lồi, sẹo thâm - RemScar® TR (3.5cmx15cm)', 'PRODUCT-00274', 'BRAND-071', 'miếng');</v>
      </c>
    </row>
    <row r="276" spans="1:8" ht="60" x14ac:dyDescent="0.25">
      <c r="A276" s="7" t="s">
        <v>1531</v>
      </c>
      <c r="B276" s="1" t="s">
        <v>1532</v>
      </c>
      <c r="C276" s="1" t="s">
        <v>76</v>
      </c>
      <c r="D276" s="1" t="s">
        <v>2233</v>
      </c>
      <c r="E276" s="1" t="s">
        <v>344</v>
      </c>
      <c r="F276" s="23" t="str">
        <f>IFERROR(INDEX(Brand!$A:$A,MATCH(TRIM(C276),Brand!$B:$B,0)),"NOT FOUND")</f>
        <v>BRAND-071</v>
      </c>
      <c r="G276" s="25" t="s">
        <v>1276</v>
      </c>
      <c r="H276" s="23" t="str">
        <f t="shared" si="4"/>
        <v>INSERT INTO medical_supply_product (active, category, description, name, code, brand_code, uom) VALUES (true, 'Miếng dán trị sẹo', 'Miếng dán silicone RemScar® TR giúp làm phẳng và mờ sẹo lồi, sẹo thâm sau phẫu thuật, bỏng, tai nạn, mụn. Silicone y tế trong suốt, không bí da; giặt và tái sử dụng được trong 30 ngày.', '[Wonbiogen] Miếng dán silicone trị sẹo lồi, sẹo thâm - RemScar® TR (5cmx6cm)', 'PRODUCT-00275', 'BRAND-071', 'miếng');</v>
      </c>
    </row>
    <row r="277" spans="1:8" ht="60" x14ac:dyDescent="0.25">
      <c r="A277" s="7" t="s">
        <v>1533</v>
      </c>
      <c r="B277" s="1" t="s">
        <v>1534</v>
      </c>
      <c r="C277" s="1" t="s">
        <v>78</v>
      </c>
      <c r="D277" s="1" t="s">
        <v>2235</v>
      </c>
      <c r="E277" s="1" t="s">
        <v>346</v>
      </c>
      <c r="F277" s="23" t="str">
        <f>IFERROR(INDEX(Brand!$A:$A,MATCH(TRIM(C277),Brand!$B:$B,0)),"NOT FOUND")</f>
        <v>BRAND-073</v>
      </c>
      <c r="G277" s="25" t="s">
        <v>1276</v>
      </c>
      <c r="H277" s="23" t="str">
        <f t="shared" si="4"/>
        <v>INSERT INTO medical_supply_product (active, category, description, name, code, brand_code, uom) VALUES (true, 'Băng gạc vô trùng',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(6cmx10cm)', 'PRODUCT-00276', 'BRAND-073', 'miếng');</v>
      </c>
    </row>
    <row r="278" spans="1:8" ht="60" x14ac:dyDescent="0.25">
      <c r="A278" s="7" t="s">
        <v>1535</v>
      </c>
      <c r="B278" s="1" t="s">
        <v>1536</v>
      </c>
      <c r="C278" s="1" t="s">
        <v>78</v>
      </c>
      <c r="D278" s="1" t="s">
        <v>2235</v>
      </c>
      <c r="E278" s="1" t="s">
        <v>346</v>
      </c>
      <c r="F278" s="23" t="str">
        <f>IFERROR(INDEX(Brand!$A:$A,MATCH(TRIM(C278),Brand!$B:$B,0)),"NOT FOUND")</f>
        <v>BRAND-073</v>
      </c>
      <c r="G278" s="25" t="s">
        <v>1276</v>
      </c>
      <c r="H278" s="23" t="str">
        <f t="shared" si="4"/>
        <v>INSERT INTO medical_supply_product (active, category, description, name, code, brand_code, uom) VALUES (true, 'Băng gạc vô trùng',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(9cmx10cm)', 'PRODUCT-00277', 'BRAND-073', 'miếng');</v>
      </c>
    </row>
    <row r="279" spans="1:8" ht="60" x14ac:dyDescent="0.25">
      <c r="A279" s="7" t="s">
        <v>1537</v>
      </c>
      <c r="B279" s="1" t="s">
        <v>1538</v>
      </c>
      <c r="C279" s="1" t="s">
        <v>78</v>
      </c>
      <c r="D279" s="1" t="s">
        <v>2235</v>
      </c>
      <c r="E279" s="1" t="s">
        <v>346</v>
      </c>
      <c r="F279" s="23" t="str">
        <f>IFERROR(INDEX(Brand!$A:$A,MATCH(TRIM(C279),Brand!$B:$B,0)),"NOT FOUND")</f>
        <v>BRAND-073</v>
      </c>
      <c r="G279" s="25" t="s">
        <v>1276</v>
      </c>
      <c r="H279" s="23" t="str">
        <f t="shared" si="4"/>
        <v>INSERT INTO medical_supply_product (active, category, description, name, code, brand_code, uom) VALUES (true, 'Băng gạc vô trùng',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(9cmx15cm)', 'PRODUCT-00278', 'BRAND-073', 'miếng');</v>
      </c>
    </row>
    <row r="280" spans="1:8" ht="60" x14ac:dyDescent="0.25">
      <c r="A280" s="7" t="s">
        <v>1539</v>
      </c>
      <c r="B280" s="1" t="s">
        <v>1540</v>
      </c>
      <c r="C280" s="1" t="s">
        <v>78</v>
      </c>
      <c r="D280" s="1" t="s">
        <v>2235</v>
      </c>
      <c r="E280" s="1" t="s">
        <v>346</v>
      </c>
      <c r="F280" s="23" t="str">
        <f>IFERROR(INDEX(Brand!$A:$A,MATCH(TRIM(C280),Brand!$B:$B,0)),"NOT FOUND")</f>
        <v>BRAND-073</v>
      </c>
      <c r="G280" s="25" t="s">
        <v>1276</v>
      </c>
      <c r="H280" s="23" t="str">
        <f t="shared" si="4"/>
        <v>INSERT INTO medical_supply_product (active, category, description, name, code, brand_code, uom) VALUES (true, 'Băng gạc vô trùng',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(9cmx20cm)', 'PRODUCT-00279', 'BRAND-073', 'miếng');</v>
      </c>
    </row>
    <row r="281" spans="1:8" ht="60" x14ac:dyDescent="0.25">
      <c r="A281" s="7" t="s">
        <v>1541</v>
      </c>
      <c r="B281" s="1" t="s">
        <v>1542</v>
      </c>
      <c r="C281" s="1" t="s">
        <v>78</v>
      </c>
      <c r="D281" s="1" t="s">
        <v>2235</v>
      </c>
      <c r="E281" s="1" t="s">
        <v>346</v>
      </c>
      <c r="F281" s="23" t="str">
        <f>IFERROR(INDEX(Brand!$A:$A,MATCH(TRIM(C281),Brand!$B:$B,0)),"NOT FOUND")</f>
        <v>BRAND-073</v>
      </c>
      <c r="G281" s="25" t="s">
        <v>1276</v>
      </c>
      <c r="H281" s="23" t="str">
        <f t="shared" si="4"/>
        <v>INSERT INTO medical_supply_product (active, category, description, name, code, brand_code, uom) VALUES (true, 'Băng gạc vô trùng',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(9cmx25cm)', 'PRODUCT-00280', 'BRAND-073', 'miếng');</v>
      </c>
    </row>
    <row r="282" spans="1:8" ht="60" x14ac:dyDescent="0.25">
      <c r="A282" s="7" t="s">
        <v>1543</v>
      </c>
      <c r="B282" s="1" t="s">
        <v>1544</v>
      </c>
      <c r="C282" s="1" t="s">
        <v>78</v>
      </c>
      <c r="D282" s="1" t="s">
        <v>2235</v>
      </c>
      <c r="E282" s="1" t="s">
        <v>346</v>
      </c>
      <c r="F282" s="23" t="str">
        <f>IFERROR(INDEX(Brand!$A:$A,MATCH(TRIM(C282),Brand!$B:$B,0)),"NOT FOUND")</f>
        <v>BRAND-073</v>
      </c>
      <c r="G282" s="25" t="s">
        <v>1276</v>
      </c>
      <c r="H282" s="23" t="str">
        <f t="shared" si="4"/>
        <v>INSERT INTO medical_supply_product (active, category, description, name, code, brand_code, uom) VALUES (true, 'Băng gạc vô trùng',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(9cmx30cm)', 'PRODUCT-00281', 'BRAND-073', 'miếng');</v>
      </c>
    </row>
    <row r="283" spans="1:8" ht="60" x14ac:dyDescent="0.25">
      <c r="A283" s="7" t="s">
        <v>1545</v>
      </c>
      <c r="B283" s="1" t="s">
        <v>1546</v>
      </c>
      <c r="C283" s="1" t="s">
        <v>78</v>
      </c>
      <c r="D283" s="1" t="s">
        <v>2235</v>
      </c>
      <c r="E283" s="1" t="s">
        <v>347</v>
      </c>
      <c r="F283" s="23" t="str">
        <f>IFERROR(INDEX(Brand!$A:$A,MATCH(TRIM(C283),Brand!$B:$B,0)),"NOT FOUND")</f>
        <v>BRAND-073</v>
      </c>
      <c r="G283" s="25" t="s">
        <v>1276</v>
      </c>
      <c r="H283" s="23" t="str">
        <f t="shared" si="4"/>
        <v>INSERT INTO medical_supply_product (active, category, description, name, code, brand_code, uom) VALUES (true, 'Băng gạc vô trùng', 'Băng gạc vô trùng Sterile Adflex (With-Pad) chống nước, giữ vết thương khô thoáng trong quá trình hồi phục. Co giãn tốt, dán được ở vai, khuỷu tay, đầu gối; tiệt trùng EO, đóng gói từng miếng.', '[Young Chemical Vina] Băng gạc vô trùng không thấm nước - Sterile Adflex (With-Pad) (10cmx12cm)', 'PRODUCT-00282', 'BRAND-073', 'miếng');</v>
      </c>
    </row>
    <row r="284" spans="1:8" ht="60" x14ac:dyDescent="0.25">
      <c r="A284" s="7" t="s">
        <v>1547</v>
      </c>
      <c r="B284" s="1" t="s">
        <v>1548</v>
      </c>
      <c r="C284" s="1" t="s">
        <v>78</v>
      </c>
      <c r="D284" s="1" t="s">
        <v>2237</v>
      </c>
      <c r="E284" s="1" t="s">
        <v>349</v>
      </c>
      <c r="F284" s="23" t="str">
        <f>IFERROR(INDEX(Brand!$A:$A,MATCH(TRIM(C284),Brand!$B:$B,0)),"NOT FOUND")</f>
        <v>BRAND-073</v>
      </c>
      <c r="G284" s="25" t="s">
        <v>1276</v>
      </c>
      <c r="H284" s="23" t="str">
        <f t="shared" si="4"/>
        <v>INSERT INTO medical_supply_product (active, category, description, name, code, brand_code, uom) VALUES (true, 'Băng keo cá nhân', 'Băng keo cá nhân in hình Pororo chứa chất sát khuẩn Benzalkonium Chloride, bảo vệ vết cắt, trầy xước nhỏ. Hình hoạt hình dễ thương cho trẻ, thoáng khí, keo ít kích ứng, không dính vết thương.', '[Young Chemical Vina] Băng keo cá nhân in hình trẻ em - Pororo (Hỗn hợp 4 size)', 'PRODUCT-00283', 'BRAND-073', 'miếng');</v>
      </c>
    </row>
    <row r="285" spans="1:8" ht="45" x14ac:dyDescent="0.25">
      <c r="A285" s="7" t="s">
        <v>1549</v>
      </c>
      <c r="B285" s="1" t="s">
        <v>1550</v>
      </c>
      <c r="C285" s="1" t="s">
        <v>78</v>
      </c>
      <c r="D285" s="1" t="s">
        <v>2239</v>
      </c>
      <c r="E285" s="1" t="s">
        <v>354</v>
      </c>
      <c r="F285" s="23" t="str">
        <f>IFERROR(INDEX(Brand!$A:$A,MATCH(TRIM(C285),Brand!$B:$B,0)),"NOT FOUND")</f>
        <v>BRAND-073</v>
      </c>
      <c r="G285" s="25" t="s">
        <v>1280</v>
      </c>
      <c r="H285" s="23" t="str">
        <f t="shared" si="4"/>
        <v>INSERT INTO medical_supply_product (active, category, description, name, code, brand_code, uom) VALUES (true, 'Băng keo cuộn', 'Băng keo cuộn co giãn Fix Roll (10cm x 2,5m) bằng vải không dệt thoáng khí, dùng cố định ống truyền, kim luồn và băng gạc. Bám dính tốt, co giãn cao, ít kích ứng.', '[Young Chemical Vina] Băng keo cuộn co giãn - Fix Roll (10cmx10m)', 'PRODUCT-00284', 'BRAND-073', 'cuộn');</v>
      </c>
    </row>
    <row r="286" spans="1:8" ht="45" x14ac:dyDescent="0.25">
      <c r="A286" s="7" t="s">
        <v>1551</v>
      </c>
      <c r="B286" s="1" t="s">
        <v>1552</v>
      </c>
      <c r="C286" s="1" t="s">
        <v>78</v>
      </c>
      <c r="D286" s="1" t="s">
        <v>2239</v>
      </c>
      <c r="E286" s="1" t="s">
        <v>354</v>
      </c>
      <c r="F286" s="23" t="str">
        <f>IFERROR(INDEX(Brand!$A:$A,MATCH(TRIM(C286),Brand!$B:$B,0)),"NOT FOUND")</f>
        <v>BRAND-073</v>
      </c>
      <c r="G286" s="25" t="s">
        <v>1280</v>
      </c>
      <c r="H286" s="23" t="str">
        <f t="shared" si="4"/>
        <v>INSERT INTO medical_supply_product (active, category, description, name, code, brand_code, uom) VALUES (true, 'Băng keo cuộn', 'Băng keo cuộn co giãn Fix Roll (10cm x 2,5m) bằng vải không dệt thoáng khí, dùng cố định ống truyền, kim luồn và băng gạc. Bám dính tốt, co giãn cao, ít kích ứng.', '[Young Chemical Vina] Băng keo cuộn co giãn - Fix Roll (15cmx10m)', 'PRODUCT-00285', 'BRAND-073', 'cuộn');</v>
      </c>
    </row>
    <row r="287" spans="1:8" ht="45" x14ac:dyDescent="0.25">
      <c r="A287" s="7" t="s">
        <v>1553</v>
      </c>
      <c r="B287" s="1" t="s">
        <v>1554</v>
      </c>
      <c r="C287" s="1" t="s">
        <v>78</v>
      </c>
      <c r="D287" s="1" t="s">
        <v>2239</v>
      </c>
      <c r="E287" s="1" t="s">
        <v>354</v>
      </c>
      <c r="F287" s="23" t="str">
        <f>IFERROR(INDEX(Brand!$A:$A,MATCH(TRIM(C287),Brand!$B:$B,0)),"NOT FOUND")</f>
        <v>BRAND-073</v>
      </c>
      <c r="G287" s="25" t="s">
        <v>1280</v>
      </c>
      <c r="H287" s="23" t="str">
        <f t="shared" si="4"/>
        <v>INSERT INTO medical_supply_product (active, category, description, name, code, brand_code, uom) VALUES (true, 'Băng keo cuộn', 'Băng keo cuộn co giãn Fix Roll (10cm x 2,5m) bằng vải không dệt thoáng khí, dùng cố định ống truyền, kim luồn và băng gạc. Bám dính tốt, co giãn cao, ít kích ứng.', '[Young Chemical Vina] Băng keo cuộn co giãn - Fix Roll (10cmx2.5m)', 'PRODUCT-00286', 'BRAND-073', 'cuộn');</v>
      </c>
    </row>
    <row r="288" spans="1:8" ht="45" x14ac:dyDescent="0.25">
      <c r="A288" s="7" t="s">
        <v>1555</v>
      </c>
      <c r="B288" s="1" t="s">
        <v>1556</v>
      </c>
      <c r="C288" s="1" t="s">
        <v>78</v>
      </c>
      <c r="D288" s="1" t="s">
        <v>2239</v>
      </c>
      <c r="E288" s="1" t="s">
        <v>355</v>
      </c>
      <c r="F288" s="23" t="str">
        <f>IFERROR(INDEX(Brand!$A:$A,MATCH(TRIM(C288),Brand!$B:$B,0)),"NOT FOUND")</f>
        <v>BRAND-073</v>
      </c>
      <c r="G288" s="25" t="s">
        <v>1280</v>
      </c>
      <c r="H288" s="23" t="str">
        <f t="shared" si="4"/>
        <v>INSERT INTO medical_supply_product (active, category, description, name, code, brand_code, uom) VALUES (true, 'Băng keo cuộn', 'Băng keo cuộn giấy Young Plaster-Paper (1,25cm x 5m) dùng cố định ống truyền, kim luồn và băng gạc. Dịu nhẹ, phù hợp da nhạy cảm.', '[Young Chemical Vina] Băng keo cuộn giấy dành cho da nhạy cảm - Young Plaster-Paper (2.5cmx5m)', 'PRODUCT-00287', 'BRAND-073', 'cuộn');</v>
      </c>
    </row>
    <row r="289" spans="1:8" ht="60" x14ac:dyDescent="0.25">
      <c r="A289" s="7" t="s">
        <v>1557</v>
      </c>
      <c r="B289" s="1" t="s">
        <v>1558</v>
      </c>
      <c r="C289" s="1" t="s">
        <v>78</v>
      </c>
      <c r="D289" s="1" t="s">
        <v>2239</v>
      </c>
      <c r="E289" s="1" t="s">
        <v>356</v>
      </c>
      <c r="F289" s="23" t="str">
        <f>IFERROR(INDEX(Brand!$A:$A,MATCH(TRIM(C289),Brand!$B:$B,0)),"NOT FOUND")</f>
        <v>BRAND-073</v>
      </c>
      <c r="G289" s="25" t="s">
        <v>1280</v>
      </c>
      <c r="H289" s="23" t="str">
        <f t="shared" si="4"/>
        <v>INSERT INTO medical_supply_product (active, category, description, name, code, brand_code, uom) VALUES (true, 'Băng keo cuộn', 'Băng keo cuộn lụa Young Plaster-Silk (1,25cm x 5m) dùng cố định băng gạc, ống truyền, kim luồn. Keo acrylic không latex bám chắc, thoáng khí, không sót keo; xé được bằng tay.', '[Young Chemical Vina] Băng keo cuộn lụa - Young Plaster-Silk (2.5cmx5m)', 'PRODUCT-00288', 'BRAND-073', 'cuộn');</v>
      </c>
    </row>
    <row r="290" spans="1:8" ht="75" x14ac:dyDescent="0.25">
      <c r="A290" s="7" t="s">
        <v>1559</v>
      </c>
      <c r="B290" s="1" t="s">
        <v>1560</v>
      </c>
      <c r="C290" s="1" t="s">
        <v>78</v>
      </c>
      <c r="D290" s="1" t="s">
        <v>2219</v>
      </c>
      <c r="E290" s="1" t="s">
        <v>358</v>
      </c>
      <c r="F290" s="23" t="str">
        <f>IFERROR(INDEX(Brand!$A:$A,MATCH(TRIM(C290),Brand!$B:$B,0)),"NOT FOUND")</f>
        <v>BRAND-073</v>
      </c>
      <c r="G290" s="25" t="s">
        <v>1276</v>
      </c>
      <c r="H290" s="23" t="str">
        <f t="shared" si="4"/>
        <v>INSERT INTO medical_supply_product (active, category, description, name, code, brand_code, uom) VALUES (true, 'Băng dán hydrocolloid', 'Miếng dán hydrocolloid Somaderm-L cho vết thương tiết dịch ít đến trung bình như trầy xước, vết mổ, bỏng, mụn, vết loét. Tạo môi trường ẩm giúp mau lành, hạn chế sẹo; không dính vết thương khi tháo, chống nước tốt.', '[Young Chemical Vina] Miếng dán hydrocolloid hỗ trợ làm lành vết thương - Somaderm-L (10cmx10cm)', 'PRODUCT-00289', 'BRAND-073', 'miếng');</v>
      </c>
    </row>
    <row r="291" spans="1:8" ht="60" x14ac:dyDescent="0.25">
      <c r="A291" s="7" t="s">
        <v>1561</v>
      </c>
      <c r="B291" s="1" t="s">
        <v>1562</v>
      </c>
      <c r="C291" s="1" t="s">
        <v>39</v>
      </c>
      <c r="D291" s="1" t="s">
        <v>2233</v>
      </c>
      <c r="E291" s="1" t="s">
        <v>361</v>
      </c>
      <c r="F291" s="23" t="str">
        <f>IFERROR(INDEX(Brand!$A:$A,MATCH(TRIM(C291),Brand!$B:$B,0)),"NOT FOUND")</f>
        <v>BRAND-031</v>
      </c>
      <c r="G291" s="25" t="s">
        <v>1276</v>
      </c>
      <c r="H291" s="23" t="str">
        <f t="shared" si="4"/>
        <v>INSERT INTO medical_supply_product (active, category, description, name, code, brand_code, uom) VALUES (true, 'Miếng dán trị sẹo', 'Miếng dán ép sẹo silicone (10 x 1,7cm) giúp làm phẳng và mờ sẹo lồi sau phẫu thuật, bỏng, tai nạn, mụn. Silicone y tế giữ ẩm và tạo lực ép liên tục, không bí da, không kích ứng.', 'Miếng dán ép sẹo silicone (14cmx3.8cm)', 'PRODUCT-00290', 'BRAND-031', 'miếng');</v>
      </c>
    </row>
    <row r="292" spans="1:8" ht="45" x14ac:dyDescent="0.25">
      <c r="A292" s="7" t="s">
        <v>1563</v>
      </c>
      <c r="B292" s="1" t="s">
        <v>1564</v>
      </c>
      <c r="C292" s="1" t="s">
        <v>77</v>
      </c>
      <c r="D292" s="1" t="s">
        <v>2279</v>
      </c>
      <c r="E292" s="1" t="s">
        <v>479</v>
      </c>
      <c r="F292" s="23" t="str">
        <f>IFERROR(INDEX(Brand!$A:$A,MATCH(TRIM(C292),Brand!$B:$B,0)),"NOT FOUND")</f>
        <v>BRAND-072</v>
      </c>
      <c r="G292" s="25" t="s">
        <v>1274</v>
      </c>
      <c r="H292" s="23" t="str">
        <f t="shared" si="4"/>
        <v>INSERT INTO medical_supply_product (active, category, description, name, code, brand_code, uom) VALUES (true, 'Phụ kiện mở khí quản', 'Dây đai Yafho (43 x 2,5cm) cố định ống mở khí quản chắc chắn, chỉnh được độ dài. Vải xốp mềm, giảm trầy xước và kích ứng da, giúp chăm sóc nhanh gọn hơn.', '[Yafho] Dây đai cố định ống mở khí quản (2.5cmx33cm / Xanh nhạt)', 'PRODUCT-00291', 'BRAND-072', 'cái');</v>
      </c>
    </row>
    <row r="293" spans="1:8" ht="45" x14ac:dyDescent="0.25">
      <c r="A293" s="7" t="s">
        <v>1565</v>
      </c>
      <c r="B293" s="1" t="s">
        <v>1566</v>
      </c>
      <c r="C293" s="1" t="s">
        <v>77</v>
      </c>
      <c r="D293" s="1" t="s">
        <v>2279</v>
      </c>
      <c r="E293" s="1" t="s">
        <v>479</v>
      </c>
      <c r="F293" s="23" t="str">
        <f>IFERROR(INDEX(Brand!$A:$A,MATCH(TRIM(C293),Brand!$B:$B,0)),"NOT FOUND")</f>
        <v>BRAND-072</v>
      </c>
      <c r="G293" s="25" t="s">
        <v>1274</v>
      </c>
      <c r="H293" s="23" t="str">
        <f t="shared" si="4"/>
        <v>INSERT INTO medical_supply_product (active, category, description, name, code, brand_code, uom) VALUES (true, 'Phụ kiện mở khí quản', 'Dây đai Yafho (43 x 2,5cm) cố định ống mở khí quản chắc chắn, chỉnh được độ dài. Vải xốp mềm, giảm trầy xước và kích ứng da, giúp chăm sóc nhanh gọn hơn.', '[Yafho] Dây đai cố định ống mở khí quản (43cmx2.5cm)', 'PRODUCT-00292', 'BRAND-072', 'cái');</v>
      </c>
    </row>
    <row r="294" spans="1:8" ht="45" x14ac:dyDescent="0.25">
      <c r="A294" s="7" t="s">
        <v>1567</v>
      </c>
      <c r="B294" s="1" t="s">
        <v>1568</v>
      </c>
      <c r="C294" s="1" t="s">
        <v>77</v>
      </c>
      <c r="D294" s="1" t="s">
        <v>2279</v>
      </c>
      <c r="E294" s="1" t="s">
        <v>479</v>
      </c>
      <c r="F294" s="23" t="str">
        <f>IFERROR(INDEX(Brand!$A:$A,MATCH(TRIM(C294),Brand!$B:$B,0)),"NOT FOUND")</f>
        <v>BRAND-072</v>
      </c>
      <c r="G294" s="25" t="s">
        <v>1274</v>
      </c>
      <c r="H294" s="23" t="str">
        <f t="shared" si="4"/>
        <v>INSERT INTO medical_supply_product (active, category, description, name, code, brand_code, uom) VALUES (true, 'Phụ kiện mở khí quản', 'Dây đai Yafho (43 x 2,5cm) cố định ống mở khí quản chắc chắn, chỉnh được độ dài. Vải xốp mềm, giảm trầy xước và kích ứng da, giúp chăm sóc nhanh gọn hơn.', '[Yafho] Dây đai cố định ống mở khí quản (45cmx3.5cm)', 'PRODUCT-00293', 'BRAND-072', 'cái');</v>
      </c>
    </row>
    <row r="295" spans="1:8" ht="45" x14ac:dyDescent="0.25">
      <c r="A295" s="7" t="s">
        <v>1569</v>
      </c>
      <c r="B295" s="1" t="s">
        <v>1570</v>
      </c>
      <c r="C295" s="1" t="s">
        <v>63</v>
      </c>
      <c r="D295" s="1" t="s">
        <v>2328</v>
      </c>
      <c r="E295" s="1" t="s">
        <v>556</v>
      </c>
      <c r="F295" s="23" t="str">
        <f>IFERROR(INDEX(Brand!$A:$A,MATCH(TRIM(C295),Brand!$B:$B,0)),"NOT FOUND")</f>
        <v>BRAND-058</v>
      </c>
      <c r="G295" s="25" t="s">
        <v>1274</v>
      </c>
      <c r="H295" s="23" t="str">
        <f t="shared" si="4"/>
        <v>INSERT INTO medical_supply_product (active, category, description, name, code, brand_code, uom) VALUES (true, 'Bơm tiêm insulin', 'Bơm tiêm insulin SungShim (Hàn Quốc) 0,5ml, kim ngắn siêu mỏng giúp giảm đau khi tiêm. Kim liền xi lanh tránh hao thuốc; được nhiều bệnh viện tin dùng.', '[SungShim] Bơm tiêm insulin (1ml)', 'PRODUCT-00294', 'BRAND-058', 'cái');</v>
      </c>
    </row>
    <row r="296" spans="1:8" ht="60" x14ac:dyDescent="0.25">
      <c r="A296" s="7" t="s">
        <v>1571</v>
      </c>
      <c r="B296" s="1" t="s">
        <v>1572</v>
      </c>
      <c r="C296" s="1" t="s">
        <v>78</v>
      </c>
      <c r="D296" s="1" t="s">
        <v>2241</v>
      </c>
      <c r="E296" s="1" t="s">
        <v>560</v>
      </c>
      <c r="F296" s="23" t="str">
        <f>IFERROR(INDEX(Brand!$A:$A,MATCH(TRIM(C296),Brand!$B:$B,0)),"NOT FOUND")</f>
        <v>BRAND-073</v>
      </c>
      <c r="G296" s="25" t="s">
        <v>1276</v>
      </c>
      <c r="H296" s="23" t="str">
        <f t="shared" si="4"/>
        <v>INSERT INTO medical_supply_product (active, category, description, name, code, brand_code, uom) VALUES (true, 'Băng keo cố định kim luồn', 'Băng keo cố định kim luồn Adflex-IV (5,1x6cm) bằng PU trong suốt, không thấm nước, không gạc, rãnh chữ V giữ kim luồn, ống truyền chắc chắn. Dễ quan sát vùng dán; góc bo tròn tránh bong mép.', '[Young Chemical Vina] Băng keo cố định kim luồn không thấm nước không gạc - Adflex - IV (6.7cmx10cm)', 'PRODUCT-00295', 'BRAND-073', 'miếng');</v>
      </c>
    </row>
    <row r="297" spans="1:8" ht="60" x14ac:dyDescent="0.25">
      <c r="A297" s="7" t="s">
        <v>1623</v>
      </c>
      <c r="B297" s="1" t="s">
        <v>1624</v>
      </c>
      <c r="C297" s="1" t="s">
        <v>22</v>
      </c>
      <c r="D297" s="1" t="s">
        <v>2249</v>
      </c>
      <c r="E297" s="1" t="s">
        <v>368</v>
      </c>
      <c r="F297" s="23" t="str">
        <f>IFERROR(INDEX(Brand!$A:$A,MATCH(TRIM(C297),Brand!$B:$B,0)),"NOT FOUND")</f>
        <v>BRAND-009</v>
      </c>
      <c r="G297" s="25" t="s">
        <v>1282</v>
      </c>
      <c r="H297" s="23" t="str">
        <f t="shared" si="4"/>
        <v>INSERT INTO medical_supply_product (active, category, description, name, code, brand_code, uom) VALUES (true, 'Vớ y khoa giãn tĩnh mạch', 'Vớ y khoa CODY với áp lực giảm dần từ cổ chân lên trên, giúp tăng tuần hoàn máu, hỗ trợ điều trị và ngăn ngừa suy giãn tĩnh mạch chân. Phù hợp người phải đứng hoặc ngồi lâu, ít vận động.', '[CODY Health] Vớ y khoa giãn tĩnh mạch (Vớ đùi)', 'PRODUCT-00296', 'BRAND-009', 'đôi');</v>
      </c>
    </row>
    <row r="298" spans="1:8" ht="75" x14ac:dyDescent="0.25">
      <c r="A298" s="7" t="s">
        <v>1626</v>
      </c>
      <c r="B298" s="1" t="s">
        <v>1627</v>
      </c>
      <c r="C298" s="1" t="s">
        <v>67</v>
      </c>
      <c r="D298" s="1" t="s">
        <v>2255</v>
      </c>
      <c r="E298" s="1" t="s">
        <v>382</v>
      </c>
      <c r="F298" s="23" t="str">
        <f>IFERROR(INDEX(Brand!$A:$A,MATCH(TRIM(C298),Brand!$B:$B,0)),"NOT FOUND")</f>
        <v>BRAND-062</v>
      </c>
      <c r="G298" s="25" t="s">
        <v>1275</v>
      </c>
      <c r="H298" s="23" t="str">
        <f t="shared" si="4"/>
        <v>INSERT INTO medical_supply_product (active, category, description, name, code, brand_code, uom) VALUES (true, 'Găng tay robot phục hồi chức năng', 'Găng tay robot Timelock hỗ trợ tập phục hồi chức năng bàn tay, giúp cải thiện teo cơ, cứng khớp, tăng tuần hoàn và sức co duỗi. Dành cho bệnh nhân liệt hoặc tổn thương bàn tay; tập liên tục tại nhà, tiết kiệm công chăm sóc.', '[Timelock] Găng tay robot phục hồi chức năng bàn tay (Bên phải)', 'PRODUCT-00297', 'BRAND-062', 'bộ');</v>
      </c>
    </row>
    <row r="299" spans="1:8" ht="60" x14ac:dyDescent="0.25">
      <c r="A299" s="7" t="s">
        <v>1628</v>
      </c>
      <c r="B299" s="1" t="s">
        <v>1629</v>
      </c>
      <c r="C299" s="1" t="s">
        <v>71</v>
      </c>
      <c r="D299" s="1" t="s">
        <v>2249</v>
      </c>
      <c r="E299" s="1" t="s">
        <v>383</v>
      </c>
      <c r="F299" s="23" t="str">
        <f>IFERROR(INDEX(Brand!$A:$A,MATCH(TRIM(C299),Brand!$B:$B,0)),"NOT FOUND")</f>
        <v>BRAND-065</v>
      </c>
      <c r="G299" s="25" t="s">
        <v>1282</v>
      </c>
      <c r="H299" s="23" t="str">
        <f t="shared" si="4"/>
        <v>INSERT INTO medical_supply_product (active, category, description, name, code, brand_code, uom) VALUES (true, 'Vớ y khoa giãn tĩnh mạch', 'Vớ đùi y khoa Venosan 6000 với áp lực giảm dần từ cổ chân lên đùi, giúp tăng tuần hoàn máu, hỗ trợ điều trị và ngăn suy giãn tĩnh mạch chân tiến triển. Phù hợp người phải đứng hoặc ngồi lâu, ít vận động.', '[Venosan] Vớ y khoa hỗ trợ điều trị suy giãn tĩnh mạch - Venosan 6000 (Vớ gối)', 'PRODUCT-00298', 'BRAND-065', 'đôi');</v>
      </c>
    </row>
    <row r="300" spans="1:8" ht="60" x14ac:dyDescent="0.25">
      <c r="A300" s="7" t="s">
        <v>1630</v>
      </c>
      <c r="B300" s="1" t="s">
        <v>1631</v>
      </c>
      <c r="C300" s="1" t="s">
        <v>71</v>
      </c>
      <c r="D300" s="1" t="s">
        <v>2249</v>
      </c>
      <c r="E300" s="1" t="s">
        <v>383</v>
      </c>
      <c r="F300" s="23" t="str">
        <f>IFERROR(INDEX(Brand!$A:$A,MATCH(TRIM(C300),Brand!$B:$B,0)),"NOT FOUND")</f>
        <v>BRAND-065</v>
      </c>
      <c r="G300" s="25" t="s">
        <v>1282</v>
      </c>
      <c r="H300" s="23" t="str">
        <f t="shared" si="4"/>
        <v>INSERT INTO medical_supply_product (active, category, description, name, code, brand_code, uom) VALUES (true, 'Vớ y khoa giãn tĩnh mạch', 'Vớ đùi y khoa Venosan 6000 với áp lực giảm dần từ cổ chân lên đùi, giúp tăng tuần hoàn máu, hỗ trợ điều trị và ngăn suy giãn tĩnh mạch chân tiến triển. Phù hợp người phải đứng hoặc ngồi lâu, ít vận động.', '[Venosan] Vớ y khoa hỗ trợ điều trị suy giãn tĩnh mạch - Venosan 6000 (Vớ đùi)', 'PRODUCT-00299', 'BRAND-065', 'đôi');</v>
      </c>
    </row>
    <row r="301" spans="1:8" ht="60" x14ac:dyDescent="0.25">
      <c r="A301" s="7" t="s">
        <v>1633</v>
      </c>
      <c r="B301" s="1" t="s">
        <v>1634</v>
      </c>
      <c r="C301" s="1" t="s">
        <v>12</v>
      </c>
      <c r="D301" s="1" t="s">
        <v>2261</v>
      </c>
      <c r="E301" s="1" t="s">
        <v>403</v>
      </c>
      <c r="F301" s="23" t="str">
        <f>IFERROR(INDEX(Brand!$A:$A,MATCH(TRIM(C301),Brand!$B:$B,0)),"NOT FOUND")</f>
        <v>BRAND-024</v>
      </c>
      <c r="G301" s="24" t="s">
        <v>1274</v>
      </c>
      <c r="H301" s="23" t="str">
        <f t="shared" si="4"/>
        <v>INSERT INTO medical_supply_product (active, category, description, name, code, brand_code, uom) VALUES (true, 'Phụ kiện hậu môn nhân tạo', 'Vòng bảo vệ da Hollister 7805 dùng keo Flextend M bám chắc, tạo hàng rào chống thấm quanh hậu môn nhân tạo. Lấp khoảng hở, ngăn chất thải tiếp xúc da, giảm kích ứng và loét.', '[Hollister] Vòng bảo vệ da chống loét hậu môn nhân tạo (Mẫu 7806)', 'PRODUCT-00300', 'BRAND-024', 'cái');</v>
      </c>
    </row>
  </sheetData>
  <autoFilter ref="A1:H301" xr:uid="{8CC7095D-ABFA-4076-812A-FBB2D37B799E}"/>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3019F9F-6A2B-4B34-845A-821B8C28A3B8}">
          <x14:formula1>
            <xm:f>'Product Category'!$A$2:$A$77</xm:f>
          </x14:formula1>
          <xm:sqref>D2:D301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46D2A-F4F2-40CE-81A6-CF700BB031E2}">
  <dimension ref="A1:E412"/>
  <sheetViews>
    <sheetView zoomScaleNormal="100" workbookViewId="0">
      <pane ySplit="1" topLeftCell="A23" activePane="bottomLeft" state="frozen"/>
      <selection pane="bottomLeft" activeCell="D46" sqref="D46"/>
    </sheetView>
  </sheetViews>
  <sheetFormatPr defaultRowHeight="15" x14ac:dyDescent="0.25"/>
  <cols>
    <col min="1" max="1" width="20" customWidth="1"/>
    <col min="2" max="2" width="17.28515625" customWidth="1"/>
    <col min="3" max="4" width="99" bestFit="1" customWidth="1"/>
    <col min="5" max="5" width="133.28515625" bestFit="1" customWidth="1"/>
  </cols>
  <sheetData>
    <row r="1" spans="1:5" x14ac:dyDescent="0.25">
      <c r="A1" s="26" t="s">
        <v>821</v>
      </c>
      <c r="B1" s="26" t="s">
        <v>811</v>
      </c>
      <c r="C1" s="26" t="s">
        <v>122</v>
      </c>
      <c r="D1" s="26" t="s">
        <v>2047</v>
      </c>
      <c r="E1" s="26" t="s">
        <v>2201</v>
      </c>
    </row>
    <row r="2" spans="1:5" x14ac:dyDescent="0.25">
      <c r="A2" s="23" t="str">
        <f>B2&amp;"-"&amp;TEXT(COUNTIF(B$2:B2,B2),"000")</f>
        <v>PRODUCT-00001-001</v>
      </c>
      <c r="B2" s="23" t="s">
        <v>562</v>
      </c>
      <c r="C2" s="23" t="str">
        <f>IFERROR(INDEX(Product!$B:$B,MATCH(B2,Product!$A:$A,0)),"NOT FOUND")</f>
        <v>[Greetmed] Phao chống loét cao su</v>
      </c>
      <c r="D2" s="23"/>
      <c r="E2" s="23" t="str">
        <f>"INSERT INTO public.medical_supply_product_variant (additional_desc, code, product_code) VALUES ("&amp;IF(D2="","NULL","'"&amp;SUBSTITUTE(D2,"'","''")&amp;"'")&amp;", '"&amp;A2&amp;"', '"&amp;B2&amp;"');"</f>
        <v>INSERT INTO public.medical_supply_product_variant (additional_desc, code, product_code) VALUES (NULL, 'PRODUCT-00001-001', 'PRODUCT-00001');</v>
      </c>
    </row>
    <row r="3" spans="1:5" x14ac:dyDescent="0.25">
      <c r="A3" s="23" t="str">
        <f>B3&amp;"-"&amp;TEXT(COUNTIF(B$2:B3,B3),"000")</f>
        <v>PRODUCT-00002-001</v>
      </c>
      <c r="B3" s="23" t="s">
        <v>563</v>
      </c>
      <c r="C3" s="23" t="str">
        <f>IFERROR(INDEX(Product!$B:$B,MATCH(B3,Product!$A:$A,0)),"NOT FOUND")</f>
        <v>[iMedicare] Đệm hơi chống lở loét - iAM-8P</v>
      </c>
      <c r="D3" s="23"/>
      <c r="E3" s="23" t="str">
        <f t="shared" ref="E3:E66" si="0">"INSERT INTO public.medical_supply_product_variant (additional_desc, code, product_code) VALUES ("&amp;IF(D3="","NULL","'"&amp;SUBSTITUTE(D3,"'","''")&amp;"'")&amp;", '"&amp;A3&amp;"', '"&amp;B3&amp;"');"</f>
        <v>INSERT INTO public.medical_supply_product_variant (additional_desc, code, product_code) VALUES (NULL, 'PRODUCT-00002-001', 'PRODUCT-00002');</v>
      </c>
    </row>
    <row r="4" spans="1:5" x14ac:dyDescent="0.25">
      <c r="A4" s="23" t="str">
        <f>B4&amp;"-"&amp;TEXT(COUNTIF(B$2:B4,B4),"000")</f>
        <v>PRODUCT-00003-001</v>
      </c>
      <c r="B4" s="23" t="s">
        <v>564</v>
      </c>
      <c r="C4" s="23" t="str">
        <f>IFERROR(INDEX(Product!$B:$B,MATCH(B4,Product!$A:$A,0)),"NOT FOUND")</f>
        <v>[Lucass] Đệm hơi chống lở loét - LC-389</v>
      </c>
      <c r="D4" s="23"/>
      <c r="E4" s="23" t="str">
        <f t="shared" si="0"/>
        <v>INSERT INTO public.medical_supply_product_variant (additional_desc, code, product_code) VALUES (NULL, 'PRODUCT-00003-001', 'PRODUCT-00003');</v>
      </c>
    </row>
    <row r="5" spans="1:5" x14ac:dyDescent="0.25">
      <c r="A5" s="23" t="str">
        <f>B5&amp;"-"&amp;TEXT(COUNTIF(B$2:B5,B5),"000")</f>
        <v>PRODUCT-00004-001</v>
      </c>
      <c r="B5" s="23" t="s">
        <v>565</v>
      </c>
      <c r="C5" s="23" t="str">
        <f>IFERROR(INDEX(Product!$B:$B,MATCH(B5,Product!$A:$A,0)),"NOT FOUND")</f>
        <v>[Rionet] Máy trợ thính có dây đeo - HA-20DX</v>
      </c>
      <c r="D5" s="23"/>
      <c r="E5" s="23" t="str">
        <f t="shared" si="0"/>
        <v>INSERT INTO public.medical_supply_product_variant (additional_desc, code, product_code) VALUES (NULL, 'PRODUCT-00004-001', 'PRODUCT-00004');</v>
      </c>
    </row>
    <row r="6" spans="1:5" x14ac:dyDescent="0.25">
      <c r="A6" s="23" t="str">
        <f>B6&amp;"-"&amp;TEXT(COUNTIF(B$2:B6,B6),"000")</f>
        <v>PRODUCT-00005-001</v>
      </c>
      <c r="B6" s="23" t="s">
        <v>566</v>
      </c>
      <c r="C6" s="23" t="str">
        <f>IFERROR(INDEX(Product!$B:$B,MATCH(B6,Product!$A:$A,0)),"NOT FOUND")</f>
        <v>[Rionet] Máy trợ thính không dây - HB-23P</v>
      </c>
      <c r="D6" s="23"/>
      <c r="E6" s="23" t="str">
        <f t="shared" si="0"/>
        <v>INSERT INTO public.medical_supply_product_variant (additional_desc, code, product_code) VALUES (NULL, 'PRODUCT-00005-001', 'PRODUCT-00005');</v>
      </c>
    </row>
    <row r="7" spans="1:5" x14ac:dyDescent="0.25">
      <c r="A7" s="23" t="str">
        <f>B7&amp;"-"&amp;TEXT(COUNTIF(B$2:B7,B7),"000")</f>
        <v>PRODUCT-00006-001</v>
      </c>
      <c r="B7" s="23" t="s">
        <v>567</v>
      </c>
      <c r="C7" s="23" t="str">
        <f>IFERROR(INDEX(Product!$B:$B,MATCH(B7,Product!$A:$A,0)),"NOT FOUND")</f>
        <v>[Rionet] Máy trợ thính không dây thông minh - HM-06</v>
      </c>
      <c r="D7" s="23"/>
      <c r="E7" s="23" t="str">
        <f t="shared" si="0"/>
        <v>INSERT INTO public.medical_supply_product_variant (additional_desc, code, product_code) VALUES (NULL, 'PRODUCT-00006-001', 'PRODUCT-00006');</v>
      </c>
    </row>
    <row r="8" spans="1:5" x14ac:dyDescent="0.25">
      <c r="A8" s="23" t="str">
        <f>B8&amp;"-"&amp;TEXT(COUNTIF(B$2:B8,B8),"000")</f>
        <v>PRODUCT-00007-001</v>
      </c>
      <c r="B8" s="23" t="s">
        <v>568</v>
      </c>
      <c r="C8" s="23" t="str">
        <f>IFERROR(INDEX(Product!$B:$B,MATCH(B8,Product!$A:$A,0)),"NOT FOUND")</f>
        <v>[WaterJet] Máy tăm nước - Cordless Maxi</v>
      </c>
      <c r="D8" s="23"/>
      <c r="E8" s="23" t="str">
        <f t="shared" si="0"/>
        <v>INSERT INTO public.medical_supply_product_variant (additional_desc, code, product_code) VALUES (NULL, 'PRODUCT-00007-001', 'PRODUCT-00007');</v>
      </c>
    </row>
    <row r="9" spans="1:5" x14ac:dyDescent="0.25">
      <c r="A9" s="23" t="str">
        <f>B9&amp;"-"&amp;TEXT(COUNTIF(B$2:B9,B9),"000")</f>
        <v>PRODUCT-00008-001</v>
      </c>
      <c r="B9" s="23" t="s">
        <v>569</v>
      </c>
      <c r="C9" s="23" t="str">
        <f>IFERROR(INDEX(Product!$B:$B,MATCH(B9,Product!$A:$A,0)),"NOT FOUND")</f>
        <v>[Young Chemical Vina] Miếng dán mụn - Somaderm Spot S (32 miếng)</v>
      </c>
      <c r="D9" s="23"/>
      <c r="E9" s="23" t="str">
        <f t="shared" si="0"/>
        <v>INSERT INTO public.medical_supply_product_variant (additional_desc, code, product_code) VALUES (NULL, 'PRODUCT-00008-001', 'PRODUCT-00008');</v>
      </c>
    </row>
    <row r="10" spans="1:5" x14ac:dyDescent="0.25">
      <c r="A10" s="23" t="str">
        <f>B10&amp;"-"&amp;TEXT(COUNTIF(B$2:B10,B10),"000")</f>
        <v>PRODUCT-00250-001</v>
      </c>
      <c r="B10" s="23" t="s">
        <v>1474</v>
      </c>
      <c r="C10" s="23" t="str">
        <f>IFERROR(INDEX(Product!$B:$B,MATCH(B10,Product!$A:$A,0)),"NOT FOUND")</f>
        <v>[Young Chemical Vina] Miếng dán mụn - Somaderm Spot (24 miếng)</v>
      </c>
      <c r="D10" s="23"/>
      <c r="E10" s="23" t="str">
        <f t="shared" si="0"/>
        <v>INSERT INTO public.medical_supply_product_variant (additional_desc, code, product_code) VALUES (NULL, 'PRODUCT-00250-001', 'PRODUCT-00250');</v>
      </c>
    </row>
    <row r="11" spans="1:5" x14ac:dyDescent="0.25">
      <c r="A11" s="23" t="str">
        <f>B11&amp;"-"&amp;TEXT(COUNTIF(B$2:B11,B11),"000")</f>
        <v>PRODUCT-00251-001</v>
      </c>
      <c r="B11" s="23" t="s">
        <v>1476</v>
      </c>
      <c r="C11" s="23" t="str">
        <f>IFERROR(INDEX(Product!$B:$B,MATCH(B11,Product!$A:$A,0)),"NOT FOUND")</f>
        <v>[Young Chemical Vina] Miếng dán mụn - Somaderm Spot (18 miếng)</v>
      </c>
      <c r="D11" s="23"/>
      <c r="E11" s="23" t="str">
        <f t="shared" si="0"/>
        <v>INSERT INTO public.medical_supply_product_variant (additional_desc, code, product_code) VALUES (NULL, 'PRODUCT-00251-001', 'PRODUCT-00251');</v>
      </c>
    </row>
    <row r="12" spans="1:5" x14ac:dyDescent="0.25">
      <c r="A12" s="23" t="str">
        <f>B12&amp;"-"&amp;TEXT(COUNTIF(B$2:B12,B12),"000")</f>
        <v>PRODUCT-00009-001</v>
      </c>
      <c r="B12" s="23" t="s">
        <v>570</v>
      </c>
      <c r="C12" s="23" t="str">
        <f>IFERROR(INDEX(Product!$B:$B,MATCH(B12,Product!$A:$A,0)),"NOT FOUND")</f>
        <v>[Young Chemical Vina] Miếng dán mụn - Somaderm-Thin (Ø10mm)</v>
      </c>
      <c r="D12" s="23"/>
      <c r="E12" s="23" t="str">
        <f t="shared" si="0"/>
        <v>INSERT INTO public.medical_supply_product_variant (additional_desc, code, product_code) VALUES (NULL, 'PRODUCT-00009-001', 'PRODUCT-00009');</v>
      </c>
    </row>
    <row r="13" spans="1:5" x14ac:dyDescent="0.25">
      <c r="A13" s="23" t="str">
        <f>B13&amp;"-"&amp;TEXT(COUNTIF(B$2:B13,B13),"000")</f>
        <v>PRODUCT-00010-001</v>
      </c>
      <c r="B13" s="23" t="s">
        <v>571</v>
      </c>
      <c r="C13" s="23" t="str">
        <f>IFERROR(INDEX(Product!$B:$B,MATCH(B13,Product!$A:$A,0)),"NOT FOUND")</f>
        <v>Mặt nạ xông hơi mắt ngải cứu - Mugwort Steam Eyes Mask</v>
      </c>
      <c r="D13" s="23"/>
      <c r="E13" s="23" t="str">
        <f t="shared" si="0"/>
        <v>INSERT INTO public.medical_supply_product_variant (additional_desc, code, product_code) VALUES (NULL, 'PRODUCT-00010-001', 'PRODUCT-00010');</v>
      </c>
    </row>
    <row r="14" spans="1:5" x14ac:dyDescent="0.25">
      <c r="A14" s="23" t="str">
        <f>B14&amp;"-"&amp;TEXT(COUNTIF(B$2:B14,B14),"000")</f>
        <v>PRODUCT-00011-001</v>
      </c>
      <c r="B14" s="23" t="s">
        <v>572</v>
      </c>
      <c r="C14" s="23" t="str">
        <f>IFERROR(INDEX(Product!$B:$B,MATCH(B14,Product!$A:$A,0)),"NOT FOUND")</f>
        <v>[3M™] Bộ gạc xốp phủ vết thương điều trị áp lực âm VAC kèm chức năng rửa - Veraflo™</v>
      </c>
      <c r="D14" s="23"/>
      <c r="E14" s="23" t="str">
        <f t="shared" si="0"/>
        <v>INSERT INTO public.medical_supply_product_variant (additional_desc, code, product_code) VALUES (NULL, 'PRODUCT-00011-001', 'PRODUCT-00011');</v>
      </c>
    </row>
    <row r="15" spans="1:5" x14ac:dyDescent="0.25">
      <c r="A15" s="23" t="str">
        <f>B15&amp;"-"&amp;TEXT(COUNTIF(B$2:B15,B15),"000")</f>
        <v>PRODUCT-00012-001</v>
      </c>
      <c r="B15" s="23" t="s">
        <v>573</v>
      </c>
      <c r="C15" s="23" t="str">
        <f>IFERROR(INDEX(Product!$B:$B,MATCH(B15,Product!$A:$A,0)),"NOT FOUND")</f>
        <v>[3M™] Miếng dán vết thương thay chỉ khâu - STERI-STRIP™ (3mmx75mm)</v>
      </c>
      <c r="D15" s="23"/>
      <c r="E15" s="23" t="str">
        <f t="shared" si="0"/>
        <v>INSERT INTO public.medical_supply_product_variant (additional_desc, code, product_code) VALUES (NULL, 'PRODUCT-00012-001', 'PRODUCT-00012');</v>
      </c>
    </row>
    <row r="16" spans="1:5" x14ac:dyDescent="0.25">
      <c r="A16" s="23" t="str">
        <f>B16&amp;"-"&amp;TEXT(COUNTIF(B$2:B16,B16),"000")</f>
        <v>PRODUCT-00252-001</v>
      </c>
      <c r="B16" s="23" t="s">
        <v>1479</v>
      </c>
      <c r="C16" s="23" t="str">
        <f>IFERROR(INDEX(Product!$B:$B,MATCH(B16,Product!$A:$A,0)),"NOT FOUND")</f>
        <v>[3M™] Miếng dán vết thương thay chỉ khâu - STERI-STRIP™ (6mmx100mm)</v>
      </c>
      <c r="D16" s="23"/>
      <c r="E16" s="23" t="str">
        <f t="shared" si="0"/>
        <v>INSERT INTO public.medical_supply_product_variant (additional_desc, code, product_code) VALUES (NULL, 'PRODUCT-00252-001', 'PRODUCT-00252');</v>
      </c>
    </row>
    <row r="17" spans="1:5" x14ac:dyDescent="0.25">
      <c r="A17" s="23" t="str">
        <f>B17&amp;"-"&amp;TEXT(COUNTIF(B$2:B17,B17),"000")</f>
        <v>PRODUCT-00253-001</v>
      </c>
      <c r="B17" s="23" t="s">
        <v>1481</v>
      </c>
      <c r="C17" s="23" t="str">
        <f>IFERROR(INDEX(Product!$B:$B,MATCH(B17,Product!$A:$A,0)),"NOT FOUND")</f>
        <v>[3M™] Miếng dán vết thương thay chỉ khâu - STERI-STRIP™ (12mmx100mm)</v>
      </c>
      <c r="D17" s="23"/>
      <c r="E17" s="23" t="str">
        <f t="shared" si="0"/>
        <v>INSERT INTO public.medical_supply_product_variant (additional_desc, code, product_code) VALUES (NULL, 'PRODUCT-00253-001', 'PRODUCT-00253');</v>
      </c>
    </row>
    <row r="18" spans="1:5" x14ac:dyDescent="0.25">
      <c r="A18" s="23" t="str">
        <f>B18&amp;"-"&amp;TEXT(COUNTIF(B$2:B18,B18),"000")</f>
        <v>PRODUCT-00013-001</v>
      </c>
      <c r="B18" s="23" t="s">
        <v>574</v>
      </c>
      <c r="C18" s="23" t="str">
        <f>IFERROR(INDEX(Product!$B:$B,MATCH(B18,Product!$A:$A,0)),"NOT FOUND")</f>
        <v>[3M™] Xịt bảo vệ chống hăm loét da - Cavilon (28ml)</v>
      </c>
      <c r="D18" s="23"/>
      <c r="E18" s="23" t="str">
        <f t="shared" si="0"/>
        <v>INSERT INTO public.medical_supply_product_variant (additional_desc, code, product_code) VALUES (NULL, 'PRODUCT-00013-001', 'PRODUCT-00013');</v>
      </c>
    </row>
    <row r="19" spans="1:5" x14ac:dyDescent="0.25">
      <c r="A19" s="23" t="str">
        <f>B19&amp;"-"&amp;TEXT(COUNTIF(B$2:B19,B19),"000")</f>
        <v>PRODUCT-00014-001</v>
      </c>
      <c r="B19" s="23" t="s">
        <v>575</v>
      </c>
      <c r="C19" s="23" t="str">
        <f>IFERROR(INDEX(Product!$B:$B,MATCH(B19,Product!$A:$A,0)),"NOT FOUND")</f>
        <v>[ConvaTec] Băng dán vết thương - DuoDerm Extra Thin (10cmx10cm)</v>
      </c>
      <c r="D19" s="23"/>
      <c r="E19" s="23" t="str">
        <f t="shared" si="0"/>
        <v>INSERT INTO public.medical_supply_product_variant (additional_desc, code, product_code) VALUES (NULL, 'PRODUCT-00014-001', 'PRODUCT-00014');</v>
      </c>
    </row>
    <row r="20" spans="1:5" x14ac:dyDescent="0.25">
      <c r="A20" s="23" t="str">
        <f>B20&amp;"-"&amp;TEXT(COUNTIF(B$2:B20,B20),"000")</f>
        <v>PRODUCT-00254-001</v>
      </c>
      <c r="B20" s="23" t="s">
        <v>1483</v>
      </c>
      <c r="C20" s="23" t="str">
        <f>IFERROR(INDEX(Product!$B:$B,MATCH(B20,Product!$A:$A,0)),"NOT FOUND")</f>
        <v>[ConvaTec] Băng dán vết thương - DuoDerm Extra Thin (5cmx20cm)</v>
      </c>
      <c r="D20" s="23"/>
      <c r="E20" s="23" t="str">
        <f t="shared" si="0"/>
        <v>INSERT INTO public.medical_supply_product_variant (additional_desc, code, product_code) VALUES (NULL, 'PRODUCT-00254-001', 'PRODUCT-00254');</v>
      </c>
    </row>
    <row r="21" spans="1:5" x14ac:dyDescent="0.25">
      <c r="A21" s="23" t="str">
        <f>B21&amp;"-"&amp;TEXT(COUNTIF(B$2:B21,B21),"000")</f>
        <v>PRODUCT-00255-001</v>
      </c>
      <c r="B21" s="23" t="s">
        <v>1485</v>
      </c>
      <c r="C21" s="23" t="str">
        <f>IFERROR(INDEX(Product!$B:$B,MATCH(B21,Product!$A:$A,0)),"NOT FOUND")</f>
        <v>[ConvaTec] Băng dán vết thương - DuoDerm Extra Thin (5cmx10cm)</v>
      </c>
      <c r="D21" s="23"/>
      <c r="E21" s="23" t="str">
        <f t="shared" si="0"/>
        <v>INSERT INTO public.medical_supply_product_variant (additional_desc, code, product_code) VALUES (NULL, 'PRODUCT-00255-001', 'PRODUCT-00255');</v>
      </c>
    </row>
    <row r="22" spans="1:5" x14ac:dyDescent="0.25">
      <c r="A22" s="23" t="str">
        <f>B22&amp;"-"&amp;TEXT(COUNTIF(B$2:B22,B22),"000")</f>
        <v>PRODUCT-00015-001</v>
      </c>
      <c r="B22" s="23" t="s">
        <v>576</v>
      </c>
      <c r="C22" s="23" t="str">
        <f>IFERROR(INDEX(Product!$B:$B,MATCH(B22,Product!$A:$A,0)),"NOT FOUND")</f>
        <v>[Dr.Muller Pharma] Gel bôi vết thương hở - Okuskin (10g)</v>
      </c>
      <c r="D22" s="23"/>
      <c r="E22" s="23" t="str">
        <f t="shared" si="0"/>
        <v>INSERT INTO public.medical_supply_product_variant (additional_desc, code, product_code) VALUES (NULL, 'PRODUCT-00015-001', 'PRODUCT-00015');</v>
      </c>
    </row>
    <row r="23" spans="1:5" x14ac:dyDescent="0.25">
      <c r="A23" s="23" t="str">
        <f>B23&amp;"-"&amp;TEXT(COUNTIF(B$2:B23,B23),"000")</f>
        <v>PRODUCT-00256-001</v>
      </c>
      <c r="B23" s="23" t="s">
        <v>1487</v>
      </c>
      <c r="C23" s="23" t="str">
        <f>IFERROR(INDEX(Product!$B:$B,MATCH(B23,Product!$A:$A,0)),"NOT FOUND")</f>
        <v>[Dr.Muller Pharma] Gel bôi vết thương hở - Okuskin (30g)</v>
      </c>
      <c r="D23" s="23"/>
      <c r="E23" s="23" t="str">
        <f t="shared" si="0"/>
        <v>INSERT INTO public.medical_supply_product_variant (additional_desc, code, product_code) VALUES (NULL, 'PRODUCT-00256-001', 'PRODUCT-00256');</v>
      </c>
    </row>
    <row r="24" spans="1:5" x14ac:dyDescent="0.25">
      <c r="A24" s="23" t="str">
        <f>B24&amp;"-"&amp;TEXT(COUNTIF(B$2:B24,B24),"000")</f>
        <v>PRODUCT-00016-001</v>
      </c>
      <c r="B24" s="23" t="s">
        <v>577</v>
      </c>
      <c r="C24" s="23" t="str">
        <f>IFERROR(INDEX(Product!$B:$B,MATCH(B24,Product!$A:$A,0)),"NOT FOUND")</f>
        <v>[ICM] Dung dịch sát khuẩn rửa vết thương - Berbemed (150ml)</v>
      </c>
      <c r="D24" s="23"/>
      <c r="E24" s="23" t="str">
        <f t="shared" si="0"/>
        <v>INSERT INTO public.medical_supply_product_variant (additional_desc, code, product_code) VALUES (NULL, 'PRODUCT-00016-001', 'PRODUCT-00016');</v>
      </c>
    </row>
    <row r="25" spans="1:5" x14ac:dyDescent="0.25">
      <c r="A25" s="23" t="str">
        <f>B25&amp;"-"&amp;TEXT(COUNTIF(B$2:B25,B25),"000")</f>
        <v>PRODUCT-00017-001</v>
      </c>
      <c r="B25" s="23" t="s">
        <v>578</v>
      </c>
      <c r="C25" s="23" t="str">
        <f>IFERROR(INDEX(Product!$B:$B,MATCH(B25,Product!$A:$A,0)),"NOT FOUND")</f>
        <v>[Mepro] Bông tẩm cồn sát trùng - Alcohol Swab</v>
      </c>
      <c r="D25" s="23"/>
      <c r="E25" s="23" t="str">
        <f t="shared" si="0"/>
        <v>INSERT INTO public.medical_supply_product_variant (additional_desc, code, product_code) VALUES (NULL, 'PRODUCT-00017-001', 'PRODUCT-00017');</v>
      </c>
    </row>
    <row r="26" spans="1:5" x14ac:dyDescent="0.25">
      <c r="A26" s="23" t="str">
        <f>B26&amp;"-"&amp;TEXT(COUNTIF(B$2:B26,B26),"000")</f>
        <v>PRODUCT-00018-001</v>
      </c>
      <c r="B26" s="23" t="s">
        <v>579</v>
      </c>
      <c r="C26" s="23" t="str">
        <f>IFERROR(INDEX(Product!$B:$B,MATCH(B26,Product!$A:$A,0)),"NOT FOUND")</f>
        <v>[SeaSight] Gạc xốp hút dịch chống loét có viền dính silicone (18.5cmx24cm)</v>
      </c>
      <c r="D26" s="23"/>
      <c r="E26" s="23" t="str">
        <f t="shared" si="0"/>
        <v>INSERT INTO public.medical_supply_product_variant (additional_desc, code, product_code) VALUES (NULL, 'PRODUCT-00018-001', 'PRODUCT-00018');</v>
      </c>
    </row>
    <row r="27" spans="1:5" x14ac:dyDescent="0.25">
      <c r="A27" s="23" t="str">
        <f>B27&amp;"-"&amp;TEXT(COUNTIF(B$2:B27,B27),"000")</f>
        <v>PRODUCT-00019-001</v>
      </c>
      <c r="B27" s="23" t="s">
        <v>580</v>
      </c>
      <c r="C27" s="23" t="str">
        <f>IFERROR(INDEX(Product!$B:$B,MATCH(B27,Product!$A:$A,0)),"NOT FOUND")</f>
        <v>[SeaSight] Miếng dán vết thương thay chỉ khâu (3mmx75mm)</v>
      </c>
      <c r="D27" s="23"/>
      <c r="E27" s="23" t="str">
        <f t="shared" si="0"/>
        <v>INSERT INTO public.medical_supply_product_variant (additional_desc, code, product_code) VALUES (NULL, 'PRODUCT-00019-001', 'PRODUCT-00019');</v>
      </c>
    </row>
    <row r="28" spans="1:5" x14ac:dyDescent="0.25">
      <c r="A28" s="23" t="str">
        <f>B28&amp;"-"&amp;TEXT(COUNTIF(B$2:B28,B28),"000")</f>
        <v>PRODUCT-00257-001</v>
      </c>
      <c r="B28" s="23" t="s">
        <v>1495</v>
      </c>
      <c r="C28" s="23" t="str">
        <f>IFERROR(INDEX(Product!$B:$B,MATCH(B28,Product!$A:$A,0)),"NOT FOUND")</f>
        <v>[SeaSight] Miếng dán vết thương thay chỉ khâu (6mmx38mm)</v>
      </c>
      <c r="D28" s="23"/>
      <c r="E28" s="23" t="str">
        <f t="shared" si="0"/>
        <v>INSERT INTO public.medical_supply_product_variant (additional_desc, code, product_code) VALUES (NULL, 'PRODUCT-00257-001', 'PRODUCT-00257');</v>
      </c>
    </row>
    <row r="29" spans="1:5" x14ac:dyDescent="0.25">
      <c r="A29" s="23" t="str">
        <f>B29&amp;"-"&amp;TEXT(COUNTIF(B$2:B29,B29),"000")</f>
        <v>PRODUCT-00258-001</v>
      </c>
      <c r="B29" s="23" t="s">
        <v>1497</v>
      </c>
      <c r="C29" s="23" t="str">
        <f>IFERROR(INDEX(Product!$B:$B,MATCH(B29,Product!$A:$A,0)),"NOT FOUND")</f>
        <v>[SeaSight] Miếng dán vết thương thay chỉ khâu (6mmx100mm)</v>
      </c>
      <c r="D29" s="23"/>
      <c r="E29" s="23" t="str">
        <f t="shared" si="0"/>
        <v>INSERT INTO public.medical_supply_product_variant (additional_desc, code, product_code) VALUES (NULL, 'PRODUCT-00258-001', 'PRODUCT-00258');</v>
      </c>
    </row>
    <row r="30" spans="1:5" x14ac:dyDescent="0.25">
      <c r="A30" s="23" t="str">
        <f>B30&amp;"-"&amp;TEXT(COUNTIF(B$2:B30,B30),"000")</f>
        <v>PRODUCT-00259-001</v>
      </c>
      <c r="B30" s="23" t="s">
        <v>1499</v>
      </c>
      <c r="C30" s="23" t="str">
        <f>IFERROR(INDEX(Product!$B:$B,MATCH(B30,Product!$A:$A,0)),"NOT FOUND")</f>
        <v>[SeaSight] Miếng dán vết thương thay chỉ khâu (12mmx100mm)</v>
      </c>
      <c r="D30" s="23"/>
      <c r="E30" s="23" t="str">
        <f t="shared" si="0"/>
        <v>INSERT INTO public.medical_supply_product_variant (additional_desc, code, product_code) VALUES (NULL, 'PRODUCT-00259-001', 'PRODUCT-00259');</v>
      </c>
    </row>
    <row r="31" spans="1:5" x14ac:dyDescent="0.25">
      <c r="A31" s="23" t="str">
        <f>B31&amp;"-"&amp;TEXT(COUNTIF(B$2:B31,B31),"000")</f>
        <v>PRODUCT-00020-001</v>
      </c>
      <c r="B31" s="23" t="s">
        <v>581</v>
      </c>
      <c r="C31" s="23" t="str">
        <f>IFERROR(INDEX(Product!$B:$B,MATCH(B31,Product!$A:$A,0)),"NOT FOUND")</f>
        <v>[Tanaphar] Bông tẩm cồn tiệt trùng - Alcohol Swab</v>
      </c>
      <c r="D31" s="23"/>
      <c r="E31" s="23" t="str">
        <f t="shared" si="0"/>
        <v>INSERT INTO public.medical_supply_product_variant (additional_desc, code, product_code) VALUES (NULL, 'PRODUCT-00020-001', 'PRODUCT-00020');</v>
      </c>
    </row>
    <row r="32" spans="1:5" x14ac:dyDescent="0.25">
      <c r="A32" s="23" t="str">
        <f>B32&amp;"-"&amp;TEXT(COUNTIF(B$2:B32,B32),"000")</f>
        <v>PRODUCT-00021-001</v>
      </c>
      <c r="B32" s="23" t="s">
        <v>582</v>
      </c>
      <c r="C32" s="23" t="str">
        <f>IFERROR(INDEX(Product!$B:$B,MATCH(B32,Product!$A:$A,0)),"NOT FOUND")</f>
        <v>[Terrapharm] Dung dịch kháng khuẩn rửa vết thương - Dizigone (300ml)</v>
      </c>
      <c r="D32" s="23"/>
      <c r="E32" s="23" t="str">
        <f t="shared" si="0"/>
        <v>INSERT INTO public.medical_supply_product_variant (additional_desc, code, product_code) VALUES (NULL, 'PRODUCT-00021-001', 'PRODUCT-00021');</v>
      </c>
    </row>
    <row r="33" spans="1:5" x14ac:dyDescent="0.25">
      <c r="A33" s="23" t="str">
        <f>B33&amp;"-"&amp;TEXT(COUNTIF(B$2:B33,B33),"000")</f>
        <v>PRODUCT-00022-001</v>
      </c>
      <c r="B33" s="23" t="s">
        <v>583</v>
      </c>
      <c r="C33" s="23" t="str">
        <f>IFERROR(INDEX(Product!$B:$B,MATCH(B33,Product!$A:$A,0)),"NOT FOUND")</f>
        <v>[Terrapharm] Xịt kháng khuẩn - Dizigone Spray (100ml)</v>
      </c>
      <c r="D33" s="23"/>
      <c r="E33" s="23" t="str">
        <f t="shared" si="0"/>
        <v>INSERT INTO public.medical_supply_product_variant (additional_desc, code, product_code) VALUES (NULL, 'PRODUCT-00022-001', 'PRODUCT-00022');</v>
      </c>
    </row>
    <row r="34" spans="1:5" x14ac:dyDescent="0.25">
      <c r="A34" s="23" t="str">
        <f>B34&amp;"-"&amp;TEXT(COUNTIF(B$2:B34,B34),"000")</f>
        <v>PRODUCT-00023-001</v>
      </c>
      <c r="B34" s="23" t="s">
        <v>584</v>
      </c>
      <c r="C34" s="23" t="str">
        <f>IFERROR(INDEX(Product!$B:$B,MATCH(B34,Product!$A:$A,0)),"NOT FOUND")</f>
        <v>[Urgo] Gạc lưới chống dính - UrgoTul (10cmx10cm)</v>
      </c>
      <c r="D34" s="23"/>
      <c r="E34" s="23" t="str">
        <f t="shared" si="0"/>
        <v>INSERT INTO public.medical_supply_product_variant (additional_desc, code, product_code) VALUES (NULL, 'PRODUCT-00023-001', 'PRODUCT-00023');</v>
      </c>
    </row>
    <row r="35" spans="1:5" x14ac:dyDescent="0.25">
      <c r="A35" s="23" t="str">
        <f>B35&amp;"-"&amp;TEXT(COUNTIF(B$2:B35,B35),"000")</f>
        <v>PRODUCT-00260-001</v>
      </c>
      <c r="B35" s="23" t="s">
        <v>1501</v>
      </c>
      <c r="C35" s="23" t="str">
        <f>IFERROR(INDEX(Product!$B:$B,MATCH(B35,Product!$A:$A,0)),"NOT FOUND")</f>
        <v>[Urgo] Gạc lưới chống dính - UrgoTul (15cmx20cm)</v>
      </c>
      <c r="D35" s="23"/>
      <c r="E35" s="23" t="str">
        <f t="shared" si="0"/>
        <v>INSERT INTO public.medical_supply_product_variant (additional_desc, code, product_code) VALUES (NULL, 'PRODUCT-00260-001', 'PRODUCT-00260');</v>
      </c>
    </row>
    <row r="36" spans="1:5" x14ac:dyDescent="0.25">
      <c r="A36" s="23" t="str">
        <f>B36&amp;"-"&amp;TEXT(COUNTIF(B$2:B36,B36),"000")</f>
        <v>PRODUCT-00261-001</v>
      </c>
      <c r="B36" s="23" t="s">
        <v>1503</v>
      </c>
      <c r="C36" s="23" t="str">
        <f>IFERROR(INDEX(Product!$B:$B,MATCH(B36,Product!$A:$A,0)),"NOT FOUND")</f>
        <v>[Urgo] Gạc lưới chống dính - UrgoTul (5cmx5cm)</v>
      </c>
      <c r="D36" s="23"/>
      <c r="E36" s="23" t="str">
        <f t="shared" si="0"/>
        <v>INSERT INTO public.medical_supply_product_variant (additional_desc, code, product_code) VALUES (NULL, 'PRODUCT-00261-001', 'PRODUCT-00261');</v>
      </c>
    </row>
    <row r="37" spans="1:5" x14ac:dyDescent="0.25">
      <c r="A37" s="23" t="str">
        <f>B37&amp;"-"&amp;TEXT(COUNTIF(B$2:B37,B37),"000")</f>
        <v>PRODUCT-00024-001</v>
      </c>
      <c r="B37" s="23" t="s">
        <v>585</v>
      </c>
      <c r="C37" s="23" t="str">
        <f>IFERROR(INDEX(Product!$B:$B,MATCH(B37,Product!$A:$A,0)),"NOT FOUND")</f>
        <v>[Urgo] Gạc lưới tẩm bạc chống dính - UrgoTul Ag/Silver (10cmx12cm)</v>
      </c>
      <c r="D37" s="23"/>
      <c r="E37" s="23" t="str">
        <f t="shared" si="0"/>
        <v>INSERT INTO public.medical_supply_product_variant (additional_desc, code, product_code) VALUES (NULL, 'PRODUCT-00024-001', 'PRODUCT-00024');</v>
      </c>
    </row>
    <row r="38" spans="1:5" x14ac:dyDescent="0.25">
      <c r="A38" s="23" t="str">
        <f>B38&amp;"-"&amp;TEXT(COUNTIF(B$2:B38,B38),"000")</f>
        <v>PRODUCT-00262-001</v>
      </c>
      <c r="B38" s="23" t="s">
        <v>1505</v>
      </c>
      <c r="C38" s="23" t="str">
        <f>IFERROR(INDEX(Product!$B:$B,MATCH(B38,Product!$A:$A,0)),"NOT FOUND")</f>
        <v>[Urgo] Gạc lưới tẩm bạc chống dính - UrgoTul Ag/Silver (15cmx20cm)</v>
      </c>
      <c r="D38" s="23"/>
      <c r="E38" s="23" t="str">
        <f t="shared" si="0"/>
        <v>INSERT INTO public.medical_supply_product_variant (additional_desc, code, product_code) VALUES (NULL, 'PRODUCT-00262-001', 'PRODUCT-00262');</v>
      </c>
    </row>
    <row r="39" spans="1:5" x14ac:dyDescent="0.25">
      <c r="A39" s="23" t="str">
        <f>B39&amp;"-"&amp;TEXT(COUNTIF(B$2:B39,B39),"000")</f>
        <v>PRODUCT-00263-001</v>
      </c>
      <c r="B39" s="23" t="s">
        <v>1507</v>
      </c>
      <c r="C39" s="23" t="str">
        <f>IFERROR(INDEX(Product!$B:$B,MATCH(B39,Product!$A:$A,0)),"NOT FOUND")</f>
        <v>[Urgo] Gạc lưới tẩm bạc chống dính - UrgoTul Ag/Silver (5cmx5cm)</v>
      </c>
      <c r="D39" s="23"/>
      <c r="E39" s="23" t="str">
        <f t="shared" si="0"/>
        <v>INSERT INTO public.medical_supply_product_variant (additional_desc, code, product_code) VALUES (NULL, 'PRODUCT-00263-001', 'PRODUCT-00263');</v>
      </c>
    </row>
    <row r="40" spans="1:5" x14ac:dyDescent="0.25">
      <c r="A40" s="23" t="str">
        <f>B40&amp;"-"&amp;TEXT(COUNTIF(B$2:B40,B40),"000")</f>
        <v>PRODUCT-00025-001</v>
      </c>
      <c r="B40" s="23" t="s">
        <v>586</v>
      </c>
      <c r="C40" s="23" t="str">
        <f>IFERROR(INDEX(Product!$B:$B,MATCH(B40,Product!$A:$A,0)),"NOT FOUND")</f>
        <v>[VH Pharma] Gel trị vết thương hở - Healit (5g)</v>
      </c>
      <c r="D40" s="23"/>
      <c r="E40" s="23" t="str">
        <f t="shared" si="0"/>
        <v>INSERT INTO public.medical_supply_product_variant (additional_desc, code, product_code) VALUES (NULL, 'PRODUCT-00025-001', 'PRODUCT-00025');</v>
      </c>
    </row>
    <row r="41" spans="1:5" x14ac:dyDescent="0.25">
      <c r="A41" s="23" t="str">
        <f>B41&amp;"-"&amp;TEXT(COUNTIF(B$2:B41,B41),"000")</f>
        <v>PRODUCT-00026-001</v>
      </c>
      <c r="B41" s="23" t="s">
        <v>587</v>
      </c>
      <c r="C41" s="23" t="str">
        <f>IFERROR(INDEX(Product!$B:$B,MATCH(B41,Product!$A:$A,0)),"NOT FOUND")</f>
        <v>[Wonbiogen] Băng dán vết thương Hydrocolloid - Renoderm (10cmx10cm)</v>
      </c>
      <c r="D41" s="23"/>
      <c r="E41" s="23" t="str">
        <f t="shared" si="0"/>
        <v>INSERT INTO public.medical_supply_product_variant (additional_desc, code, product_code) VALUES (NULL, 'PRODUCT-00026-001', 'PRODUCT-00026');</v>
      </c>
    </row>
    <row r="42" spans="1:5" x14ac:dyDescent="0.25">
      <c r="A42" s="23" t="str">
        <f>B42&amp;"-"&amp;TEXT(COUNTIF(B$2:B42,B42),"000")</f>
        <v>PRODUCT-00027-001</v>
      </c>
      <c r="B42" s="23" t="s">
        <v>588</v>
      </c>
      <c r="C42" s="23" t="str">
        <f>IFERROR(INDEX(Product!$B:$B,MATCH(B42,Product!$A:$A,0)),"NOT FOUND")</f>
        <v>[Wonbiogen] Băng gạc xốp không dính vết thương - Therasorb Algi Plus Adhesive (7.5cmx7.5cm)</v>
      </c>
      <c r="D42" s="23"/>
      <c r="E42" s="23" t="str">
        <f t="shared" si="0"/>
        <v>INSERT INTO public.medical_supply_product_variant (additional_desc, code, product_code) VALUES (NULL, 'PRODUCT-00027-001', 'PRODUCT-00027');</v>
      </c>
    </row>
    <row r="43" spans="1:5" x14ac:dyDescent="0.25">
      <c r="A43" s="23" t="str">
        <f>B43&amp;"-"&amp;TEXT(COUNTIF(B$2:B43,B43),"000")</f>
        <v>PRODUCT-00264-001</v>
      </c>
      <c r="B43" s="23" t="s">
        <v>1509</v>
      </c>
      <c r="C43" s="23" t="str">
        <f>IFERROR(INDEX(Product!$B:$B,MATCH(B43,Product!$A:$A,0)),"NOT FOUND")</f>
        <v>[Wonbiogen] Băng gạc xốp không dính vết thương - Therasorb Algi Plus Adhesive (9cmx15cm)</v>
      </c>
      <c r="D43" s="23"/>
      <c r="E43" s="23" t="str">
        <f t="shared" si="0"/>
        <v>INSERT INTO public.medical_supply_product_variant (additional_desc, code, product_code) VALUES (NULL, 'PRODUCT-00264-001', 'PRODUCT-00264');</v>
      </c>
    </row>
    <row r="44" spans="1:5" x14ac:dyDescent="0.25">
      <c r="A44" s="23" t="str">
        <f>B44&amp;"-"&amp;TEXT(COUNTIF(B$2:B44,B44),"000")</f>
        <v>PRODUCT-00265-001</v>
      </c>
      <c r="B44" s="23" t="s">
        <v>1511</v>
      </c>
      <c r="C44" s="23" t="str">
        <f>IFERROR(INDEX(Product!$B:$B,MATCH(B44,Product!$A:$A,0)),"NOT FOUND")</f>
        <v>[Wonbiogen] Băng gạc xốp không dính vết thương - Therasorb Algi Plus Adhesive (9cmx20cm)</v>
      </c>
      <c r="D44" s="23"/>
      <c r="E44" s="23" t="str">
        <f t="shared" si="0"/>
        <v>INSERT INTO public.medical_supply_product_variant (additional_desc, code, product_code) VALUES (NULL, 'PRODUCT-00265-001', 'PRODUCT-00265');</v>
      </c>
    </row>
    <row r="45" spans="1:5" x14ac:dyDescent="0.25">
      <c r="A45" s="23" t="str">
        <f>B45&amp;"-"&amp;TEXT(COUNTIF(B$2:B45,B45),"000")</f>
        <v>PRODUCT-00028-001</v>
      </c>
      <c r="B45" s="23" t="s">
        <v>589</v>
      </c>
      <c r="C45" s="23" t="str">
        <f>IFERROR(INDEX(Product!$B:$B,MATCH(B45,Product!$A:$A,0)),"NOT FOUND")</f>
        <v>[Wonbiogen] Gạc xốp siêu thấm hút dịch tiết vết thương - Therasorb Algi Plus Hydrophilic (10cmx10cmx0.5cm)</v>
      </c>
      <c r="D45" s="23"/>
      <c r="E45" s="23" t="str">
        <f t="shared" si="0"/>
        <v>INSERT INTO public.medical_supply_product_variant (additional_desc, code, product_code) VALUES (NULL, 'PRODUCT-00028-001', 'PRODUCT-00028');</v>
      </c>
    </row>
    <row r="46" spans="1:5" x14ac:dyDescent="0.25">
      <c r="A46" s="23" t="str">
        <f>B46&amp;"-"&amp;TEXT(COUNTIF(B$2:B46,B46),"000")</f>
        <v>PRODUCT-00266-001</v>
      </c>
      <c r="B46" s="23" t="s">
        <v>1513</v>
      </c>
      <c r="C46" s="23" t="str">
        <f>IFERROR(INDEX(Product!$B:$B,MATCH(B46,Product!$A:$A,0)),"NOT FOUND")</f>
        <v>[Wonbiogen] Gạc xốp siêu thấm hút dịch tiết vết thương - Therasorb Algi Plus Hydrophilic (20cmx20cmx0.5cm)</v>
      </c>
      <c r="D46" s="23"/>
      <c r="E46" s="23" t="str">
        <f t="shared" si="0"/>
        <v>INSERT INTO public.medical_supply_product_variant (additional_desc, code, product_code) VALUES (NULL, 'PRODUCT-00266-001', 'PRODUCT-00266');</v>
      </c>
    </row>
    <row r="47" spans="1:5" x14ac:dyDescent="0.25">
      <c r="A47" s="23" t="str">
        <f>B47&amp;"-"&amp;TEXT(COUNTIF(B$2:B47,B47),"000")</f>
        <v>PRODUCT-00267-001</v>
      </c>
      <c r="B47" s="23" t="s">
        <v>1515</v>
      </c>
      <c r="C47" s="23" t="str">
        <f>IFERROR(INDEX(Product!$B:$B,MATCH(B47,Product!$A:$A,0)),"NOT FOUND")</f>
        <v>[Wonbiogen] Gạc xốp siêu thấm hút dịch tiết vết thương - Therasorb Algi Plus Hydrophilic (35cmx50cmx0.5cm)</v>
      </c>
      <c r="D47" s="23"/>
      <c r="E47" s="23" t="str">
        <f t="shared" si="0"/>
        <v>INSERT INTO public.medical_supply_product_variant (additional_desc, code, product_code) VALUES (NULL, 'PRODUCT-00267-001', 'PRODUCT-00267');</v>
      </c>
    </row>
    <row r="48" spans="1:5" x14ac:dyDescent="0.25">
      <c r="A48" s="23" t="str">
        <f>B48&amp;"-"&amp;TEXT(COUNTIF(B$2:B48,B48),"000")</f>
        <v>PRODUCT-00268-001</v>
      </c>
      <c r="B48" s="23" t="s">
        <v>1517</v>
      </c>
      <c r="C48" s="23" t="str">
        <f>IFERROR(INDEX(Product!$B:$B,MATCH(B48,Product!$A:$A,0)),"NOT FOUND")</f>
        <v>[Wonbiogen] Gạc xốp siêu thấm hút dịch tiết vết thương - Therasorb Algi Plus Hydrophilic (30cmx100cmx0.5cm)</v>
      </c>
      <c r="D48" s="23"/>
      <c r="E48" s="23" t="str">
        <f t="shared" si="0"/>
        <v>INSERT INTO public.medical_supply_product_variant (additional_desc, code, product_code) VALUES (NULL, 'PRODUCT-00268-001', 'PRODUCT-00268');</v>
      </c>
    </row>
    <row r="49" spans="1:5" x14ac:dyDescent="0.25">
      <c r="A49" s="23" t="str">
        <f>B49&amp;"-"&amp;TEXT(COUNTIF(B$2:B49,B49),"000")</f>
        <v>PRODUCT-00269-001</v>
      </c>
      <c r="B49" s="23" t="s">
        <v>1519</v>
      </c>
      <c r="C49" s="23" t="str">
        <f>IFERROR(INDEX(Product!$B:$B,MATCH(B49,Product!$A:$A,0)),"NOT FOUND")</f>
        <v>[Wonbiogen] Gạc xốp siêu thấm hút dịch tiết vết thương - Therasorb Algi Plus Hydrophilic (10cmx10cm)</v>
      </c>
      <c r="D49" s="23"/>
      <c r="E49" s="23" t="str">
        <f t="shared" si="0"/>
        <v>INSERT INTO public.medical_supply_product_variant (additional_desc, code, product_code) VALUES (NULL, 'PRODUCT-00269-001', 'PRODUCT-00269');</v>
      </c>
    </row>
    <row r="50" spans="1:5" x14ac:dyDescent="0.25">
      <c r="A50" s="23" t="str">
        <f>B50&amp;"-"&amp;TEXT(COUNTIF(B$2:B50,B50),"000")</f>
        <v>PRODUCT-00270-001</v>
      </c>
      <c r="B50" s="23" t="s">
        <v>1521</v>
      </c>
      <c r="C50" s="23" t="str">
        <f>IFERROR(INDEX(Product!$B:$B,MATCH(B50,Product!$A:$A,0)),"NOT FOUND")</f>
        <v>[Wonbiogen] Gạc xốp siêu thấm hút dịch tiết vết thương - Therasorb Algi Plus Hydrophilic (20cmx20cm)</v>
      </c>
      <c r="D50" s="23"/>
      <c r="E50" s="23" t="str">
        <f t="shared" si="0"/>
        <v>INSERT INTO public.medical_supply_product_variant (additional_desc, code, product_code) VALUES (NULL, 'PRODUCT-00270-001', 'PRODUCT-00270');</v>
      </c>
    </row>
    <row r="51" spans="1:5" x14ac:dyDescent="0.25">
      <c r="A51" s="23" t="str">
        <f>B51&amp;"-"&amp;TEXT(COUNTIF(B$2:B51,B51),"000")</f>
        <v>PRODUCT-00271-001</v>
      </c>
      <c r="B51" s="23" t="s">
        <v>1523</v>
      </c>
      <c r="C51" s="23" t="str">
        <f>IFERROR(INDEX(Product!$B:$B,MATCH(B51,Product!$A:$A,0)),"NOT FOUND")</f>
        <v>[Wonbiogen] Gạc xốp siêu thấm hút dịch tiết vết thương - Therasorb Algi Plus Hydrophilic (35cmx50cm)</v>
      </c>
      <c r="D51" s="23"/>
      <c r="E51" s="23" t="str">
        <f t="shared" si="0"/>
        <v>INSERT INTO public.medical_supply_product_variant (additional_desc, code, product_code) VALUES (NULL, 'PRODUCT-00271-001', 'PRODUCT-00271');</v>
      </c>
    </row>
    <row r="52" spans="1:5" x14ac:dyDescent="0.25">
      <c r="A52" s="23" t="str">
        <f>B52&amp;"-"&amp;TEXT(COUNTIF(B$2:B52,B52),"000")</f>
        <v>PRODUCT-00029-001</v>
      </c>
      <c r="B52" s="23" t="s">
        <v>590</v>
      </c>
      <c r="C52" s="23" t="str">
        <f>IFERROR(INDEX(Product!$B:$B,MATCH(B52,Product!$A:$A,0)),"NOT FOUND")</f>
        <v>[Wonbiogen] Gạc xốp tẩm bạc kháng khuẩn - Therasorb® Ag Plus (10cmx10cm)</v>
      </c>
      <c r="D52" s="23"/>
      <c r="E52" s="23" t="str">
        <f t="shared" si="0"/>
        <v>INSERT INTO public.medical_supply_product_variant (additional_desc, code, product_code) VALUES (NULL, 'PRODUCT-00029-001', 'PRODUCT-00029');</v>
      </c>
    </row>
    <row r="53" spans="1:5" x14ac:dyDescent="0.25">
      <c r="A53" s="23" t="str">
        <f>B53&amp;"-"&amp;TEXT(COUNTIF(B$2:B53,B53),"000")</f>
        <v>PRODUCT-00272-001</v>
      </c>
      <c r="B53" s="23" t="s">
        <v>1525</v>
      </c>
      <c r="C53" s="23" t="str">
        <f>IFERROR(INDEX(Product!$B:$B,MATCH(B53,Product!$A:$A,0)),"NOT FOUND")</f>
        <v>[Wonbiogen] Gạc xốp tẩm bạc kháng khuẩn - Therasorb® Ag Plus (20cmx20cm)</v>
      </c>
      <c r="D53" s="23"/>
      <c r="E53" s="23" t="str">
        <f t="shared" si="0"/>
        <v>INSERT INTO public.medical_supply_product_variant (additional_desc, code, product_code) VALUES (NULL, 'PRODUCT-00272-001', 'PRODUCT-00272');</v>
      </c>
    </row>
    <row r="54" spans="1:5" x14ac:dyDescent="0.25">
      <c r="A54" s="23" t="str">
        <f>B54&amp;"-"&amp;TEXT(COUNTIF(B$2:B54,B54),"000")</f>
        <v>PRODUCT-00030-001</v>
      </c>
      <c r="B54" s="23" t="s">
        <v>591</v>
      </c>
      <c r="C54" s="23" t="str">
        <f>IFERROR(INDEX(Product!$B:$B,MATCH(B54,Product!$A:$A,0)),"NOT FOUND")</f>
        <v>[Wonbiogen] Gel kháng khuẩn vết thương - SurgiGel</v>
      </c>
      <c r="D54" s="23"/>
      <c r="E54" s="23" t="str">
        <f t="shared" si="0"/>
        <v>INSERT INTO public.medical_supply_product_variant (additional_desc, code, product_code) VALUES (NULL, 'PRODUCT-00030-001', 'PRODUCT-00030');</v>
      </c>
    </row>
    <row r="55" spans="1:5" x14ac:dyDescent="0.25">
      <c r="A55" s="23" t="str">
        <f>B55&amp;"-"&amp;TEXT(COUNTIF(B$2:B55,B55),"000")</f>
        <v>PRODUCT-00031-001</v>
      </c>
      <c r="B55" s="23" t="s">
        <v>592</v>
      </c>
      <c r="C55" s="23" t="str">
        <f>IFERROR(INDEX(Product!$B:$B,MATCH(B55,Product!$A:$A,0)),"NOT FOUND")</f>
        <v>[Wonbiogen] Kem gel silicone trị sẹo - RemScar® Gel (15g)</v>
      </c>
      <c r="D55" s="23"/>
      <c r="E55" s="23" t="str">
        <f t="shared" si="0"/>
        <v>INSERT INTO public.medical_supply_product_variant (additional_desc, code, product_code) VALUES (NULL, 'PRODUCT-00031-001', 'PRODUCT-00031');</v>
      </c>
    </row>
    <row r="56" spans="1:5" x14ac:dyDescent="0.25">
      <c r="A56" s="23" t="str">
        <f>B56&amp;"-"&amp;TEXT(COUNTIF(B$2:B56,B56),"000")</f>
        <v>PRODUCT-00273-001</v>
      </c>
      <c r="B56" s="23" t="s">
        <v>1527</v>
      </c>
      <c r="C56" s="23" t="str">
        <f>IFERROR(INDEX(Product!$B:$B,MATCH(B56,Product!$A:$A,0)),"NOT FOUND")</f>
        <v>[Wonbiogen] Kem gel silicone trị sẹo - RemScar® Gel (30g)</v>
      </c>
      <c r="D56" s="23"/>
      <c r="E56" s="23" t="str">
        <f t="shared" si="0"/>
        <v>INSERT INTO public.medical_supply_product_variant (additional_desc, code, product_code) VALUES (NULL, 'PRODUCT-00273-001', 'PRODUCT-00273');</v>
      </c>
    </row>
    <row r="57" spans="1:5" x14ac:dyDescent="0.25">
      <c r="A57" s="23" t="str">
        <f>B57&amp;"-"&amp;TEXT(COUNTIF(B$2:B57,B57),"000")</f>
        <v>PRODUCT-00032-001</v>
      </c>
      <c r="B57" s="23" t="s">
        <v>593</v>
      </c>
      <c r="C57" s="23" t="str">
        <f>IFERROR(INDEX(Product!$B:$B,MATCH(B57,Product!$A:$A,0)),"NOT FOUND")</f>
        <v>[Wonbiogen] Miếng dán silicone trị sẹo lồi, sẹo thâm - RemScar® TR (12cmx15cm)</v>
      </c>
      <c r="D57" s="23"/>
      <c r="E57" s="23" t="str">
        <f t="shared" si="0"/>
        <v>INSERT INTO public.medical_supply_product_variant (additional_desc, code, product_code) VALUES (NULL, 'PRODUCT-00032-001', 'PRODUCT-00032');</v>
      </c>
    </row>
    <row r="58" spans="1:5" x14ac:dyDescent="0.25">
      <c r="A58" s="23" t="str">
        <f>B58&amp;"-"&amp;TEXT(COUNTIF(B$2:B58,B58),"000")</f>
        <v>PRODUCT-00274-001</v>
      </c>
      <c r="B58" s="23" t="s">
        <v>1529</v>
      </c>
      <c r="C58" s="23" t="str">
        <f>IFERROR(INDEX(Product!$B:$B,MATCH(B58,Product!$A:$A,0)),"NOT FOUND")</f>
        <v>[Wonbiogen] Miếng dán silicone trị sẹo lồi, sẹo thâm - RemScar® TR (3.5cmx15cm)</v>
      </c>
      <c r="D58" s="23"/>
      <c r="E58" s="23" t="str">
        <f t="shared" si="0"/>
        <v>INSERT INTO public.medical_supply_product_variant (additional_desc, code, product_code) VALUES (NULL, 'PRODUCT-00274-001', 'PRODUCT-00274');</v>
      </c>
    </row>
    <row r="59" spans="1:5" x14ac:dyDescent="0.25">
      <c r="A59" s="23" t="str">
        <f>B59&amp;"-"&amp;TEXT(COUNTIF(B$2:B59,B59),"000")</f>
        <v>PRODUCT-00275-001</v>
      </c>
      <c r="B59" s="23" t="s">
        <v>1531</v>
      </c>
      <c r="C59" s="23" t="str">
        <f>IFERROR(INDEX(Product!$B:$B,MATCH(B59,Product!$A:$A,0)),"NOT FOUND")</f>
        <v>[Wonbiogen] Miếng dán silicone trị sẹo lồi, sẹo thâm - RemScar® TR (5cmx6cm)</v>
      </c>
      <c r="D59" s="23"/>
      <c r="E59" s="23" t="str">
        <f t="shared" si="0"/>
        <v>INSERT INTO public.medical_supply_product_variant (additional_desc, code, product_code) VALUES (NULL, 'PRODUCT-00275-001', 'PRODUCT-00275');</v>
      </c>
    </row>
    <row r="60" spans="1:5" x14ac:dyDescent="0.25">
      <c r="A60" s="23" t="str">
        <f>B60&amp;"-"&amp;TEXT(COUNTIF(B$2:B60,B60),"000")</f>
        <v>PRODUCT-00033-001</v>
      </c>
      <c r="B60" s="23" t="s">
        <v>594</v>
      </c>
      <c r="C60" s="23" t="str">
        <f>IFERROR(INDEX(Product!$B:$B,MATCH(B60,Product!$A:$A,0)),"NOT FOUND")</f>
        <v>[Yafho] Gạc xốp hút dịch chống loét có viền dính silicone (18cmx18cm)</v>
      </c>
      <c r="D60" s="23"/>
      <c r="E60" s="23" t="str">
        <f t="shared" si="0"/>
        <v>INSERT INTO public.medical_supply_product_variant (additional_desc, code, product_code) VALUES (NULL, 'PRODUCT-00033-001', 'PRODUCT-00033');</v>
      </c>
    </row>
    <row r="61" spans="1:5" x14ac:dyDescent="0.25">
      <c r="A61" s="23" t="str">
        <f>B61&amp;"-"&amp;TEXT(COUNTIF(B$2:B61,B61),"000")</f>
        <v>PRODUCT-00034-001</v>
      </c>
      <c r="B61" s="23" t="s">
        <v>595</v>
      </c>
      <c r="C61" s="23" t="str">
        <f>IFERROR(INDEX(Product!$B:$B,MATCH(B61,Product!$A:$A,0)),"NOT FOUND")</f>
        <v>[Young Chemical Vina] Băng gạc vô trùng - Young Wound Dressing (6cmx7cm)</v>
      </c>
      <c r="D61" s="23"/>
      <c r="E61" s="23" t="str">
        <f t="shared" si="0"/>
        <v>INSERT INTO public.medical_supply_product_variant (additional_desc, code, product_code) VALUES (NULL, 'PRODUCT-00034-001', 'PRODUCT-00034');</v>
      </c>
    </row>
    <row r="62" spans="1:5" x14ac:dyDescent="0.25">
      <c r="A62" s="23" t="str">
        <f>B62&amp;"-"&amp;TEXT(COUNTIF(B$2:B62,B62),"000")</f>
        <v>PRODUCT-00276-001</v>
      </c>
      <c r="B62" s="23" t="s">
        <v>1533</v>
      </c>
      <c r="C62" s="23" t="str">
        <f>IFERROR(INDEX(Product!$B:$B,MATCH(B62,Product!$A:$A,0)),"NOT FOUND")</f>
        <v>[Young Chemical Vina] Băng gạc vô trùng - Young Wound Dressing (6cmx10cm)</v>
      </c>
      <c r="D62" s="23"/>
      <c r="E62" s="23" t="str">
        <f t="shared" si="0"/>
        <v>INSERT INTO public.medical_supply_product_variant (additional_desc, code, product_code) VALUES (NULL, 'PRODUCT-00276-001', 'PRODUCT-00276');</v>
      </c>
    </row>
    <row r="63" spans="1:5" x14ac:dyDescent="0.25">
      <c r="A63" s="23" t="str">
        <f>B63&amp;"-"&amp;TEXT(COUNTIF(B$2:B63,B63),"000")</f>
        <v>PRODUCT-00277-001</v>
      </c>
      <c r="B63" s="23" t="s">
        <v>1535</v>
      </c>
      <c r="C63" s="23" t="str">
        <f>IFERROR(INDEX(Product!$B:$B,MATCH(B63,Product!$A:$A,0)),"NOT FOUND")</f>
        <v>[Young Chemical Vina] Băng gạc vô trùng - Young Wound Dressing (9cmx10cm)</v>
      </c>
      <c r="D63" s="23"/>
      <c r="E63" s="23" t="str">
        <f t="shared" si="0"/>
        <v>INSERT INTO public.medical_supply_product_variant (additional_desc, code, product_code) VALUES (NULL, 'PRODUCT-00277-001', 'PRODUCT-00277');</v>
      </c>
    </row>
    <row r="64" spans="1:5" x14ac:dyDescent="0.25">
      <c r="A64" s="23" t="str">
        <f>B64&amp;"-"&amp;TEXT(COUNTIF(B$2:B64,B64),"000")</f>
        <v>PRODUCT-00278-001</v>
      </c>
      <c r="B64" s="23" t="s">
        <v>1537</v>
      </c>
      <c r="C64" s="23" t="str">
        <f>IFERROR(INDEX(Product!$B:$B,MATCH(B64,Product!$A:$A,0)),"NOT FOUND")</f>
        <v>[Young Chemical Vina] Băng gạc vô trùng - Young Wound Dressing (9cmx15cm)</v>
      </c>
      <c r="D64" s="23"/>
      <c r="E64" s="23" t="str">
        <f t="shared" si="0"/>
        <v>INSERT INTO public.medical_supply_product_variant (additional_desc, code, product_code) VALUES (NULL, 'PRODUCT-00278-001', 'PRODUCT-00278');</v>
      </c>
    </row>
    <row r="65" spans="1:5" x14ac:dyDescent="0.25">
      <c r="A65" s="23" t="str">
        <f>B65&amp;"-"&amp;TEXT(COUNTIF(B$2:B65,B65),"000")</f>
        <v>PRODUCT-00279-001</v>
      </c>
      <c r="B65" s="23" t="s">
        <v>1539</v>
      </c>
      <c r="C65" s="23" t="str">
        <f>IFERROR(INDEX(Product!$B:$B,MATCH(B65,Product!$A:$A,0)),"NOT FOUND")</f>
        <v>[Young Chemical Vina] Băng gạc vô trùng - Young Wound Dressing (9cmx20cm)</v>
      </c>
      <c r="D65" s="23"/>
      <c r="E65" s="23" t="str">
        <f t="shared" si="0"/>
        <v>INSERT INTO public.medical_supply_product_variant (additional_desc, code, product_code) VALUES (NULL, 'PRODUCT-00279-001', 'PRODUCT-00279');</v>
      </c>
    </row>
    <row r="66" spans="1:5" x14ac:dyDescent="0.25">
      <c r="A66" s="23" t="str">
        <f>B66&amp;"-"&amp;TEXT(COUNTIF(B$2:B66,B66),"000")</f>
        <v>PRODUCT-00280-001</v>
      </c>
      <c r="B66" s="23" t="s">
        <v>1541</v>
      </c>
      <c r="C66" s="23" t="str">
        <f>IFERROR(INDEX(Product!$B:$B,MATCH(B66,Product!$A:$A,0)),"NOT FOUND")</f>
        <v>[Young Chemical Vina] Băng gạc vô trùng - Young Wound Dressing (9cmx25cm)</v>
      </c>
      <c r="D66" s="23"/>
      <c r="E66" s="23" t="str">
        <f t="shared" si="0"/>
        <v>INSERT INTO public.medical_supply_product_variant (additional_desc, code, product_code) VALUES (NULL, 'PRODUCT-00280-001', 'PRODUCT-00280');</v>
      </c>
    </row>
    <row r="67" spans="1:5" x14ac:dyDescent="0.25">
      <c r="A67" s="23" t="str">
        <f>B67&amp;"-"&amp;TEXT(COUNTIF(B$2:B67,B67),"000")</f>
        <v>PRODUCT-00281-001</v>
      </c>
      <c r="B67" s="23" t="s">
        <v>1543</v>
      </c>
      <c r="C67" s="23" t="str">
        <f>IFERROR(INDEX(Product!$B:$B,MATCH(B67,Product!$A:$A,0)),"NOT FOUND")</f>
        <v>[Young Chemical Vina] Băng gạc vô trùng - Young Wound Dressing (9cmx30cm)</v>
      </c>
      <c r="D67" s="23"/>
      <c r="E67" s="23" t="str">
        <f t="shared" ref="E67:E130" si="1">"INSERT INTO public.medical_supply_product_variant (additional_desc, code, product_code) VALUES ("&amp;IF(D67="","NULL","'"&amp;SUBSTITUTE(D67,"'","''")&amp;"'")&amp;", '"&amp;A67&amp;"', '"&amp;B67&amp;"');"</f>
        <v>INSERT INTO public.medical_supply_product_variant (additional_desc, code, product_code) VALUES (NULL, 'PRODUCT-00281-001', 'PRODUCT-00281');</v>
      </c>
    </row>
    <row r="68" spans="1:5" x14ac:dyDescent="0.25">
      <c r="A68" s="23" t="str">
        <f>B68&amp;"-"&amp;TEXT(COUNTIF(B$2:B68,B68),"000")</f>
        <v>PRODUCT-00035-001</v>
      </c>
      <c r="B68" s="23" t="s">
        <v>596</v>
      </c>
      <c r="C68" s="23" t="str">
        <f>IFERROR(INDEX(Product!$B:$B,MATCH(B68,Product!$A:$A,0)),"NOT FOUND")</f>
        <v>[Young Chemical Vina] Băng gạc vô trùng không thấm nước - Sterile Adflex (With-Pad) (6cmx7cm)</v>
      </c>
      <c r="D68" s="23"/>
      <c r="E68" s="23" t="str">
        <f t="shared" si="1"/>
        <v>INSERT INTO public.medical_supply_product_variant (additional_desc, code, product_code) VALUES (NULL, 'PRODUCT-00035-001', 'PRODUCT-00035');</v>
      </c>
    </row>
    <row r="69" spans="1:5" x14ac:dyDescent="0.25">
      <c r="A69" s="23" t="str">
        <f>B69&amp;"-"&amp;TEXT(COUNTIF(B$2:B69,B69),"000")</f>
        <v>PRODUCT-00282-001</v>
      </c>
      <c r="B69" s="23" t="s">
        <v>1545</v>
      </c>
      <c r="C69" s="23" t="str">
        <f>IFERROR(INDEX(Product!$B:$B,MATCH(B69,Product!$A:$A,0)),"NOT FOUND")</f>
        <v>[Young Chemical Vina] Băng gạc vô trùng không thấm nước - Sterile Adflex (With-Pad) (10cmx12cm)</v>
      </c>
      <c r="D69" s="23"/>
      <c r="E69" s="23" t="str">
        <f t="shared" si="1"/>
        <v>INSERT INTO public.medical_supply_product_variant (additional_desc, code, product_code) VALUES (NULL, 'PRODUCT-00282-001', 'PRODUCT-00282');</v>
      </c>
    </row>
    <row r="70" spans="1:5" x14ac:dyDescent="0.25">
      <c r="A70" s="23" t="str">
        <f>B70&amp;"-"&amp;TEXT(COUNTIF(B$2:B70,B70),"000")</f>
        <v>PRODUCT-00036-001</v>
      </c>
      <c r="B70" s="23" t="s">
        <v>597</v>
      </c>
      <c r="C70" s="23" t="str">
        <f>IFERROR(INDEX(Product!$B:$B,MATCH(B70,Product!$A:$A,0)),"NOT FOUND")</f>
        <v>[Young Chemical Vina] Băng keo cá nhân hộp thiếc - Pororo</v>
      </c>
      <c r="D70" s="23"/>
      <c r="E70" s="23" t="str">
        <f t="shared" si="1"/>
        <v>INSERT INTO public.medical_supply_product_variant (additional_desc, code, product_code) VALUES (NULL, 'PRODUCT-00036-001', 'PRODUCT-00036');</v>
      </c>
    </row>
    <row r="71" spans="1:5" x14ac:dyDescent="0.25">
      <c r="A71" s="23" t="str">
        <f>B71&amp;"-"&amp;TEXT(COUNTIF(B$2:B71,B71),"000")</f>
        <v>PRODUCT-00036-002</v>
      </c>
      <c r="B71" s="23" t="s">
        <v>597</v>
      </c>
      <c r="C71" s="23" t="str">
        <f>IFERROR(INDEX(Product!$B:$B,MATCH(B71,Product!$A:$A,0)),"NOT FOUND")</f>
        <v>[Young Chemical Vina] Băng keo cá nhân hộp thiếc - Pororo</v>
      </c>
      <c r="D71" s="23"/>
      <c r="E71" s="23" t="str">
        <f t="shared" si="1"/>
        <v>INSERT INTO public.medical_supply_product_variant (additional_desc, code, product_code) VALUES (NULL, 'PRODUCT-00036-002', 'PRODUCT-00036');</v>
      </c>
    </row>
    <row r="72" spans="1:5" x14ac:dyDescent="0.25">
      <c r="A72" s="23" t="str">
        <f>B72&amp;"-"&amp;TEXT(COUNTIF(B$2:B72,B72),"000")</f>
        <v>PRODUCT-00037-001</v>
      </c>
      <c r="B72" s="23" t="s">
        <v>598</v>
      </c>
      <c r="C72" s="23" t="str">
        <f>IFERROR(INDEX(Product!$B:$B,MATCH(B72,Product!$A:$A,0)),"NOT FOUND")</f>
        <v>[Young Chemical Vina] Băng keo cá nhân in hình trẻ em - Pororo (72mmx18mm)</v>
      </c>
      <c r="D72" s="23"/>
      <c r="E72" s="23" t="str">
        <f t="shared" si="1"/>
        <v>INSERT INTO public.medical_supply_product_variant (additional_desc, code, product_code) VALUES (NULL, 'PRODUCT-00037-001', 'PRODUCT-00037');</v>
      </c>
    </row>
    <row r="73" spans="1:5" x14ac:dyDescent="0.25">
      <c r="A73" s="23" t="str">
        <f>B73&amp;"-"&amp;TEXT(COUNTIF(B$2:B73,B73),"000")</f>
        <v>PRODUCT-00283-001</v>
      </c>
      <c r="B73" s="23" t="s">
        <v>1547</v>
      </c>
      <c r="C73" s="23" t="str">
        <f>IFERROR(INDEX(Product!$B:$B,MATCH(B73,Product!$A:$A,0)),"NOT FOUND")</f>
        <v>[Young Chemical Vina] Băng keo cá nhân in hình trẻ em - Pororo (Hỗn hợp 4 size)</v>
      </c>
      <c r="D73" s="23"/>
      <c r="E73" s="23" t="str">
        <f t="shared" si="1"/>
        <v>INSERT INTO public.medical_supply_product_variant (additional_desc, code, product_code) VALUES (NULL, 'PRODUCT-00283-001', 'PRODUCT-00283');</v>
      </c>
    </row>
    <row r="74" spans="1:5" x14ac:dyDescent="0.25">
      <c r="A74" s="23" t="str">
        <f>B74&amp;"-"&amp;TEXT(COUNTIF(B$2:B74,B74),"000")</f>
        <v>PRODUCT-00038-001</v>
      </c>
      <c r="B74" s="23" t="s">
        <v>599</v>
      </c>
      <c r="C74" s="23" t="str">
        <f>IFERROR(INDEX(Product!$B:$B,MATCH(B74,Product!$A:$A,0)),"NOT FOUND")</f>
        <v>[Young Chemical Vina] Băng keo cá nhân màu da - Ace-band ∅22mm</v>
      </c>
      <c r="D74" s="23"/>
      <c r="E74" s="23" t="str">
        <f t="shared" si="1"/>
        <v>INSERT INTO public.medical_supply_product_variant (additional_desc, code, product_code) VALUES (NULL, 'PRODUCT-00038-001', 'PRODUCT-00038');</v>
      </c>
    </row>
    <row r="75" spans="1:5" x14ac:dyDescent="0.25">
      <c r="A75" s="23" t="str">
        <f>B75&amp;"-"&amp;TEXT(COUNTIF(B$2:B75,B75),"000")</f>
        <v>PRODUCT-00039-001</v>
      </c>
      <c r="B75" s="23" t="s">
        <v>600</v>
      </c>
      <c r="C75" s="23" t="str">
        <f>IFERROR(INDEX(Product!$B:$B,MATCH(B75,Product!$A:$A,0)),"NOT FOUND")</f>
        <v>[Young Chemical Vina] Băng keo cá nhân màu da - Ace-band Sheer (72mmx18mm)</v>
      </c>
      <c r="D75" s="23"/>
      <c r="E75" s="23" t="str">
        <f t="shared" si="1"/>
        <v>INSERT INTO public.medical_supply_product_variant (additional_desc, code, product_code) VALUES (NULL, 'PRODUCT-00039-001', 'PRODUCT-00039');</v>
      </c>
    </row>
    <row r="76" spans="1:5" x14ac:dyDescent="0.25">
      <c r="A76" s="23" t="str">
        <f>B76&amp;"-"&amp;TEXT(COUNTIF(B$2:B76,B76),"000")</f>
        <v>PRODUCT-00040-001</v>
      </c>
      <c r="B76" s="23" t="s">
        <v>601</v>
      </c>
      <c r="C76" s="23" t="str">
        <f>IFERROR(INDEX(Product!$B:$B,MATCH(B76,Product!$A:$A,0)),"NOT FOUND")</f>
        <v>[Young Chemical Vina] Băng keo cá nhân trong suốt - Ace-band Transparent (72mmx18mm)</v>
      </c>
      <c r="D76" s="23"/>
      <c r="E76" s="23" t="str">
        <f t="shared" si="1"/>
        <v>INSERT INTO public.medical_supply_product_variant (additional_desc, code, product_code) VALUES (NULL, 'PRODUCT-00040-001', 'PRODUCT-00040');</v>
      </c>
    </row>
    <row r="77" spans="1:5" x14ac:dyDescent="0.25">
      <c r="A77" s="23" t="str">
        <f>B77&amp;"-"&amp;TEXT(COUNTIF(B$2:B77,B77),"000")</f>
        <v>PRODUCT-00041-001</v>
      </c>
      <c r="B77" s="23" t="s">
        <v>602</v>
      </c>
      <c r="C77" s="23" t="str">
        <f>IFERROR(INDEX(Product!$B:$B,MATCH(B77,Product!$A:$A,0)),"NOT FOUND")</f>
        <v>[Young Chemical Vina] Băng keo cá nhân vải - Ace-band (60mmx19mm)</v>
      </c>
      <c r="D77" s="23"/>
      <c r="E77" s="23" t="str">
        <f t="shared" si="1"/>
        <v>INSERT INTO public.medical_supply_product_variant (additional_desc, code, product_code) VALUES (NULL, 'PRODUCT-00041-001', 'PRODUCT-00041');</v>
      </c>
    </row>
    <row r="78" spans="1:5" x14ac:dyDescent="0.25">
      <c r="A78" s="23" t="str">
        <f>B78&amp;"-"&amp;TEXT(COUNTIF(B$2:B78,B78),"000")</f>
        <v>PRODUCT-00042-001</v>
      </c>
      <c r="B78" s="23" t="s">
        <v>603</v>
      </c>
      <c r="C78" s="23" t="str">
        <f>IFERROR(INDEX(Product!$B:$B,MATCH(B78,Product!$A:$A,0)),"NOT FOUND")</f>
        <v>[Young Chemical Vina] Băng keo cuộn co giãn - Fix Roll (5cmx10m)</v>
      </c>
      <c r="D78" s="23"/>
      <c r="E78" s="23" t="str">
        <f t="shared" si="1"/>
        <v>INSERT INTO public.medical_supply_product_variant (additional_desc, code, product_code) VALUES (NULL, 'PRODUCT-00042-001', 'PRODUCT-00042');</v>
      </c>
    </row>
    <row r="79" spans="1:5" x14ac:dyDescent="0.25">
      <c r="A79" s="23" t="str">
        <f>B79&amp;"-"&amp;TEXT(COUNTIF(B$2:B79,B79),"000")</f>
        <v>PRODUCT-00284-001</v>
      </c>
      <c r="B79" s="23" t="s">
        <v>1549</v>
      </c>
      <c r="C79" s="23" t="str">
        <f>IFERROR(INDEX(Product!$B:$B,MATCH(B79,Product!$A:$A,0)),"NOT FOUND")</f>
        <v>[Young Chemical Vina] Băng keo cuộn co giãn - Fix Roll (10cmx10m)</v>
      </c>
      <c r="D79" s="23"/>
      <c r="E79" s="23" t="str">
        <f t="shared" si="1"/>
        <v>INSERT INTO public.medical_supply_product_variant (additional_desc, code, product_code) VALUES (NULL, 'PRODUCT-00284-001', 'PRODUCT-00284');</v>
      </c>
    </row>
    <row r="80" spans="1:5" x14ac:dyDescent="0.25">
      <c r="A80" s="23" t="str">
        <f>B80&amp;"-"&amp;TEXT(COUNTIF(B$2:B80,B80),"000")</f>
        <v>PRODUCT-00285-001</v>
      </c>
      <c r="B80" s="23" t="s">
        <v>1551</v>
      </c>
      <c r="C80" s="23" t="str">
        <f>IFERROR(INDEX(Product!$B:$B,MATCH(B80,Product!$A:$A,0)),"NOT FOUND")</f>
        <v>[Young Chemical Vina] Băng keo cuộn co giãn - Fix Roll (15cmx10m)</v>
      </c>
      <c r="D80" s="23"/>
      <c r="E80" s="23" t="str">
        <f t="shared" si="1"/>
        <v>INSERT INTO public.medical_supply_product_variant (additional_desc, code, product_code) VALUES (NULL, 'PRODUCT-00285-001', 'PRODUCT-00285');</v>
      </c>
    </row>
    <row r="81" spans="1:5" x14ac:dyDescent="0.25">
      <c r="A81" s="23" t="str">
        <f>B81&amp;"-"&amp;TEXT(COUNTIF(B$2:B81,B81),"000")</f>
        <v>PRODUCT-00286-001</v>
      </c>
      <c r="B81" s="23" t="s">
        <v>1553</v>
      </c>
      <c r="C81" s="23" t="str">
        <f>IFERROR(INDEX(Product!$B:$B,MATCH(B81,Product!$A:$A,0)),"NOT FOUND")</f>
        <v>[Young Chemical Vina] Băng keo cuộn co giãn - Fix Roll (10cmx2.5m)</v>
      </c>
      <c r="D81" s="23"/>
      <c r="E81" s="23" t="str">
        <f t="shared" si="1"/>
        <v>INSERT INTO public.medical_supply_product_variant (additional_desc, code, product_code) VALUES (NULL, 'PRODUCT-00286-001', 'PRODUCT-00286');</v>
      </c>
    </row>
    <row r="82" spans="1:5" x14ac:dyDescent="0.25">
      <c r="A82" s="23" t="str">
        <f>B82&amp;"-"&amp;TEXT(COUNTIF(B$2:B82,B82),"000")</f>
        <v>PRODUCT-00043-001</v>
      </c>
      <c r="B82" s="23" t="s">
        <v>604</v>
      </c>
      <c r="C82" s="23" t="str">
        <f>IFERROR(INDEX(Product!$B:$B,MATCH(B82,Product!$A:$A,0)),"NOT FOUND")</f>
        <v>[Young Chemical Vina] Băng keo cuộn giấy dành cho da nhạy cảm - Young Plaster-Paper (1.25cmx5m)</v>
      </c>
      <c r="D82" s="23"/>
      <c r="E82" s="23" t="str">
        <f t="shared" si="1"/>
        <v>INSERT INTO public.medical_supply_product_variant (additional_desc, code, product_code) VALUES (NULL, 'PRODUCT-00043-001', 'PRODUCT-00043');</v>
      </c>
    </row>
    <row r="83" spans="1:5" x14ac:dyDescent="0.25">
      <c r="A83" s="23" t="str">
        <f>B83&amp;"-"&amp;TEXT(COUNTIF(B$2:B83,B83),"000")</f>
        <v>PRODUCT-00287-001</v>
      </c>
      <c r="B83" s="23" t="s">
        <v>1555</v>
      </c>
      <c r="C83" s="23" t="str">
        <f>IFERROR(INDEX(Product!$B:$B,MATCH(B83,Product!$A:$A,0)),"NOT FOUND")</f>
        <v>[Young Chemical Vina] Băng keo cuộn giấy dành cho da nhạy cảm - Young Plaster-Paper (2.5cmx5m)</v>
      </c>
      <c r="D83" s="23"/>
      <c r="E83" s="23" t="str">
        <f t="shared" si="1"/>
        <v>INSERT INTO public.medical_supply_product_variant (additional_desc, code, product_code) VALUES (NULL, 'PRODUCT-00287-001', 'PRODUCT-00287');</v>
      </c>
    </row>
    <row r="84" spans="1:5" x14ac:dyDescent="0.25">
      <c r="A84" s="23" t="str">
        <f>B84&amp;"-"&amp;TEXT(COUNTIF(B$2:B84,B84),"000")</f>
        <v>PRODUCT-00044-001</v>
      </c>
      <c r="B84" s="23" t="s">
        <v>605</v>
      </c>
      <c r="C84" s="23" t="str">
        <f>IFERROR(INDEX(Product!$B:$B,MATCH(B84,Product!$A:$A,0)),"NOT FOUND")</f>
        <v>[Young Chemical Vina] Băng keo cuộn lụa - Young Plaster-Silk (1.25cmx5m)</v>
      </c>
      <c r="D84" s="23"/>
      <c r="E84" s="23" t="str">
        <f t="shared" si="1"/>
        <v>INSERT INTO public.medical_supply_product_variant (additional_desc, code, product_code) VALUES (NULL, 'PRODUCT-00044-001', 'PRODUCT-00044');</v>
      </c>
    </row>
    <row r="85" spans="1:5" x14ac:dyDescent="0.25">
      <c r="A85" s="23" t="str">
        <f>B85&amp;"-"&amp;TEXT(COUNTIF(B$2:B85,B85),"000")</f>
        <v>PRODUCT-00288-001</v>
      </c>
      <c r="B85" s="23" t="s">
        <v>1557</v>
      </c>
      <c r="C85" s="23" t="str">
        <f>IFERROR(INDEX(Product!$B:$B,MATCH(B85,Product!$A:$A,0)),"NOT FOUND")</f>
        <v>[Young Chemical Vina] Băng keo cuộn lụa - Young Plaster-Silk (2.5cmx5m)</v>
      </c>
      <c r="D85" s="23"/>
      <c r="E85" s="23" t="str">
        <f t="shared" si="1"/>
        <v>INSERT INTO public.medical_supply_product_variant (additional_desc, code, product_code) VALUES (NULL, 'PRODUCT-00288-001', 'PRODUCT-00288');</v>
      </c>
    </row>
    <row r="86" spans="1:5" x14ac:dyDescent="0.25">
      <c r="A86" s="23" t="str">
        <f>B86&amp;"-"&amp;TEXT(COUNTIF(B$2:B86,B86),"000")</f>
        <v>PRODUCT-00045-001</v>
      </c>
      <c r="B86" s="23" t="s">
        <v>606</v>
      </c>
      <c r="C86" s="23" t="str">
        <f>IFERROR(INDEX(Product!$B:$B,MATCH(B86,Product!$A:$A,0)),"NOT FOUND")</f>
        <v>[Young Chemical Vina] Băng vô trùng không gạc trong suốt không thấm nước - Sterile Adflex (Non-Pad) (10cmx12cm)</v>
      </c>
      <c r="D86" s="23"/>
      <c r="E86" s="23" t="str">
        <f t="shared" si="1"/>
        <v>INSERT INTO public.medical_supply_product_variant (additional_desc, code, product_code) VALUES (NULL, 'PRODUCT-00045-001', 'PRODUCT-00045');</v>
      </c>
    </row>
    <row r="87" spans="1:5" x14ac:dyDescent="0.25">
      <c r="A87" s="23" t="str">
        <f>B87&amp;"-"&amp;TEXT(COUNTIF(B$2:B87,B87),"000")</f>
        <v>PRODUCT-00046-001</v>
      </c>
      <c r="B87" s="23" t="s">
        <v>607</v>
      </c>
      <c r="C87" s="23" t="str">
        <f>IFERROR(INDEX(Product!$B:$B,MATCH(B87,Product!$A:$A,0)),"NOT FOUND")</f>
        <v>[Young Chemical Vina] Miếng dán hydrocolloid hỗ trợ làm lành vết thương - Somaderm-L (7.5cmx7.5cm)</v>
      </c>
      <c r="D87" s="23"/>
      <c r="E87" s="23" t="str">
        <f t="shared" si="1"/>
        <v>INSERT INTO public.medical_supply_product_variant (additional_desc, code, product_code) VALUES (NULL, 'PRODUCT-00046-001', 'PRODUCT-00046');</v>
      </c>
    </row>
    <row r="88" spans="1:5" x14ac:dyDescent="0.25">
      <c r="A88" s="23" t="str">
        <f>B88&amp;"-"&amp;TEXT(COUNTIF(B$2:B88,B88),"000")</f>
        <v>PRODUCT-00289-001</v>
      </c>
      <c r="B88" s="23" t="s">
        <v>1559</v>
      </c>
      <c r="C88" s="23" t="str">
        <f>IFERROR(INDEX(Product!$B:$B,MATCH(B88,Product!$A:$A,0)),"NOT FOUND")</f>
        <v>[Young Chemical Vina] Miếng dán hydrocolloid hỗ trợ làm lành vết thương - Somaderm-L (10cmx10cm)</v>
      </c>
      <c r="D88" s="23"/>
      <c r="E88" s="23" t="str">
        <f t="shared" si="1"/>
        <v>INSERT INTO public.medical_supply_product_variant (additional_desc, code, product_code) VALUES (NULL, 'PRODUCT-00289-001', 'PRODUCT-00289');</v>
      </c>
    </row>
    <row r="89" spans="1:5" x14ac:dyDescent="0.25">
      <c r="A89" s="23" t="str">
        <f>B89&amp;"-"&amp;TEXT(COUNTIF(B$2:B89,B89),"000")</f>
        <v>PRODUCT-00047-001</v>
      </c>
      <c r="B89" s="23" t="s">
        <v>608</v>
      </c>
      <c r="C89" s="23" t="str">
        <f>IFERROR(INDEX(Product!$B:$B,MATCH(B89,Product!$A:$A,0)),"NOT FOUND")</f>
        <v>Bộ gạc xốp phủ vết thương điều trị áp lực âm kèm chức năng rửa - MJ-03</v>
      </c>
      <c r="D89" s="23"/>
      <c r="E89" s="23" t="str">
        <f t="shared" si="1"/>
        <v>INSERT INTO public.medical_supply_product_variant (additional_desc, code, product_code) VALUES (NULL, 'PRODUCT-00047-001', 'PRODUCT-00047');</v>
      </c>
    </row>
    <row r="90" spans="1:5" x14ac:dyDescent="0.25">
      <c r="A90" s="23" t="str">
        <f>B90&amp;"-"&amp;TEXT(COUNTIF(B$2:B90,B90),"000")</f>
        <v>PRODUCT-00048-001</v>
      </c>
      <c r="B90" s="23" t="s">
        <v>609</v>
      </c>
      <c r="C90" s="23" t="str">
        <f>IFERROR(INDEX(Product!$B:$B,MATCH(B90,Product!$A:$A,0)),"NOT FOUND")</f>
        <v>Máy hút dịch áp lực âm VAC - MJ-100</v>
      </c>
      <c r="D90" s="23"/>
      <c r="E90" s="23" t="str">
        <f t="shared" si="1"/>
        <v>INSERT INTO public.medical_supply_product_variant (additional_desc, code, product_code) VALUES (NULL, 'PRODUCT-00048-001', 'PRODUCT-00048');</v>
      </c>
    </row>
    <row r="91" spans="1:5" x14ac:dyDescent="0.25">
      <c r="A91" s="23" t="str">
        <f>B91&amp;"-"&amp;TEXT(COUNTIF(B$2:B91,B91),"000")</f>
        <v>PRODUCT-00049-001</v>
      </c>
      <c r="B91" s="23" t="s">
        <v>610</v>
      </c>
      <c r="C91" s="23" t="str">
        <f>IFERROR(INDEX(Product!$B:$B,MATCH(B91,Product!$A:$A,0)),"NOT FOUND")</f>
        <v>Miếng dán ép sẹo silicone (10cmx1.7cm)</v>
      </c>
      <c r="D91" s="23"/>
      <c r="E91" s="23" t="str">
        <f t="shared" si="1"/>
        <v>INSERT INTO public.medical_supply_product_variant (additional_desc, code, product_code) VALUES (NULL, 'PRODUCT-00049-001', 'PRODUCT-00049');</v>
      </c>
    </row>
    <row r="92" spans="1:5" x14ac:dyDescent="0.25">
      <c r="A92" s="23" t="str">
        <f>B92&amp;"-"&amp;TEXT(COUNTIF(B$2:B92,B92),"000")</f>
        <v>PRODUCT-00290-001</v>
      </c>
      <c r="B92" s="23" t="s">
        <v>1561</v>
      </c>
      <c r="C92" s="23" t="str">
        <f>IFERROR(INDEX(Product!$B:$B,MATCH(B92,Product!$A:$A,0)),"NOT FOUND")</f>
        <v>Miếng dán ép sẹo silicone (14cmx3.8cm)</v>
      </c>
      <c r="D92" s="23"/>
      <c r="E92" s="23" t="str">
        <f t="shared" si="1"/>
        <v>INSERT INTO public.medical_supply_product_variant (additional_desc, code, product_code) VALUES (NULL, 'PRODUCT-00290-001', 'PRODUCT-00290');</v>
      </c>
    </row>
    <row r="93" spans="1:5" x14ac:dyDescent="0.25">
      <c r="A93" s="23" t="str">
        <f>B93&amp;"-"&amp;TEXT(COUNTIF(B$2:B93,B93),"000")</f>
        <v>PRODUCT-00050-001</v>
      </c>
      <c r="B93" s="23" t="s">
        <v>611</v>
      </c>
      <c r="C93" s="23" t="str">
        <f>IFERROR(INDEX(Product!$B:$B,MATCH(B93,Product!$A:$A,0)),"NOT FOUND")</f>
        <v>[Aveflor] Bình xịt lạnh giảm đau - Chillit (250ml)</v>
      </c>
      <c r="D93" s="23"/>
      <c r="E93" s="23" t="str">
        <f t="shared" si="1"/>
        <v>INSERT INTO public.medical_supply_product_variant (additional_desc, code, product_code) VALUES (NULL, 'PRODUCT-00050-001', 'PRODUCT-00050');</v>
      </c>
    </row>
    <row r="94" spans="1:5" x14ac:dyDescent="0.25">
      <c r="A94" s="23" t="str">
        <f>B94&amp;"-"&amp;TEXT(COUNTIF(B$2:B94,B94),"000")</f>
        <v>PRODUCT-00051-001</v>
      </c>
      <c r="B94" s="23" t="s">
        <v>612</v>
      </c>
      <c r="C94" s="23" t="str">
        <f>IFERROR(INDEX(Product!$B:$B,MATCH(B94,Product!$A:$A,0)),"NOT FOUND")</f>
        <v>[CODY Health] Băng thun bảo vệ đầu gối</v>
      </c>
      <c r="D94" s="23"/>
      <c r="E94" s="23" t="str">
        <f t="shared" si="1"/>
        <v>INSERT INTO public.medical_supply_product_variant (additional_desc, code, product_code) VALUES (NULL, 'PRODUCT-00051-001', 'PRODUCT-00051');</v>
      </c>
    </row>
    <row r="95" spans="1:5" x14ac:dyDescent="0.25">
      <c r="A95" s="23" t="str">
        <f>B95&amp;"-"&amp;TEXT(COUNTIF(B$2:B95,B95),"000")</f>
        <v>PRODUCT-00052-001</v>
      </c>
      <c r="B95" s="23" t="s">
        <v>613</v>
      </c>
      <c r="C95" s="23" t="str">
        <f>IFERROR(INDEX(Product!$B:$B,MATCH(B95,Product!$A:$A,0)),"NOT FOUND")</f>
        <v>[CODY Health] Đai đầu gối tập luyện thể thao</v>
      </c>
      <c r="D95" s="23"/>
      <c r="E95" s="23" t="str">
        <f t="shared" si="1"/>
        <v>INSERT INTO public.medical_supply_product_variant (additional_desc, code, product_code) VALUES (NULL, 'PRODUCT-00052-001', 'PRODUCT-00052');</v>
      </c>
    </row>
    <row r="96" spans="1:5" ht="30" x14ac:dyDescent="0.25">
      <c r="A96" s="23" t="str">
        <f>B96&amp;"-"&amp;TEXT(COUNTIF(B$2:B96,B96),"000")</f>
        <v>PRODUCT-00053-001</v>
      </c>
      <c r="B96" s="23" t="s">
        <v>614</v>
      </c>
      <c r="C96" s="23" t="str">
        <f>IFERROR(INDEX(Product!$B:$B,MATCH(B96,Product!$A:$A,0)),"NOT FOUND")</f>
        <v>[CODY Health] Đai lưng cố định cột sống</v>
      </c>
      <c r="D96" s="1" t="s">
        <v>2048</v>
      </c>
      <c r="E96" s="23" t="str">
        <f t="shared" si="1"/>
        <v>INSERT INTO public.medical_supply_product_variant (additional_desc, code, product_code) VALUES ('Số đo vòng bụng: 56 - 71 cm
Chiều cao đai: 22 cm', 'PRODUCT-00053-001', 'PRODUCT-00053');</v>
      </c>
    </row>
    <row r="97" spans="1:5" ht="30" x14ac:dyDescent="0.25">
      <c r="A97" s="23" t="str">
        <f>B97&amp;"-"&amp;TEXT(COUNTIF(B$2:B97,B97),"000")</f>
        <v>PRODUCT-00053-002</v>
      </c>
      <c r="B97" s="23" t="s">
        <v>614</v>
      </c>
      <c r="C97" s="23" t="str">
        <f>IFERROR(INDEX(Product!$B:$B,MATCH(B97,Product!$A:$A,0)),"NOT FOUND")</f>
        <v>[CODY Health] Đai lưng cố định cột sống</v>
      </c>
      <c r="D97" s="1" t="s">
        <v>2049</v>
      </c>
      <c r="E97" s="23" t="str">
        <f t="shared" si="1"/>
        <v>INSERT INTO public.medical_supply_product_variant (additional_desc, code, product_code) VALUES ('Số đo vòng bụng: 71 - 84 cm
Chiều cao đai: 22 cm', 'PRODUCT-00053-002', 'PRODUCT-00053');</v>
      </c>
    </row>
    <row r="98" spans="1:5" ht="30" x14ac:dyDescent="0.25">
      <c r="A98" s="23" t="str">
        <f>B98&amp;"-"&amp;TEXT(COUNTIF(B$2:B98,B98),"000")</f>
        <v>PRODUCT-00053-003</v>
      </c>
      <c r="B98" s="23" t="s">
        <v>614</v>
      </c>
      <c r="C98" s="23" t="str">
        <f>IFERROR(INDEX(Product!$B:$B,MATCH(B98,Product!$A:$A,0)),"NOT FOUND")</f>
        <v>[CODY Health] Đai lưng cố định cột sống</v>
      </c>
      <c r="D98" s="1" t="s">
        <v>2050</v>
      </c>
      <c r="E98" s="23" t="str">
        <f t="shared" si="1"/>
        <v>INSERT INTO public.medical_supply_product_variant (additional_desc, code, product_code) VALUES ('Số đo vòng bụng: 84 - 97 cm
Chiều cao đai: 22 cm', 'PRODUCT-00053-003', 'PRODUCT-00053');</v>
      </c>
    </row>
    <row r="99" spans="1:5" ht="30" x14ac:dyDescent="0.25">
      <c r="A99" s="23" t="str">
        <f>B99&amp;"-"&amp;TEXT(COUNTIF(B$2:B99,B99),"000")</f>
        <v>PRODUCT-00053-004</v>
      </c>
      <c r="B99" s="23" t="s">
        <v>614</v>
      </c>
      <c r="C99" s="23" t="str">
        <f>IFERROR(INDEX(Product!$B:$B,MATCH(B99,Product!$A:$A,0)),"NOT FOUND")</f>
        <v>[CODY Health] Đai lưng cố định cột sống</v>
      </c>
      <c r="D99" s="1" t="s">
        <v>2051</v>
      </c>
      <c r="E99" s="23" t="str">
        <f t="shared" si="1"/>
        <v>INSERT INTO public.medical_supply_product_variant (additional_desc, code, product_code) VALUES ('Số đo vòng bụng: 97 - 109 cm
Chiều cao đai: 22 cm', 'PRODUCT-00053-004', 'PRODUCT-00053');</v>
      </c>
    </row>
    <row r="100" spans="1:5" ht="60" x14ac:dyDescent="0.25">
      <c r="A100" s="23" t="str">
        <f>B100&amp;"-"&amp;TEXT(COUNTIF(B$2:B100,B100),"000")</f>
        <v>PRODUCT-00054-001</v>
      </c>
      <c r="B100" s="23" t="s">
        <v>615</v>
      </c>
      <c r="C100" s="23" t="str">
        <f>IFERROR(INDEX(Product!$B:$B,MATCH(B100,Product!$A:$A,0)),"NOT FOUND")</f>
        <v>[CODY Health] Vớ đùi y khoa giãn tĩnh mạch có silicone chống trượt</v>
      </c>
      <c r="D100" s="1" t="s">
        <v>2052</v>
      </c>
      <c r="E100" s="23" t="str">
        <f t="shared" si="1"/>
        <v>INSERT INTO public.medical_supply_product_variant (additional_desc, code, product_code) VALUES ('Vòng 1: cổ chân, ngay trên xương mắt cá chân 1cm: 18-20 cm
Vòng 2: bắp chân, tại nơi lớn nhất: 31-35 cm
Vòng 3: đùi, dưới bẹn 5cm: 45-53 cm
Chiều dài từ bàn chân đến vòng 3: 66-76 cm', 'PRODUCT-00054-001', 'PRODUCT-00054');</v>
      </c>
    </row>
    <row r="101" spans="1:5" ht="60" x14ac:dyDescent="0.25">
      <c r="A101" s="23" t="str">
        <f>B101&amp;"-"&amp;TEXT(COUNTIF(B$2:B101,B101),"000")</f>
        <v>PRODUCT-00054-002</v>
      </c>
      <c r="B101" s="23" t="s">
        <v>615</v>
      </c>
      <c r="C101" s="23" t="str">
        <f>IFERROR(INDEX(Product!$B:$B,MATCH(B101,Product!$A:$A,0)),"NOT FOUND")</f>
        <v>[CODY Health] Vớ đùi y khoa giãn tĩnh mạch có silicone chống trượt</v>
      </c>
      <c r="D101" s="1" t="s">
        <v>2053</v>
      </c>
      <c r="E101" s="23" t="str">
        <f t="shared" si="1"/>
        <v>INSERT INTO public.medical_supply_product_variant (additional_desc, code, product_code) VALUES ('Vòng 1: cổ chân, ngay trên xương mắt cá chân 1cm: 20-22 cm
Vòng 2: bắp chân, tại nơi lớn nhất: 33-38 cm
Vòng 3: đùi, dưới bẹn 5cm: 48-56 cm
Chiều dài từ bàn chân đến vòng 3: 66-76 cm', 'PRODUCT-00054-002', 'PRODUCT-00054');</v>
      </c>
    </row>
    <row r="102" spans="1:5" ht="60" x14ac:dyDescent="0.25">
      <c r="A102" s="23" t="str">
        <f>B102&amp;"-"&amp;TEXT(COUNTIF(B$2:B102,B102),"000")</f>
        <v>PRODUCT-00054-003</v>
      </c>
      <c r="B102" s="23" t="s">
        <v>615</v>
      </c>
      <c r="C102" s="23" t="str">
        <f>IFERROR(INDEX(Product!$B:$B,MATCH(B102,Product!$A:$A,0)),"NOT FOUND")</f>
        <v>[CODY Health] Vớ đùi y khoa giãn tĩnh mạch có silicone chống trượt</v>
      </c>
      <c r="D102" s="1" t="s">
        <v>2054</v>
      </c>
      <c r="E102" s="23" t="str">
        <f t="shared" si="1"/>
        <v>INSERT INTO public.medical_supply_product_variant (additional_desc, code, product_code) VALUES ('Vòng 1: cổ chân, ngay trên xương mắt cá chân 1cm: 22-24 cm
Vòng 2: bắp chân, tại nơi lớn nhất: 34-40 cm
Vòng 3: đùi, dưới bẹn 5cm: 51-59 cm
Chiều dài từ bàn chân đến vòng 3: 70-80 cm', 'PRODUCT-00054-003', 'PRODUCT-00054');</v>
      </c>
    </row>
    <row r="103" spans="1:5" ht="45" x14ac:dyDescent="0.25">
      <c r="A103" s="23" t="str">
        <f>B103&amp;"-"&amp;TEXT(COUNTIF(B$2:B103,B103),"000")</f>
        <v>PRODUCT-00055-001</v>
      </c>
      <c r="B103" s="23" t="s">
        <v>616</v>
      </c>
      <c r="C103" s="23" t="str">
        <f>IFERROR(INDEX(Product!$B:$B,MATCH(B103,Product!$A:$A,0)),"NOT FOUND")</f>
        <v>[CODY Health] Vớ gối y khoa giãn tĩnh mạch</v>
      </c>
      <c r="D103" s="1" t="s">
        <v>2055</v>
      </c>
      <c r="E103" s="23" t="str">
        <f t="shared" si="1"/>
        <v>INSERT INTO public.medical_supply_product_variant (additional_desc, code, product_code) VALUES ('Vòng 1: cổ chân, ngay trên xương mắt cá chân 1cm: 18-20 cm
Vòng 2: bắp chân, tại nơi lớn nhất: 31-35 cm
Chiều dài từ bàn chân đến đoạn dưới gối: 66-76 cm', 'PRODUCT-00055-001', 'PRODUCT-00055');</v>
      </c>
    </row>
    <row r="104" spans="1:5" ht="45" x14ac:dyDescent="0.25">
      <c r="A104" s="23" t="str">
        <f>B104&amp;"-"&amp;TEXT(COUNTIF(B$2:B104,B104),"000")</f>
        <v>PRODUCT-00055-002</v>
      </c>
      <c r="B104" s="23" t="s">
        <v>616</v>
      </c>
      <c r="C104" s="23" t="str">
        <f>IFERROR(INDEX(Product!$B:$B,MATCH(B104,Product!$A:$A,0)),"NOT FOUND")</f>
        <v>[CODY Health] Vớ gối y khoa giãn tĩnh mạch</v>
      </c>
      <c r="D104" s="1" t="s">
        <v>2056</v>
      </c>
      <c r="E104" s="23" t="str">
        <f t="shared" si="1"/>
        <v>INSERT INTO public.medical_supply_product_variant (additional_desc, code, product_code) VALUES ('Vòng 1: cổ chân, ngay trên xương mắt cá chân 1cm: 20-22 cm
Vòng 2: bắp chân, tại nơi lớn nhất: 33-38 cm
Chiều dài từ bàn chân đến đoạn dưới gối: 66-76 cm', 'PRODUCT-00055-002', 'PRODUCT-00055');</v>
      </c>
    </row>
    <row r="105" spans="1:5" ht="45" x14ac:dyDescent="0.25">
      <c r="A105" s="23" t="str">
        <f>B105&amp;"-"&amp;TEXT(COUNTIF(B$2:B105,B105),"000")</f>
        <v>PRODUCT-00055-003</v>
      </c>
      <c r="B105" s="23" t="s">
        <v>616</v>
      </c>
      <c r="C105" s="23" t="str">
        <f>IFERROR(INDEX(Product!$B:$B,MATCH(B105,Product!$A:$A,0)),"NOT FOUND")</f>
        <v>[CODY Health] Vớ gối y khoa giãn tĩnh mạch</v>
      </c>
      <c r="D105" s="1" t="s">
        <v>2057</v>
      </c>
      <c r="E105" s="23" t="str">
        <f t="shared" si="1"/>
        <v>INSERT INTO public.medical_supply_product_variant (additional_desc, code, product_code) VALUES ('Vòng 1: cổ chân, ngay trên xương mắt cá chân 1cm: 22-24 cm
Vòng 2: bắp chân, tại nơi lớn nhất: 34-40 cm
Chiều dài từ bàn chân đến đoạn dưới gối: 70-80 cm', 'PRODUCT-00055-003', 'PRODUCT-00055');</v>
      </c>
    </row>
    <row r="106" spans="1:5" ht="45" x14ac:dyDescent="0.25">
      <c r="A106" s="23" t="str">
        <f>B106&amp;"-"&amp;TEXT(COUNTIF(B$2:B106,B106),"000")</f>
        <v>PRODUCT-00056-001</v>
      </c>
      <c r="B106" s="23" t="s">
        <v>617</v>
      </c>
      <c r="C106" s="23" t="str">
        <f>IFERROR(INDEX(Product!$B:$B,MATCH(B106,Product!$A:$A,0)),"NOT FOUND")</f>
        <v>[CODY Health] Vớ y khoa giãn tĩnh mạch (Vớ gối)</v>
      </c>
      <c r="D106" s="1" t="s">
        <v>2058</v>
      </c>
      <c r="E106" s="23" t="str">
        <f t="shared" si="1"/>
        <v>INSERT INTO public.medical_supply_product_variant (additional_desc, code, product_code) VALUES ('Vòng 1: vòng cổ chân, ngay trên xương mắt cá chân 1cm: 18-20 cm
Vòng 2: vòng bắp chân, tại nơi lớn nhất: 31-35 cm
Vòng 3: vòng đùi, dưới bẹn 5cm: 45-53 cm', 'PRODUCT-00056-001', 'PRODUCT-00056');</v>
      </c>
    </row>
    <row r="107" spans="1:5" ht="45" x14ac:dyDescent="0.25">
      <c r="A107" s="23" t="str">
        <f>B107&amp;"-"&amp;TEXT(COUNTIF(B$2:B107,B107),"000")</f>
        <v>PRODUCT-00056-002</v>
      </c>
      <c r="B107" s="23" t="s">
        <v>617</v>
      </c>
      <c r="C107" s="23" t="str">
        <f>IFERROR(INDEX(Product!$B:$B,MATCH(B107,Product!$A:$A,0)),"NOT FOUND")</f>
        <v>[CODY Health] Vớ y khoa giãn tĩnh mạch (Vớ gối)</v>
      </c>
      <c r="D107" s="1" t="s">
        <v>2059</v>
      </c>
      <c r="E107" s="23" t="str">
        <f t="shared" si="1"/>
        <v>INSERT INTO public.medical_supply_product_variant (additional_desc, code, product_code) VALUES ('Vòng 1: vòng cổ chân, ngay trên xương mắt cá chân 1cm: 20-22 cm
Vòng 2: vòng bắp chân, tại nơi lớn nhất: 33-38 cm
Vòng 3: vòng đùi, dưới bẹn 5cm: 48-56 cm', 'PRODUCT-00056-002', 'PRODUCT-00056');</v>
      </c>
    </row>
    <row r="108" spans="1:5" ht="45" x14ac:dyDescent="0.25">
      <c r="A108" s="23" t="str">
        <f>B108&amp;"-"&amp;TEXT(COUNTIF(B$2:B108,B108),"000")</f>
        <v>PRODUCT-00056-003</v>
      </c>
      <c r="B108" s="23" t="s">
        <v>617</v>
      </c>
      <c r="C108" s="23" t="str">
        <f>IFERROR(INDEX(Product!$B:$B,MATCH(B108,Product!$A:$A,0)),"NOT FOUND")</f>
        <v>[CODY Health] Vớ y khoa giãn tĩnh mạch (Vớ gối)</v>
      </c>
      <c r="D108" s="1" t="s">
        <v>2060</v>
      </c>
      <c r="E108" s="23" t="str">
        <f t="shared" si="1"/>
        <v>INSERT INTO public.medical_supply_product_variant (additional_desc, code, product_code) VALUES ('Vòng 1: vòng cổ chân, ngay trên xương mắt cá chân 1cm: 22-24 cm
Vòng 2: vòng bắp chân, tại nơi lớn nhất: 34-40 cm
Vòng 3: vòng đùi, dưới bẹn 5cm: 51-59 cm', 'PRODUCT-00056-003', 'PRODUCT-00056');</v>
      </c>
    </row>
    <row r="109" spans="1:5" ht="45" x14ac:dyDescent="0.25">
      <c r="A109" s="23" t="str">
        <f>B109&amp;"-"&amp;TEXT(COUNTIF(B$2:B109,B109),"000")</f>
        <v>PRODUCT-00296-001</v>
      </c>
      <c r="B109" s="23" t="s">
        <v>1623</v>
      </c>
      <c r="C109" s="23" t="str">
        <f>IFERROR(INDEX(Product!$B:$B,MATCH(B109,Product!$A:$A,0)),"NOT FOUND")</f>
        <v>[CODY Health] Vớ y khoa giãn tĩnh mạch (Vớ đùi)</v>
      </c>
      <c r="D109" s="1" t="s">
        <v>2058</v>
      </c>
      <c r="E109" s="23" t="str">
        <f t="shared" si="1"/>
        <v>INSERT INTO public.medical_supply_product_variant (additional_desc, code, product_code) VALUES ('Vòng 1: vòng cổ chân, ngay trên xương mắt cá chân 1cm: 18-20 cm
Vòng 2: vòng bắp chân, tại nơi lớn nhất: 31-35 cm
Vòng 3: vòng đùi, dưới bẹn 5cm: 45-53 cm', 'PRODUCT-00296-001', 'PRODUCT-00296');</v>
      </c>
    </row>
    <row r="110" spans="1:5" ht="45" x14ac:dyDescent="0.25">
      <c r="A110" s="23" t="str">
        <f>B110&amp;"-"&amp;TEXT(COUNTIF(B$2:B110,B110),"000")</f>
        <v>PRODUCT-00296-002</v>
      </c>
      <c r="B110" s="23" t="s">
        <v>1623</v>
      </c>
      <c r="C110" s="23" t="str">
        <f>IFERROR(INDEX(Product!$B:$B,MATCH(B110,Product!$A:$A,0)),"NOT FOUND")</f>
        <v>[CODY Health] Vớ y khoa giãn tĩnh mạch (Vớ đùi)</v>
      </c>
      <c r="D110" s="1" t="s">
        <v>2059</v>
      </c>
      <c r="E110" s="23" t="str">
        <f t="shared" si="1"/>
        <v>INSERT INTO public.medical_supply_product_variant (additional_desc, code, product_code) VALUES ('Vòng 1: vòng cổ chân, ngay trên xương mắt cá chân 1cm: 20-22 cm
Vòng 2: vòng bắp chân, tại nơi lớn nhất: 33-38 cm
Vòng 3: vòng đùi, dưới bẹn 5cm: 48-56 cm', 'PRODUCT-00296-002', 'PRODUCT-00296');</v>
      </c>
    </row>
    <row r="111" spans="1:5" ht="45" x14ac:dyDescent="0.25">
      <c r="A111" s="23" t="str">
        <f>B111&amp;"-"&amp;TEXT(COUNTIF(B$2:B111,B111),"000")</f>
        <v>PRODUCT-00296-003</v>
      </c>
      <c r="B111" s="23" t="s">
        <v>1623</v>
      </c>
      <c r="C111" s="23" t="str">
        <f>IFERROR(INDEX(Product!$B:$B,MATCH(B111,Product!$A:$A,0)),"NOT FOUND")</f>
        <v>[CODY Health] Vớ y khoa giãn tĩnh mạch (Vớ đùi)</v>
      </c>
      <c r="D111" s="1" t="s">
        <v>2060</v>
      </c>
      <c r="E111" s="23" t="str">
        <f t="shared" si="1"/>
        <v>INSERT INTO public.medical_supply_product_variant (additional_desc, code, product_code) VALUES ('Vòng 1: vòng cổ chân, ngay trên xương mắt cá chân 1cm: 22-24 cm
Vòng 2: vòng bắp chân, tại nơi lớn nhất: 34-40 cm
Vòng 3: vòng đùi, dưới bẹn 5cm: 51-59 cm', 'PRODUCT-00296-003', 'PRODUCT-00296');</v>
      </c>
    </row>
    <row r="112" spans="1:5" x14ac:dyDescent="0.25">
      <c r="A112" s="23" t="str">
        <f>B112&amp;"-"&amp;TEXT(COUNTIF(B$2:B112,B112),"000")</f>
        <v>PRODUCT-00057-001</v>
      </c>
      <c r="B112" s="23" t="s">
        <v>618</v>
      </c>
      <c r="C112" s="23" t="str">
        <f>IFERROR(INDEX(Product!$B:$B,MATCH(B112,Product!$A:$A,0)),"NOT FOUND")</f>
        <v>[Hapaku] Đai chườm thảo dược bàn chân làm nóng bằng điện</v>
      </c>
      <c r="D112" s="23"/>
      <c r="E112" s="23" t="str">
        <f t="shared" si="1"/>
        <v>INSERT INTO public.medical_supply_product_variant (additional_desc, code, product_code) VALUES (NULL, 'PRODUCT-00057-001', 'PRODUCT-00057');</v>
      </c>
    </row>
    <row r="113" spans="1:5" x14ac:dyDescent="0.25">
      <c r="A113" s="23" t="str">
        <f>B113&amp;"-"&amp;TEXT(COUNTIF(B$2:B113,B113),"000")</f>
        <v>PRODUCT-00058-001</v>
      </c>
      <c r="B113" s="23" t="s">
        <v>619</v>
      </c>
      <c r="C113" s="23" t="str">
        <f>IFERROR(INDEX(Product!$B:$B,MATCH(B113,Product!$A:$A,0)),"NOT FOUND")</f>
        <v>[Hapaku] Đai chườm thảo dược cổ gáy làm nóng bằng điện (50cmx11cm)</v>
      </c>
      <c r="D113" s="23"/>
      <c r="E113" s="23" t="str">
        <f t="shared" si="1"/>
        <v>INSERT INTO public.medical_supply_product_variant (additional_desc, code, product_code) VALUES (NULL, 'PRODUCT-00058-001', 'PRODUCT-00058');</v>
      </c>
    </row>
    <row r="114" spans="1:5" x14ac:dyDescent="0.25">
      <c r="A114" s="23" t="str">
        <f>B114&amp;"-"&amp;TEXT(COUNTIF(B$2:B114,B114),"000")</f>
        <v>PRODUCT-00059-001</v>
      </c>
      <c r="B114" s="23" t="s">
        <v>620</v>
      </c>
      <c r="C114" s="23" t="str">
        <f>IFERROR(INDEX(Product!$B:$B,MATCH(B114,Product!$A:$A,0)),"NOT FOUND")</f>
        <v>[Hapaku] Đai chườm thảo dược lưng bụng làm nóng bằng điện</v>
      </c>
      <c r="D114" s="23"/>
      <c r="E114" s="23" t="str">
        <f t="shared" si="1"/>
        <v>INSERT INTO public.medical_supply_product_variant (additional_desc, code, product_code) VALUES (NULL, 'PRODUCT-00059-001', 'PRODUCT-00059');</v>
      </c>
    </row>
    <row r="115" spans="1:5" x14ac:dyDescent="0.25">
      <c r="A115" s="23" t="str">
        <f>B115&amp;"-"&amp;TEXT(COUNTIF(B$2:B115,B115),"000")</f>
        <v>PRODUCT-00060-001</v>
      </c>
      <c r="B115" s="23" t="s">
        <v>621</v>
      </c>
      <c r="C115" s="23" t="str">
        <f>IFERROR(INDEX(Product!$B:$B,MATCH(B115,Product!$A:$A,0)),"NOT FOUND")</f>
        <v>[Hapaku] Đai chườm thảo dược vai gáy cổ làm nóng bằng điện (35cmx48cm)</v>
      </c>
      <c r="D115" s="23"/>
      <c r="E115" s="23" t="str">
        <f t="shared" si="1"/>
        <v>INSERT INTO public.medical_supply_product_variant (additional_desc, code, product_code) VALUES (NULL, 'PRODUCT-00060-001', 'PRODUCT-00060');</v>
      </c>
    </row>
    <row r="116" spans="1:5" x14ac:dyDescent="0.25">
      <c r="A116" s="23" t="str">
        <f>B116&amp;"-"&amp;TEXT(COUNTIF(B$2:B116,B116),"000")</f>
        <v>PRODUCT-00061-001</v>
      </c>
      <c r="B116" s="23" t="s">
        <v>622</v>
      </c>
      <c r="C116" s="23" t="str">
        <f>IFERROR(INDEX(Product!$B:$B,MATCH(B116,Product!$A:$A,0)),"NOT FOUND")</f>
        <v>[Hapaku] Gối chườm thảo dược đa năng làm nóng bằng điện (34cmx24cm)</v>
      </c>
      <c r="D116" s="23"/>
      <c r="E116" s="23" t="str">
        <f t="shared" si="1"/>
        <v>INSERT INTO public.medical_supply_product_variant (additional_desc, code, product_code) VALUES (NULL, 'PRODUCT-00061-001', 'PRODUCT-00061');</v>
      </c>
    </row>
    <row r="117" spans="1:5" x14ac:dyDescent="0.25">
      <c r="A117" s="23" t="str">
        <f>B117&amp;"-"&amp;TEXT(COUNTIF(B$2:B117,B117),"000")</f>
        <v>PRODUCT-00062-001</v>
      </c>
      <c r="B117" s="23" t="s">
        <v>623</v>
      </c>
      <c r="C117" s="23" t="str">
        <f>IFERROR(INDEX(Product!$B:$B,MATCH(B117,Product!$A:$A,0)),"NOT FOUND")</f>
        <v>[Merisocks] Đai hỗ trợ đầu gối</v>
      </c>
      <c r="D117" s="23"/>
      <c r="E117" s="23" t="str">
        <f t="shared" si="1"/>
        <v>INSERT INTO public.medical_supply_product_variant (additional_desc, code, product_code) VALUES (NULL, 'PRODUCT-00062-001', 'PRODUCT-00062');</v>
      </c>
    </row>
    <row r="118" spans="1:5" x14ac:dyDescent="0.25">
      <c r="A118" s="23" t="str">
        <f>B118&amp;"-"&amp;TEXT(COUNTIF(B$2:B118,B118),"000")</f>
        <v>PRODUCT-00062-002</v>
      </c>
      <c r="B118" s="23" t="s">
        <v>623</v>
      </c>
      <c r="C118" s="23" t="str">
        <f>IFERROR(INDEX(Product!$B:$B,MATCH(B118,Product!$A:$A,0)),"NOT FOUND")</f>
        <v>[Merisocks] Đai hỗ trợ đầu gối</v>
      </c>
      <c r="D118" s="23"/>
      <c r="E118" s="23" t="str">
        <f t="shared" si="1"/>
        <v>INSERT INTO public.medical_supply_product_variant (additional_desc, code, product_code) VALUES (NULL, 'PRODUCT-00062-002', 'PRODUCT-00062');</v>
      </c>
    </row>
    <row r="119" spans="1:5" x14ac:dyDescent="0.25">
      <c r="A119" s="23" t="str">
        <f>B119&amp;"-"&amp;TEXT(COUNTIF(B$2:B119,B119),"000")</f>
        <v>PRODUCT-00062-003</v>
      </c>
      <c r="B119" s="23" t="s">
        <v>623</v>
      </c>
      <c r="C119" s="23" t="str">
        <f>IFERROR(INDEX(Product!$B:$B,MATCH(B119,Product!$A:$A,0)),"NOT FOUND")</f>
        <v>[Merisocks] Đai hỗ trợ đầu gối</v>
      </c>
      <c r="D119" s="23"/>
      <c r="E119" s="23" t="str">
        <f t="shared" si="1"/>
        <v>INSERT INTO public.medical_supply_product_variant (additional_desc, code, product_code) VALUES (NULL, 'PRODUCT-00062-003', 'PRODUCT-00062');</v>
      </c>
    </row>
    <row r="120" spans="1:5" ht="30" x14ac:dyDescent="0.25">
      <c r="A120" s="23" t="str">
        <f>B120&amp;"-"&amp;TEXT(COUNTIF(B$2:B120,B120),"000")</f>
        <v>PRODUCT-00063-001</v>
      </c>
      <c r="B120" s="23" t="s">
        <v>624</v>
      </c>
      <c r="C120" s="23" t="str">
        <f>IFERROR(INDEX(Product!$B:$B,MATCH(B120,Product!$A:$A,0)),"NOT FOUND")</f>
        <v>[Merisocks] Vớ nén bắp chân chống suy giãn tĩnh mạch</v>
      </c>
      <c r="D120" s="1" t="s">
        <v>2061</v>
      </c>
      <c r="E120" s="23" t="str">
        <f t="shared" si="1"/>
        <v>INSERT INTO public.medical_supply_product_variant (additional_desc, code, product_code) VALUES ('Vòng 1: cổ chân, ngay trên mắt cá chân: 17-22cm
Vòng 2: bắp chân ở vị trí lớn nhất: 29-38cm', 'PRODUCT-00063-001', 'PRODUCT-00063');</v>
      </c>
    </row>
    <row r="121" spans="1:5" ht="30" x14ac:dyDescent="0.25">
      <c r="A121" s="23" t="str">
        <f>B121&amp;"-"&amp;TEXT(COUNTIF(B$2:B121,B121),"000")</f>
        <v>PRODUCT-00063-002</v>
      </c>
      <c r="B121" s="23" t="s">
        <v>624</v>
      </c>
      <c r="C121" s="23" t="str">
        <f>IFERROR(INDEX(Product!$B:$B,MATCH(B121,Product!$A:$A,0)),"NOT FOUND")</f>
        <v>[Merisocks] Vớ nén bắp chân chống suy giãn tĩnh mạch</v>
      </c>
      <c r="D121" s="1" t="s">
        <v>2062</v>
      </c>
      <c r="E121" s="23" t="str">
        <f t="shared" si="1"/>
        <v>INSERT INTO public.medical_supply_product_variant (additional_desc, code, product_code) VALUES ('Vòng 1: cổ chân, ngay trên mắt cá chân: 19-24cm
Vòng 2: bắp chân ở vị trí lớn nhất: 31-40cm', 'PRODUCT-00063-002', 'PRODUCT-00063');</v>
      </c>
    </row>
    <row r="122" spans="1:5" ht="30" x14ac:dyDescent="0.25">
      <c r="A122" s="23" t="str">
        <f>B122&amp;"-"&amp;TEXT(COUNTIF(B$2:B122,B122),"000")</f>
        <v>PRODUCT-00063-003</v>
      </c>
      <c r="B122" s="23" t="s">
        <v>624</v>
      </c>
      <c r="C122" s="23" t="str">
        <f>IFERROR(INDEX(Product!$B:$B,MATCH(B122,Product!$A:$A,0)),"NOT FOUND")</f>
        <v>[Merisocks] Vớ nén bắp chân chống suy giãn tĩnh mạch</v>
      </c>
      <c r="D122" s="1" t="s">
        <v>2063</v>
      </c>
      <c r="E122" s="23" t="str">
        <f t="shared" si="1"/>
        <v>INSERT INTO public.medical_supply_product_variant (additional_desc, code, product_code) VALUES ('Vòng 1: cổ chân, ngay trên mắt cá chân: 21-26cm
Vòng 2: bắp chân ở vị trí lớn nhất: 33-43cm', 'PRODUCT-00063-003', 'PRODUCT-00063');</v>
      </c>
    </row>
    <row r="123" spans="1:5" ht="30" x14ac:dyDescent="0.25">
      <c r="A123" s="23" t="str">
        <f>B123&amp;"-"&amp;TEXT(COUNTIF(B$2:B123,B123),"000")</f>
        <v>PRODUCT-00063-004</v>
      </c>
      <c r="B123" s="23" t="s">
        <v>624</v>
      </c>
      <c r="C123" s="23" t="str">
        <f>IFERROR(INDEX(Product!$B:$B,MATCH(B123,Product!$A:$A,0)),"NOT FOUND")</f>
        <v>[Merisocks] Vớ nén bắp chân chống suy giãn tĩnh mạch</v>
      </c>
      <c r="D123" s="1" t="s">
        <v>2064</v>
      </c>
      <c r="E123" s="23" t="str">
        <f t="shared" si="1"/>
        <v>INSERT INTO public.medical_supply_product_variant (additional_desc, code, product_code) VALUES ('Vòng 1: cổ chân, ngay trên mắt cá chân: 24-29cm
Vòng 2: bắp chân ở vị trí lớn nhất: 36-45cm', 'PRODUCT-00063-004', 'PRODUCT-00063');</v>
      </c>
    </row>
    <row r="124" spans="1:5" ht="30" x14ac:dyDescent="0.25">
      <c r="A124" s="23" t="str">
        <f>B124&amp;"-"&amp;TEXT(COUNTIF(B$2:B124,B124),"000")</f>
        <v>PRODUCT-00063-005</v>
      </c>
      <c r="B124" s="23" t="s">
        <v>624</v>
      </c>
      <c r="C124" s="23" t="str">
        <f>IFERROR(INDEX(Product!$B:$B,MATCH(B124,Product!$A:$A,0)),"NOT FOUND")</f>
        <v>[Merisocks] Vớ nén bắp chân chống suy giãn tĩnh mạch</v>
      </c>
      <c r="D124" s="1" t="s">
        <v>2061</v>
      </c>
      <c r="E124" s="23" t="str">
        <f t="shared" si="1"/>
        <v>INSERT INTO public.medical_supply_product_variant (additional_desc, code, product_code) VALUES ('Vòng 1: cổ chân, ngay trên mắt cá chân: 17-22cm
Vòng 2: bắp chân ở vị trí lớn nhất: 29-38cm', 'PRODUCT-00063-005', 'PRODUCT-00063');</v>
      </c>
    </row>
    <row r="125" spans="1:5" ht="30" x14ac:dyDescent="0.25">
      <c r="A125" s="23" t="str">
        <f>B125&amp;"-"&amp;TEXT(COUNTIF(B$2:B125,B125),"000")</f>
        <v>PRODUCT-00063-006</v>
      </c>
      <c r="B125" s="23" t="s">
        <v>624</v>
      </c>
      <c r="C125" s="23" t="str">
        <f>IFERROR(INDEX(Product!$B:$B,MATCH(B125,Product!$A:$A,0)),"NOT FOUND")</f>
        <v>[Merisocks] Vớ nén bắp chân chống suy giãn tĩnh mạch</v>
      </c>
      <c r="D125" s="1" t="s">
        <v>2062</v>
      </c>
      <c r="E125" s="23" t="str">
        <f t="shared" si="1"/>
        <v>INSERT INTO public.medical_supply_product_variant (additional_desc, code, product_code) VALUES ('Vòng 1: cổ chân, ngay trên mắt cá chân: 19-24cm
Vòng 2: bắp chân ở vị trí lớn nhất: 31-40cm', 'PRODUCT-00063-006', 'PRODUCT-00063');</v>
      </c>
    </row>
    <row r="126" spans="1:5" ht="30" x14ac:dyDescent="0.25">
      <c r="A126" s="23" t="str">
        <f>B126&amp;"-"&amp;TEXT(COUNTIF(B$2:B126,B126),"000")</f>
        <v>PRODUCT-00063-007</v>
      </c>
      <c r="B126" s="23" t="s">
        <v>624</v>
      </c>
      <c r="C126" s="23" t="str">
        <f>IFERROR(INDEX(Product!$B:$B,MATCH(B126,Product!$A:$A,0)),"NOT FOUND")</f>
        <v>[Merisocks] Vớ nén bắp chân chống suy giãn tĩnh mạch</v>
      </c>
      <c r="D126" s="1" t="s">
        <v>2063</v>
      </c>
      <c r="E126" s="23" t="str">
        <f t="shared" si="1"/>
        <v>INSERT INTO public.medical_supply_product_variant (additional_desc, code, product_code) VALUES ('Vòng 1: cổ chân, ngay trên mắt cá chân: 21-26cm
Vòng 2: bắp chân ở vị trí lớn nhất: 33-43cm', 'PRODUCT-00063-007', 'PRODUCT-00063');</v>
      </c>
    </row>
    <row r="127" spans="1:5" ht="30" x14ac:dyDescent="0.25">
      <c r="A127" s="23" t="str">
        <f>B127&amp;"-"&amp;TEXT(COUNTIF(B$2:B127,B127),"000")</f>
        <v>PRODUCT-00063-008</v>
      </c>
      <c r="B127" s="23" t="s">
        <v>624</v>
      </c>
      <c r="C127" s="23" t="str">
        <f>IFERROR(INDEX(Product!$B:$B,MATCH(B127,Product!$A:$A,0)),"NOT FOUND")</f>
        <v>[Merisocks] Vớ nén bắp chân chống suy giãn tĩnh mạch</v>
      </c>
      <c r="D127" s="1" t="s">
        <v>2064</v>
      </c>
      <c r="E127" s="23" t="str">
        <f t="shared" si="1"/>
        <v>INSERT INTO public.medical_supply_product_variant (additional_desc, code, product_code) VALUES ('Vòng 1: cổ chân, ngay trên mắt cá chân: 24-29cm
Vòng 2: bắp chân ở vị trí lớn nhất: 36-45cm', 'PRODUCT-00063-008', 'PRODUCT-00063');</v>
      </c>
    </row>
    <row r="128" spans="1:5" ht="30" x14ac:dyDescent="0.25">
      <c r="A128" s="23" t="str">
        <f>B128&amp;"-"&amp;TEXT(COUNTIF(B$2:B128,B128),"000")</f>
        <v>PRODUCT-00063-009</v>
      </c>
      <c r="B128" s="23" t="s">
        <v>624</v>
      </c>
      <c r="C128" s="23" t="str">
        <f>IFERROR(INDEX(Product!$B:$B,MATCH(B128,Product!$A:$A,0)),"NOT FOUND")</f>
        <v>[Merisocks] Vớ nén bắp chân chống suy giãn tĩnh mạch</v>
      </c>
      <c r="D128" s="1" t="s">
        <v>2061</v>
      </c>
      <c r="E128" s="23" t="str">
        <f t="shared" si="1"/>
        <v>INSERT INTO public.medical_supply_product_variant (additional_desc, code, product_code) VALUES ('Vòng 1: cổ chân, ngay trên mắt cá chân: 17-22cm
Vòng 2: bắp chân ở vị trí lớn nhất: 29-38cm', 'PRODUCT-00063-009', 'PRODUCT-00063');</v>
      </c>
    </row>
    <row r="129" spans="1:5" ht="30" x14ac:dyDescent="0.25">
      <c r="A129" s="23" t="str">
        <f>B129&amp;"-"&amp;TEXT(COUNTIF(B$2:B129,B129),"000")</f>
        <v>PRODUCT-00063-010</v>
      </c>
      <c r="B129" s="23" t="s">
        <v>624</v>
      </c>
      <c r="C129" s="23" t="str">
        <f>IFERROR(INDEX(Product!$B:$B,MATCH(B129,Product!$A:$A,0)),"NOT FOUND")</f>
        <v>[Merisocks] Vớ nén bắp chân chống suy giãn tĩnh mạch</v>
      </c>
      <c r="D129" s="1" t="s">
        <v>2062</v>
      </c>
      <c r="E129" s="23" t="str">
        <f t="shared" si="1"/>
        <v>INSERT INTO public.medical_supply_product_variant (additional_desc, code, product_code) VALUES ('Vòng 1: cổ chân, ngay trên mắt cá chân: 19-24cm
Vòng 2: bắp chân ở vị trí lớn nhất: 31-40cm', 'PRODUCT-00063-010', 'PRODUCT-00063');</v>
      </c>
    </row>
    <row r="130" spans="1:5" ht="30" x14ac:dyDescent="0.25">
      <c r="A130" s="23" t="str">
        <f>B130&amp;"-"&amp;TEXT(COUNTIF(B$2:B130,B130),"000")</f>
        <v>PRODUCT-00063-011</v>
      </c>
      <c r="B130" s="23" t="s">
        <v>624</v>
      </c>
      <c r="C130" s="23" t="str">
        <f>IFERROR(INDEX(Product!$B:$B,MATCH(B130,Product!$A:$A,0)),"NOT FOUND")</f>
        <v>[Merisocks] Vớ nén bắp chân chống suy giãn tĩnh mạch</v>
      </c>
      <c r="D130" s="1" t="s">
        <v>2063</v>
      </c>
      <c r="E130" s="23" t="str">
        <f t="shared" si="1"/>
        <v>INSERT INTO public.medical_supply_product_variant (additional_desc, code, product_code) VALUES ('Vòng 1: cổ chân, ngay trên mắt cá chân: 21-26cm
Vòng 2: bắp chân ở vị trí lớn nhất: 33-43cm', 'PRODUCT-00063-011', 'PRODUCT-00063');</v>
      </c>
    </row>
    <row r="131" spans="1:5" ht="30" x14ac:dyDescent="0.25">
      <c r="A131" s="23" t="str">
        <f>B131&amp;"-"&amp;TEXT(COUNTIF(B$2:B131,B131),"000")</f>
        <v>PRODUCT-00063-012</v>
      </c>
      <c r="B131" s="23" t="s">
        <v>624</v>
      </c>
      <c r="C131" s="23" t="str">
        <f>IFERROR(INDEX(Product!$B:$B,MATCH(B131,Product!$A:$A,0)),"NOT FOUND")</f>
        <v>[Merisocks] Vớ nén bắp chân chống suy giãn tĩnh mạch</v>
      </c>
      <c r="D131" s="1" t="s">
        <v>2064</v>
      </c>
      <c r="E131" s="23" t="str">
        <f t="shared" ref="E131:E194" si="2">"INSERT INTO public.medical_supply_product_variant (additional_desc, code, product_code) VALUES ("&amp;IF(D131="","NULL","'"&amp;SUBSTITUTE(D131,"'","''")&amp;"'")&amp;", '"&amp;A131&amp;"', '"&amp;B131&amp;"');"</f>
        <v>INSERT INTO public.medical_supply_product_variant (additional_desc, code, product_code) VALUES ('Vòng 1: cổ chân, ngay trên mắt cá chân: 24-29cm
Vòng 2: bắp chân ở vị trí lớn nhất: 36-45cm', 'PRODUCT-00063-012', 'PRODUCT-00063');</v>
      </c>
    </row>
    <row r="132" spans="1:5" x14ac:dyDescent="0.25">
      <c r="A132" s="23" t="str">
        <f>B132&amp;"-"&amp;TEXT(COUNTIF(B$2:B132,B132),"000")</f>
        <v>PRODUCT-00064-001</v>
      </c>
      <c r="B132" s="23" t="s">
        <v>625</v>
      </c>
      <c r="C132" s="23" t="str">
        <f>IFERROR(INDEX(Product!$B:$B,MATCH(B132,Product!$A:$A,0)),"NOT FOUND")</f>
        <v>[Omron] Máy massage xung điện trị liệu - HV-F013</v>
      </c>
      <c r="D132" s="23"/>
      <c r="E132" s="23" t="str">
        <f t="shared" si="2"/>
        <v>INSERT INTO public.medical_supply_product_variant (additional_desc, code, product_code) VALUES (NULL, 'PRODUCT-00064-001', 'PRODUCT-00064');</v>
      </c>
    </row>
    <row r="133" spans="1:5" x14ac:dyDescent="0.25">
      <c r="A133" s="23" t="str">
        <f>B133&amp;"-"&amp;TEXT(COUNTIF(B$2:B133,B133),"000")</f>
        <v>PRODUCT-00065-001</v>
      </c>
      <c r="B133" s="23" t="s">
        <v>626</v>
      </c>
      <c r="C133" s="23" t="str">
        <f>IFERROR(INDEX(Product!$B:$B,MATCH(B133,Product!$A:$A,0)),"NOT FOUND")</f>
        <v>[Omron] Máy massage xung điện trị liệu - HV-F127</v>
      </c>
      <c r="D133" s="23"/>
      <c r="E133" s="23" t="str">
        <f t="shared" si="2"/>
        <v>INSERT INTO public.medical_supply_product_variant (additional_desc, code, product_code) VALUES (NULL, 'PRODUCT-00065-001', 'PRODUCT-00065');</v>
      </c>
    </row>
    <row r="134" spans="1:5" x14ac:dyDescent="0.25">
      <c r="A134" s="23" t="str">
        <f>B134&amp;"-"&amp;TEXT(COUNTIF(B$2:B134,B134),"000")</f>
        <v>PRODUCT-00066-001</v>
      </c>
      <c r="B134" s="23" t="s">
        <v>627</v>
      </c>
      <c r="C134" s="23" t="str">
        <f>IFERROR(INDEX(Product!$B:$B,MATCH(B134,Product!$A:$A,0)),"NOT FOUND")</f>
        <v>[Omron] Máy massage xung điện trị liệu - HV-F128</v>
      </c>
      <c r="D134" s="23"/>
      <c r="E134" s="23" t="str">
        <f t="shared" si="2"/>
        <v>INSERT INTO public.medical_supply_product_variant (additional_desc, code, product_code) VALUES (NULL, 'PRODUCT-00066-001', 'PRODUCT-00066');</v>
      </c>
    </row>
    <row r="135" spans="1:5" x14ac:dyDescent="0.25">
      <c r="A135" s="23" t="str">
        <f>B135&amp;"-"&amp;TEXT(COUNTIF(B$2:B135,B135),"000")</f>
        <v>PRODUCT-00067-001</v>
      </c>
      <c r="B135" s="23" t="s">
        <v>628</v>
      </c>
      <c r="C135" s="23" t="str">
        <f>IFERROR(INDEX(Product!$B:$B,MATCH(B135,Product!$A:$A,0)),"NOT FOUND")</f>
        <v>[Omron] Miếng dán điện cực máy massage xung điện - Long Life Pad HV-LLPAD-C1</v>
      </c>
      <c r="D135" s="23"/>
      <c r="E135" s="23" t="str">
        <f t="shared" si="2"/>
        <v>INSERT INTO public.medical_supply_product_variant (additional_desc, code, product_code) VALUES (NULL, 'PRODUCT-00067-001', 'PRODUCT-00067');</v>
      </c>
    </row>
    <row r="136" spans="1:5" x14ac:dyDescent="0.25">
      <c r="A136" s="23" t="str">
        <f>B136&amp;"-"&amp;TEXT(COUNTIF(B$2:B136,B136),"000")</f>
        <v>PRODUCT-00068-001</v>
      </c>
      <c r="B136" s="23" t="s">
        <v>629</v>
      </c>
      <c r="C136" s="23" t="str">
        <f>IFERROR(INDEX(Product!$B:$B,MATCH(B136,Product!$A:$A,0)),"NOT FOUND")</f>
        <v>[Orbe] Đai chống gù lưng</v>
      </c>
      <c r="D136" s="23" t="s">
        <v>2065</v>
      </c>
      <c r="E136" s="23" t="str">
        <f t="shared" si="2"/>
        <v>INSERT INTO public.medical_supply_product_variant (additional_desc, code, product_code) VALUES ('Số đo vòng chân ngực: &lt;50 cm', 'PRODUCT-00068-001', 'PRODUCT-00068');</v>
      </c>
    </row>
    <row r="137" spans="1:5" x14ac:dyDescent="0.25">
      <c r="A137" s="23" t="str">
        <f>B137&amp;"-"&amp;TEXT(COUNTIF(B$2:B137,B137),"000")</f>
        <v>PRODUCT-00068-002</v>
      </c>
      <c r="B137" s="23" t="s">
        <v>629</v>
      </c>
      <c r="C137" s="23" t="str">
        <f>IFERROR(INDEX(Product!$B:$B,MATCH(B137,Product!$A:$A,0)),"NOT FOUND")</f>
        <v>[Orbe] Đai chống gù lưng</v>
      </c>
      <c r="D137" s="23" t="s">
        <v>2066</v>
      </c>
      <c r="E137" s="23" t="str">
        <f t="shared" si="2"/>
        <v>INSERT INTO public.medical_supply_product_variant (additional_desc, code, product_code) VALUES ('Số đo vòng chân ngực: 50 - 65 cm', 'PRODUCT-00068-002', 'PRODUCT-00068');</v>
      </c>
    </row>
    <row r="138" spans="1:5" x14ac:dyDescent="0.25">
      <c r="A138" s="23" t="str">
        <f>B138&amp;"-"&amp;TEXT(COUNTIF(B$2:B138,B138),"000")</f>
        <v>PRODUCT-00068-003</v>
      </c>
      <c r="B138" s="23" t="s">
        <v>629</v>
      </c>
      <c r="C138" s="23" t="str">
        <f>IFERROR(INDEX(Product!$B:$B,MATCH(B138,Product!$A:$A,0)),"NOT FOUND")</f>
        <v>[Orbe] Đai chống gù lưng</v>
      </c>
      <c r="D138" s="23" t="s">
        <v>2067</v>
      </c>
      <c r="E138" s="23" t="str">
        <f t="shared" si="2"/>
        <v>INSERT INTO public.medical_supply_product_variant (additional_desc, code, product_code) VALUES ('Số đo vòng chân ngực: 65 - 80 cm', 'PRODUCT-00068-003', 'PRODUCT-00068');</v>
      </c>
    </row>
    <row r="139" spans="1:5" x14ac:dyDescent="0.25">
      <c r="A139" s="23" t="str">
        <f>B139&amp;"-"&amp;TEXT(COUNTIF(B$2:B139,B139),"000")</f>
        <v>PRODUCT-00068-004</v>
      </c>
      <c r="B139" s="23" t="s">
        <v>629</v>
      </c>
      <c r="C139" s="23" t="str">
        <f>IFERROR(INDEX(Product!$B:$B,MATCH(B139,Product!$A:$A,0)),"NOT FOUND")</f>
        <v>[Orbe] Đai chống gù lưng</v>
      </c>
      <c r="D139" s="23" t="s">
        <v>2068</v>
      </c>
      <c r="E139" s="23" t="str">
        <f t="shared" si="2"/>
        <v>INSERT INTO public.medical_supply_product_variant (additional_desc, code, product_code) VALUES ('Số đo vòng chân ngực: 80 - 95 cm', 'PRODUCT-00068-004', 'PRODUCT-00068');</v>
      </c>
    </row>
    <row r="140" spans="1:5" x14ac:dyDescent="0.25">
      <c r="A140" s="23" t="str">
        <f>B140&amp;"-"&amp;TEXT(COUNTIF(B$2:B140,B140),"000")</f>
        <v>PRODUCT-00068-005</v>
      </c>
      <c r="B140" s="23" t="s">
        <v>629</v>
      </c>
      <c r="C140" s="23" t="str">
        <f>IFERROR(INDEX(Product!$B:$B,MATCH(B140,Product!$A:$A,0)),"NOT FOUND")</f>
        <v>[Orbe] Đai chống gù lưng</v>
      </c>
      <c r="D140" s="23" t="s">
        <v>2069</v>
      </c>
      <c r="E140" s="23" t="str">
        <f t="shared" si="2"/>
        <v>INSERT INTO public.medical_supply_product_variant (additional_desc, code, product_code) VALUES ('Số đo vòng chân ngực: &gt;95 cm', 'PRODUCT-00068-005', 'PRODUCT-00068');</v>
      </c>
    </row>
    <row r="141" spans="1:5" ht="30" x14ac:dyDescent="0.25">
      <c r="A141" s="23" t="str">
        <f>B141&amp;"-"&amp;TEXT(COUNTIF(B$2:B141,B141),"000")</f>
        <v>PRODUCT-00069-001</v>
      </c>
      <c r="B141" s="23" t="s">
        <v>630</v>
      </c>
      <c r="C141" s="23" t="str">
        <f>IFERROR(INDEX(Product!$B:$B,MATCH(B141,Product!$A:$A,0)),"NOT FOUND")</f>
        <v>[Orbe] Đai thắt lưng cột sống cao cấp - Olumba</v>
      </c>
      <c r="D141" s="1" t="s">
        <v>2109</v>
      </c>
      <c r="E141" s="23" t="str">
        <f t="shared" si="2"/>
        <v>INSERT INTO public.medical_supply_product_variant (additional_desc, code, product_code) VALUES ('Số đo vòng bụng: 50 - 65 cm
Chiều cao đai: 22 cm', 'PRODUCT-00069-001', 'PRODUCT-00069');</v>
      </c>
    </row>
    <row r="142" spans="1:5" ht="30" x14ac:dyDescent="0.25">
      <c r="A142" s="23" t="str">
        <f>B142&amp;"-"&amp;TEXT(COUNTIF(B$2:B142,B142),"000")</f>
        <v>PRODUCT-00069-002</v>
      </c>
      <c r="B142" s="23" t="s">
        <v>630</v>
      </c>
      <c r="C142" s="23" t="str">
        <f>IFERROR(INDEX(Product!$B:$B,MATCH(B142,Product!$A:$A,0)),"NOT FOUND")</f>
        <v>[Orbe] Đai thắt lưng cột sống cao cấp - Olumba</v>
      </c>
      <c r="D142" s="1" t="s">
        <v>2110</v>
      </c>
      <c r="E142" s="23" t="str">
        <f t="shared" si="2"/>
        <v>INSERT INTO public.medical_supply_product_variant (additional_desc, code, product_code) VALUES ('Số đo vòng bụng: 65 - 80 cm
Chiều cao đai: 22 cm', 'PRODUCT-00069-002', 'PRODUCT-00069');</v>
      </c>
    </row>
    <row r="143" spans="1:5" ht="30" x14ac:dyDescent="0.25">
      <c r="A143" s="23" t="str">
        <f>B143&amp;"-"&amp;TEXT(COUNTIF(B$2:B143,B143),"000")</f>
        <v>PRODUCT-00069-003</v>
      </c>
      <c r="B143" s="23" t="s">
        <v>630</v>
      </c>
      <c r="C143" s="23" t="str">
        <f>IFERROR(INDEX(Product!$B:$B,MATCH(B143,Product!$A:$A,0)),"NOT FOUND")</f>
        <v>[Orbe] Đai thắt lưng cột sống cao cấp - Olumba</v>
      </c>
      <c r="D143" s="1" t="s">
        <v>2111</v>
      </c>
      <c r="E143" s="23" t="str">
        <f t="shared" si="2"/>
        <v>INSERT INTO public.medical_supply_product_variant (additional_desc, code, product_code) VALUES ('Số đo vòng bụng: 80 - 95 cm
Chiều cao đai: 22 cm', 'PRODUCT-00069-003', 'PRODUCT-00069');</v>
      </c>
    </row>
    <row r="144" spans="1:5" ht="30" x14ac:dyDescent="0.25">
      <c r="A144" s="23" t="str">
        <f>B144&amp;"-"&amp;TEXT(COUNTIF(B$2:B144,B144),"000")</f>
        <v>PRODUCT-00069-004</v>
      </c>
      <c r="B144" s="23" t="s">
        <v>630</v>
      </c>
      <c r="C144" s="23" t="str">
        <f>IFERROR(INDEX(Product!$B:$B,MATCH(B144,Product!$A:$A,0)),"NOT FOUND")</f>
        <v>[Orbe] Đai thắt lưng cột sống cao cấp - Olumba</v>
      </c>
      <c r="D144" s="1" t="s">
        <v>2112</v>
      </c>
      <c r="E144" s="23" t="str">
        <f t="shared" si="2"/>
        <v>INSERT INTO public.medical_supply_product_variant (additional_desc, code, product_code) VALUES ('Số đo vòng bụng: 95 - 110 cm
Chiều cao đai: 22 cm', 'PRODUCT-00069-004', 'PRODUCT-00069');</v>
      </c>
    </row>
    <row r="145" spans="1:5" ht="30" x14ac:dyDescent="0.25">
      <c r="A145" s="23" t="str">
        <f>B145&amp;"-"&amp;TEXT(COUNTIF(B$2:B145,B145),"000")</f>
        <v>PRODUCT-00069-005</v>
      </c>
      <c r="B145" s="23" t="s">
        <v>630</v>
      </c>
      <c r="C145" s="23" t="str">
        <f>IFERROR(INDEX(Product!$B:$B,MATCH(B145,Product!$A:$A,0)),"NOT FOUND")</f>
        <v>[Orbe] Đai thắt lưng cột sống cao cấp - Olumba</v>
      </c>
      <c r="D145" s="1" t="s">
        <v>2113</v>
      </c>
      <c r="E145" s="23" t="str">
        <f t="shared" si="2"/>
        <v>INSERT INTO public.medical_supply_product_variant (additional_desc, code, product_code) VALUES ('Số đo vòng bụng: 110 - 125 cm
Chiều cao đai: 22 cm', 'PRODUCT-00069-005', 'PRODUCT-00069');</v>
      </c>
    </row>
    <row r="146" spans="1:5" ht="30" x14ac:dyDescent="0.25">
      <c r="A146" s="23" t="str">
        <f>B146&amp;"-"&amp;TEXT(COUNTIF(B$2:B146,B146),"000")</f>
        <v>PRODUCT-00070-001</v>
      </c>
      <c r="B146" s="23" t="s">
        <v>631</v>
      </c>
      <c r="C146" s="23" t="str">
        <f>IFERROR(INDEX(Product!$B:$B,MATCH(B146,Product!$A:$A,0)),"NOT FOUND")</f>
        <v>[Timelock] Găng tay robot phục hồi chức năng bàn tay (Bên trái)</v>
      </c>
      <c r="D146" s="1" t="s">
        <v>2070</v>
      </c>
      <c r="E146" s="23" t="str">
        <f t="shared" si="2"/>
        <v>INSERT INTO public.medical_supply_product_variant (additional_desc, code, product_code) VALUES ('Chiều dài: 16.6-17.5 cm
Chiều rộng: 9-9.5 cm', 'PRODUCT-00070-001', 'PRODUCT-00070');</v>
      </c>
    </row>
    <row r="147" spans="1:5" ht="30" x14ac:dyDescent="0.25">
      <c r="A147" s="23" t="str">
        <f>B147&amp;"-"&amp;TEXT(COUNTIF(B$2:B147,B147),"000")</f>
        <v>PRODUCT-00297-001</v>
      </c>
      <c r="B147" s="23" t="s">
        <v>1626</v>
      </c>
      <c r="C147" s="23" t="str">
        <f>IFERROR(INDEX(Product!$B:$B,MATCH(B147,Product!$A:$A,0)),"NOT FOUND")</f>
        <v>[Timelock] Găng tay robot phục hồi chức năng bàn tay (Bên phải)</v>
      </c>
      <c r="D147" s="1" t="s">
        <v>2070</v>
      </c>
      <c r="E147" s="23" t="str">
        <f t="shared" si="2"/>
        <v>INSERT INTO public.medical_supply_product_variant (additional_desc, code, product_code) VALUES ('Chiều dài: 16.6-17.5 cm
Chiều rộng: 9-9.5 cm', 'PRODUCT-00297-001', 'PRODUCT-00297');</v>
      </c>
    </row>
    <row r="148" spans="1:5" ht="30" x14ac:dyDescent="0.25">
      <c r="A148" s="23" t="str">
        <f>B148&amp;"-"&amp;TEXT(COUNTIF(B$2:B148,B148),"000")</f>
        <v>PRODUCT-00070-002</v>
      </c>
      <c r="B148" s="23" t="s">
        <v>631</v>
      </c>
      <c r="C148" s="23" t="str">
        <f>IFERROR(INDEX(Product!$B:$B,MATCH(B148,Product!$A:$A,0)),"NOT FOUND")</f>
        <v>[Timelock] Găng tay robot phục hồi chức năng bàn tay (Bên trái)</v>
      </c>
      <c r="D148" s="1" t="s">
        <v>2071</v>
      </c>
      <c r="E148" s="23" t="str">
        <f t="shared" si="2"/>
        <v>INSERT INTO public.medical_supply_product_variant (additional_desc, code, product_code) VALUES ('Chiều dài: 17.6-18.5 cm
Chiều rộng: 10-10.5 cm', 'PRODUCT-00070-002', 'PRODUCT-00070');</v>
      </c>
    </row>
    <row r="149" spans="1:5" ht="30" x14ac:dyDescent="0.25">
      <c r="A149" s="23" t="str">
        <f>B149&amp;"-"&amp;TEXT(COUNTIF(B$2:B149,B149),"000")</f>
        <v>PRODUCT-00297-002</v>
      </c>
      <c r="B149" s="23" t="s">
        <v>1626</v>
      </c>
      <c r="C149" s="23" t="str">
        <f>IFERROR(INDEX(Product!$B:$B,MATCH(B149,Product!$A:$A,0)),"NOT FOUND")</f>
        <v>[Timelock] Găng tay robot phục hồi chức năng bàn tay (Bên phải)</v>
      </c>
      <c r="D149" s="1" t="s">
        <v>2071</v>
      </c>
      <c r="E149" s="23" t="str">
        <f t="shared" si="2"/>
        <v>INSERT INTO public.medical_supply_product_variant (additional_desc, code, product_code) VALUES ('Chiều dài: 17.6-18.5 cm
Chiều rộng: 10-10.5 cm', 'PRODUCT-00297-002', 'PRODUCT-00297');</v>
      </c>
    </row>
    <row r="150" spans="1:5" ht="60" x14ac:dyDescent="0.25">
      <c r="A150" s="23" t="str">
        <f>B150&amp;"-"&amp;TEXT(COUNTIF(B$2:B150,B150),"000")</f>
        <v>PRODUCT-00071-001</v>
      </c>
      <c r="B150" s="23" t="s">
        <v>632</v>
      </c>
      <c r="C150" s="23" t="str">
        <f>IFERROR(INDEX(Product!$B:$B,MATCH(B150,Product!$A:$A,0)),"NOT FOUND")</f>
        <v>[Venosan] Vớ y khoa hỗ trợ điều trị suy giãn tĩnh mạch - Venosan 6000</v>
      </c>
      <c r="D150" s="1" t="s">
        <v>2072</v>
      </c>
      <c r="E150" s="23" t="str">
        <f t="shared" si="2"/>
        <v>INSERT INTO public.medical_supply_product_variant (additional_desc, code, product_code) VALUES ('Vòng 1: cổ chân, ngay trên xương mắt cá chân 1cm: 16-18 cm
Vòng 2: bắp chân, tại nơi lớn nhất: 27-37 cm
Vòng 3: chỗ nhỏ nhất dưới gối: 26-36 cm
Vòng 4: đùi, dưới bẹn 5-8cm: 44-59 cm', 'PRODUCT-00071-001', 'PRODUCT-00071');</v>
      </c>
    </row>
    <row r="151" spans="1:5" ht="60" x14ac:dyDescent="0.25">
      <c r="A151" s="23" t="str">
        <f>B151&amp;"-"&amp;TEXT(COUNTIF(B$2:B151,B151),"000")</f>
        <v>PRODUCT-00071-002</v>
      </c>
      <c r="B151" s="23" t="s">
        <v>632</v>
      </c>
      <c r="C151" s="23" t="str">
        <f>IFERROR(INDEX(Product!$B:$B,MATCH(B151,Product!$A:$A,0)),"NOT FOUND")</f>
        <v>[Venosan] Vớ y khoa hỗ trợ điều trị suy giãn tĩnh mạch - Venosan 6000</v>
      </c>
      <c r="D151" s="1" t="s">
        <v>2073</v>
      </c>
      <c r="E151" s="23" t="str">
        <f t="shared" si="2"/>
        <v>INSERT INTO public.medical_supply_product_variant (additional_desc, code, product_code) VALUES ('Vòng 1: cổ chân, ngay trên xương mắt cá chân 1cm: 18-22 cm
Vòng 2: bắp chân, tại nơi lớn nhất: 30-39 cm
Vòng 3: chỗ nhỏ nhất dưới gối: 29-38 cm
Vòng 4: đùi, dưới bẹn 5-8cm: 49-63 cm', 'PRODUCT-00071-002', 'PRODUCT-00071');</v>
      </c>
    </row>
    <row r="152" spans="1:5" ht="60" x14ac:dyDescent="0.25">
      <c r="A152" s="23" t="str">
        <f>B152&amp;"-"&amp;TEXT(COUNTIF(B$2:B152,B152),"000")</f>
        <v>PRODUCT-00071-003</v>
      </c>
      <c r="B152" s="23" t="s">
        <v>632</v>
      </c>
      <c r="C152" s="23" t="str">
        <f>IFERROR(INDEX(Product!$B:$B,MATCH(B152,Product!$A:$A,0)),"NOT FOUND")</f>
        <v>[Venosan] Vớ y khoa hỗ trợ điều trị suy giãn tĩnh mạch - Venosan 6000</v>
      </c>
      <c r="D152" s="1" t="s">
        <v>2074</v>
      </c>
      <c r="E152" s="23" t="str">
        <f t="shared" si="2"/>
        <v>INSERT INTO public.medical_supply_product_variant (additional_desc, code, product_code) VALUES ('Vòng 1: cổ chân, ngay trên xương mắt cá chân 1cm: 23-25 cm
Vòng 2: bắp chân, tại nơi lớn nhất: 33-41 cm
Vòng 3: chỗ nhỏ nhất dưới gối: 32-40 cm
Vòng 4: đùi, dưới bẹn 5-8cm: 54-66 cm', 'PRODUCT-00071-003', 'PRODUCT-00071');</v>
      </c>
    </row>
    <row r="153" spans="1:5" ht="60" x14ac:dyDescent="0.25">
      <c r="A153" s="23" t="str">
        <f>B153&amp;"-"&amp;TEXT(COUNTIF(B$2:B153,B153),"000")</f>
        <v>PRODUCT-00071-004</v>
      </c>
      <c r="B153" s="23" t="s">
        <v>632</v>
      </c>
      <c r="C153" s="23" t="str">
        <f>IFERROR(INDEX(Product!$B:$B,MATCH(B153,Product!$A:$A,0)),"NOT FOUND")</f>
        <v>[Venosan] Vớ y khoa hỗ trợ điều trị suy giãn tĩnh mạch - Venosan 6000</v>
      </c>
      <c r="D153" s="1" t="s">
        <v>2075</v>
      </c>
      <c r="E153" s="23" t="str">
        <f t="shared" si="2"/>
        <v>INSERT INTO public.medical_supply_product_variant (additional_desc, code, product_code) VALUES ('Vòng 1: cổ chân, ngay trên xương mắt cá chân 1cm: 26-28 cm
Vòng 2: bắp chân, tại nơi lớn nhất: 36-44 cm
Vòng 3: chỗ nhỏ nhất dưới gối: 35-43 cm
Vòng 4: đùi, dưới bẹn 5-8cm: 58-70 cm', 'PRODUCT-00071-004', 'PRODUCT-00071');</v>
      </c>
    </row>
    <row r="154" spans="1:5" ht="60" x14ac:dyDescent="0.25">
      <c r="A154" s="23" t="str">
        <f>B154&amp;"-"&amp;TEXT(COUNTIF(B$2:B154,B154),"000")</f>
        <v>PRODUCT-00071-005</v>
      </c>
      <c r="B154" s="23" t="s">
        <v>632</v>
      </c>
      <c r="C154" s="23" t="str">
        <f>IFERROR(INDEX(Product!$B:$B,MATCH(B154,Product!$A:$A,0)),"NOT FOUND")</f>
        <v>[Venosan] Vớ y khoa hỗ trợ điều trị suy giãn tĩnh mạch - Venosan 6000</v>
      </c>
      <c r="D154" s="1" t="s">
        <v>2076</v>
      </c>
      <c r="E154" s="23" t="str">
        <f t="shared" si="2"/>
        <v>INSERT INTO public.medical_supply_product_variant (additional_desc, code, product_code) VALUES ('Vòng 1: cổ chân, ngay trên xương mắt cá chân 1cm: 29-31 cm
Vòng 2: bắp chân, tại nơi lớn nhất: 39-47 cm
Vòng 3: chỗ nhỏ nhất dưới gối: 38-46 cm
Vòng 4: đùi, dưới bẹn 5-8cm: 63-74 cm', 'PRODUCT-00071-005', 'PRODUCT-00071');</v>
      </c>
    </row>
    <row r="155" spans="1:5" x14ac:dyDescent="0.25">
      <c r="A155" s="23" t="str">
        <f>B155&amp;"-"&amp;TEXT(COUNTIF(B$2:B155,B155),"000")</f>
        <v>PRODUCT-00298-001</v>
      </c>
      <c r="B155" s="23" t="s">
        <v>1628</v>
      </c>
      <c r="C155" s="23" t="str">
        <f>IFERROR(INDEX(Product!$B:$B,MATCH(B155,Product!$A:$A,0)),"NOT FOUND")</f>
        <v>[Venosan] Vớ y khoa hỗ trợ điều trị suy giãn tĩnh mạch - Venosan 6000 (Vớ gối)</v>
      </c>
      <c r="D155" s="23"/>
      <c r="E155" s="23" t="str">
        <f t="shared" si="2"/>
        <v>INSERT INTO public.medical_supply_product_variant (additional_desc, code, product_code) VALUES (NULL, 'PRODUCT-00298-001', 'PRODUCT-00298');</v>
      </c>
    </row>
    <row r="156" spans="1:5" x14ac:dyDescent="0.25">
      <c r="A156" s="23" t="str">
        <f>B156&amp;"-"&amp;TEXT(COUNTIF(B$2:B156,B156),"000")</f>
        <v>PRODUCT-00299-001</v>
      </c>
      <c r="B156" s="23" t="s">
        <v>1630</v>
      </c>
      <c r="C156" s="23" t="str">
        <f>IFERROR(INDEX(Product!$B:$B,MATCH(B156,Product!$A:$A,0)),"NOT FOUND")</f>
        <v>[Venosan] Vớ y khoa hỗ trợ điều trị suy giãn tĩnh mạch - Venosan 6000 (Vớ đùi)</v>
      </c>
      <c r="D156" s="23"/>
      <c r="E156" s="23" t="str">
        <f t="shared" si="2"/>
        <v>INSERT INTO public.medical_supply_product_variant (additional_desc, code, product_code) VALUES (NULL, 'PRODUCT-00299-001', 'PRODUCT-00299');</v>
      </c>
    </row>
    <row r="157" spans="1:5" x14ac:dyDescent="0.25">
      <c r="A157" s="23" t="str">
        <f>B157&amp;"-"&amp;TEXT(COUNTIF(B$2:B157,B157),"000")</f>
        <v>PRODUCT-00072-001</v>
      </c>
      <c r="B157" s="23" t="s">
        <v>633</v>
      </c>
      <c r="C157" s="23" t="str">
        <f>IFERROR(INDEX(Product!$B:$B,MATCH(B157,Product!$A:$A,0)),"NOT FOUND")</f>
        <v>[ConvaTec] Bột hút ẩm chống loét hậu môn nhân tạo (28.3g)</v>
      </c>
      <c r="D157" s="23"/>
      <c r="E157" s="23" t="str">
        <f t="shared" si="2"/>
        <v>INSERT INTO public.medical_supply_product_variant (additional_desc, code, product_code) VALUES (NULL, 'PRODUCT-00072-001', 'PRODUCT-00072');</v>
      </c>
    </row>
    <row r="158" spans="1:5" x14ac:dyDescent="0.25">
      <c r="A158" s="23" t="str">
        <f>B158&amp;"-"&amp;TEXT(COUNTIF(B$2:B158,B158),"000")</f>
        <v>PRODUCT-00073-001</v>
      </c>
      <c r="B158" s="23" t="s">
        <v>634</v>
      </c>
      <c r="C158" s="23" t="str">
        <f>IFERROR(INDEX(Product!$B:$B,MATCH(B158,Product!$A:$A,0)),"NOT FOUND")</f>
        <v>[ConvaTec] Keo làm đầy chống rò rỉ hậu môn nhân tạo (56.7g)</v>
      </c>
      <c r="D158" s="23"/>
      <c r="E158" s="23" t="str">
        <f t="shared" si="2"/>
        <v>INSERT INTO public.medical_supply_product_variant (additional_desc, code, product_code) VALUES (NULL, 'PRODUCT-00073-001', 'PRODUCT-00073');</v>
      </c>
    </row>
    <row r="159" spans="1:5" x14ac:dyDescent="0.25">
      <c r="A159" s="23" t="str">
        <f>B159&amp;"-"&amp;TEXT(COUNTIF(B$2:B159,B159),"000")</f>
        <v>PRODUCT-00074-001</v>
      </c>
      <c r="B159" s="23" t="s">
        <v>635</v>
      </c>
      <c r="C159" s="23" t="str">
        <f>IFERROR(INDEX(Product!$B:$B,MATCH(B159,Product!$A:$A,0)),"NOT FOUND")</f>
        <v>[ConvaTec] Túi hậu môn nhân tạo 1 mảnh loại đục</v>
      </c>
      <c r="D159" s="23"/>
      <c r="E159" s="23" t="str">
        <f t="shared" si="2"/>
        <v>INSERT INTO public.medical_supply_product_variant (additional_desc, code, product_code) VALUES (NULL, 'PRODUCT-00074-001', 'PRODUCT-00074');</v>
      </c>
    </row>
    <row r="160" spans="1:5" x14ac:dyDescent="0.25">
      <c r="A160" s="23" t="str">
        <f>B160&amp;"-"&amp;TEXT(COUNTIF(B$2:B160,B160),"000")</f>
        <v>PRODUCT-00075-001</v>
      </c>
      <c r="B160" s="23" t="s">
        <v>636</v>
      </c>
      <c r="C160" s="23" t="str">
        <f>IFERROR(INDEX(Product!$B:$B,MATCH(B160,Product!$A:$A,0)),"NOT FOUND")</f>
        <v>[ConvaTec] Túi hậu môn nhân tạo 1 mảnh trong suốt</v>
      </c>
      <c r="D160" s="23"/>
      <c r="E160" s="23" t="str">
        <f t="shared" si="2"/>
        <v>INSERT INTO public.medical_supply_product_variant (additional_desc, code, product_code) VALUES (NULL, 'PRODUCT-00075-001', 'PRODUCT-00075');</v>
      </c>
    </row>
    <row r="161" spans="1:5" x14ac:dyDescent="0.25">
      <c r="A161" s="23" t="str">
        <f>B161&amp;"-"&amp;TEXT(COUNTIF(B$2:B161,B161),"000")</f>
        <v>PRODUCT-00076-001</v>
      </c>
      <c r="B161" s="23" t="s">
        <v>637</v>
      </c>
      <c r="C161" s="23" t="str">
        <f>IFERROR(INDEX(Product!$B:$B,MATCH(B161,Product!$A:$A,0)),"NOT FOUND")</f>
        <v>[ConvaTec] Túi hậu môn nhân tạo 1 mảnh trong suốt - ActiveLife 22771</v>
      </c>
      <c r="D161" s="23"/>
      <c r="E161" s="23" t="str">
        <f t="shared" si="2"/>
        <v>INSERT INTO public.medical_supply_product_variant (additional_desc, code, product_code) VALUES (NULL, 'PRODUCT-00076-001', 'PRODUCT-00076');</v>
      </c>
    </row>
    <row r="162" spans="1:5" x14ac:dyDescent="0.25">
      <c r="A162" s="23" t="str">
        <f>B162&amp;"-"&amp;TEXT(COUNTIF(B$2:B162,B162),"000")</f>
        <v>PRODUCT-00077-001</v>
      </c>
      <c r="B162" s="23" t="s">
        <v>638</v>
      </c>
      <c r="C162" s="23" t="str">
        <f>IFERROR(INDEX(Product!$B:$B,MATCH(B162,Product!$A:$A,0)),"NOT FOUND")</f>
        <v>[Hollister] Túi hậu môn nhân tạo 1 mảnh - 8631</v>
      </c>
      <c r="D162" s="23"/>
      <c r="E162" s="23" t="str">
        <f t="shared" si="2"/>
        <v>INSERT INTO public.medical_supply_product_variant (additional_desc, code, product_code) VALUES (NULL, 'PRODUCT-00077-001', 'PRODUCT-00077');</v>
      </c>
    </row>
    <row r="163" spans="1:5" x14ac:dyDescent="0.25">
      <c r="A163" s="23" t="str">
        <f>B163&amp;"-"&amp;TEXT(COUNTIF(B$2:B163,B163),"000")</f>
        <v>PRODUCT-00078-001</v>
      </c>
      <c r="B163" s="23" t="s">
        <v>639</v>
      </c>
      <c r="C163" s="23" t="str">
        <f>IFERROR(INDEX(Product!$B:$B,MATCH(B163,Product!$A:$A,0)),"NOT FOUND")</f>
        <v>[Hollister] Túi hậu môn nhân tạo cho trẻ sơ sinh - 3778</v>
      </c>
      <c r="D163" s="23"/>
      <c r="E163" s="23" t="str">
        <f t="shared" si="2"/>
        <v>INSERT INTO public.medical_supply_product_variant (additional_desc, code, product_code) VALUES (NULL, 'PRODUCT-00078-001', 'PRODUCT-00078');</v>
      </c>
    </row>
    <row r="164" spans="1:5" x14ac:dyDescent="0.25">
      <c r="A164" s="23" t="str">
        <f>B164&amp;"-"&amp;TEXT(COUNTIF(B$2:B164,B164),"000")</f>
        <v>PRODUCT-00079-001</v>
      </c>
      <c r="B164" s="23" t="s">
        <v>640</v>
      </c>
      <c r="C164" s="23" t="str">
        <f>IFERROR(INDEX(Product!$B:$B,MATCH(B164,Product!$A:$A,0)),"NOT FOUND")</f>
        <v>[Hollister] Bột hút ẩm chống loét hậu môn nhân tạo - Adapt Stoma Powder 7906 (28.3g)</v>
      </c>
      <c r="D164" s="23"/>
      <c r="E164" s="23" t="str">
        <f t="shared" si="2"/>
        <v>INSERT INTO public.medical_supply_product_variant (additional_desc, code, product_code) VALUES (NULL, 'PRODUCT-00079-001', 'PRODUCT-00079');</v>
      </c>
    </row>
    <row r="165" spans="1:5" x14ac:dyDescent="0.25">
      <c r="A165" s="23" t="str">
        <f>B165&amp;"-"&amp;TEXT(COUNTIF(B$2:B165,B165),"000")</f>
        <v>PRODUCT-00080-001</v>
      </c>
      <c r="B165" s="23" t="s">
        <v>641</v>
      </c>
      <c r="C165" s="23" t="str">
        <f>IFERROR(INDEX(Product!$B:$B,MATCH(B165,Product!$A:$A,0)),"NOT FOUND")</f>
        <v>[Hollister] Chai xịt tẩy chất keo - 7737</v>
      </c>
      <c r="D165" s="23"/>
      <c r="E165" s="23" t="str">
        <f t="shared" si="2"/>
        <v>INSERT INTO public.medical_supply_product_variant (additional_desc, code, product_code) VALUES (NULL, 'PRODUCT-00080-001', 'PRODUCT-00080');</v>
      </c>
    </row>
    <row r="166" spans="1:5" x14ac:dyDescent="0.25">
      <c r="A166" s="23" t="str">
        <f>B166&amp;"-"&amp;TEXT(COUNTIF(B$2:B166,B166),"000")</f>
        <v>PRODUCT-00081-001</v>
      </c>
      <c r="B166" s="23" t="s">
        <v>642</v>
      </c>
      <c r="C166" s="23" t="str">
        <f>IFERROR(INDEX(Product!$B:$B,MATCH(B166,Product!$A:$A,0)),"NOT FOUND")</f>
        <v>[Hollister] Dây nịt đeo túi hậu môn nhân tạo - 7300</v>
      </c>
      <c r="D166" s="23"/>
      <c r="E166" s="23" t="str">
        <f t="shared" si="2"/>
        <v>INSERT INTO public.medical_supply_product_variant (additional_desc, code, product_code) VALUES (NULL, 'PRODUCT-00081-001', 'PRODUCT-00081');</v>
      </c>
    </row>
    <row r="167" spans="1:5" x14ac:dyDescent="0.25">
      <c r="A167" s="23" t="str">
        <f>B167&amp;"-"&amp;TEXT(COUNTIF(B$2:B167,B167),"000")</f>
        <v>PRODUCT-00082-001</v>
      </c>
      <c r="B167" s="23" t="s">
        <v>643</v>
      </c>
      <c r="C167" s="23" t="str">
        <f>IFERROR(INDEX(Product!$B:$B,MATCH(B167,Product!$A:$A,0)),"NOT FOUND")</f>
        <v>[Hollister] Đế lồi túi hậu môn nhân tạo 2 mảnh</v>
      </c>
      <c r="D167" s="23"/>
      <c r="E167" s="23" t="str">
        <f t="shared" si="2"/>
        <v>INSERT INTO public.medical_supply_product_variant (additional_desc, code, product_code) VALUES (NULL, 'PRODUCT-00082-001', 'PRODUCT-00082');</v>
      </c>
    </row>
    <row r="168" spans="1:5" x14ac:dyDescent="0.25">
      <c r="A168" s="23" t="str">
        <f>B168&amp;"-"&amp;TEXT(COUNTIF(B$2:B168,B168),"000")</f>
        <v>PRODUCT-00083-001</v>
      </c>
      <c r="B168" s="23" t="s">
        <v>644</v>
      </c>
      <c r="C168" s="23" t="str">
        <f>IFERROR(INDEX(Product!$B:$B,MATCH(B168,Product!$A:$A,0)),"NOT FOUND")</f>
        <v>[Hollister] Đế rời túi hậu môn nhân tạo 2 mảnh</v>
      </c>
      <c r="D168" s="23"/>
      <c r="E168" s="23" t="str">
        <f t="shared" si="2"/>
        <v>INSERT INTO public.medical_supply_product_variant (additional_desc, code, product_code) VALUES (NULL, 'PRODUCT-00083-001', 'PRODUCT-00083');</v>
      </c>
    </row>
    <row r="169" spans="1:5" x14ac:dyDescent="0.25">
      <c r="A169" s="23" t="str">
        <f>B169&amp;"-"&amp;TEXT(COUNTIF(B$2:B169,B169),"000")</f>
        <v>PRODUCT-00084-001</v>
      </c>
      <c r="B169" s="23" t="s">
        <v>645</v>
      </c>
      <c r="C169" s="23" t="str">
        <f>IFERROR(INDEX(Product!$B:$B,MATCH(B169,Product!$A:$A,0)),"NOT FOUND")</f>
        <v>[Hollister] Kem chống xì hậu môn nhân tạo - Adapt Paste 79300 (60g)</v>
      </c>
      <c r="D169" s="23"/>
      <c r="E169" s="23" t="str">
        <f t="shared" si="2"/>
        <v>INSERT INTO public.medical_supply_product_variant (additional_desc, code, product_code) VALUES (NULL, 'PRODUCT-00084-001', 'PRODUCT-00084');</v>
      </c>
    </row>
    <row r="170" spans="1:5" x14ac:dyDescent="0.25">
      <c r="A170" s="23" t="str">
        <f>B170&amp;"-"&amp;TEXT(COUNTIF(B$2:B170,B170),"000")</f>
        <v>PRODUCT-00085-001</v>
      </c>
      <c r="B170" s="23" t="s">
        <v>646</v>
      </c>
      <c r="C170" s="23" t="str">
        <f>IFERROR(INDEX(Product!$B:$B,MATCH(B170,Product!$A:$A,0)),"NOT FOUND")</f>
        <v>[Hollister] Khóa kẹp túi hậu môn nhân tạo - 8770</v>
      </c>
      <c r="D170" s="23"/>
      <c r="E170" s="23" t="str">
        <f t="shared" si="2"/>
        <v>INSERT INTO public.medical_supply_product_variant (additional_desc, code, product_code) VALUES (NULL, 'PRODUCT-00085-001', 'PRODUCT-00085');</v>
      </c>
    </row>
    <row r="171" spans="1:5" x14ac:dyDescent="0.25">
      <c r="A171" s="23" t="str">
        <f>B171&amp;"-"&amp;TEXT(COUNTIF(B$2:B171,B171),"000")</f>
        <v>PRODUCT-00086-001</v>
      </c>
      <c r="B171" s="23" t="s">
        <v>647</v>
      </c>
      <c r="C171" s="23" t="str">
        <f>IFERROR(INDEX(Product!$B:$B,MATCH(B171,Product!$A:$A,0)),"NOT FOUND")</f>
        <v>[Mepro] Túi hậu môn nhân tạo 1 mảnh - Kẹp rời</v>
      </c>
      <c r="D171" s="23"/>
      <c r="E171" s="23" t="str">
        <f t="shared" si="2"/>
        <v>INSERT INTO public.medical_supply_product_variant (additional_desc, code, product_code) VALUES (NULL, 'PRODUCT-00086-001', 'PRODUCT-00086');</v>
      </c>
    </row>
    <row r="172" spans="1:5" x14ac:dyDescent="0.25">
      <c r="A172" s="23" t="str">
        <f>B172&amp;"-"&amp;TEXT(COUNTIF(B$2:B172,B172),"000")</f>
        <v>PRODUCT-00087-001</v>
      </c>
      <c r="B172" s="23" t="s">
        <v>648</v>
      </c>
      <c r="C172" s="23" t="str">
        <f>IFERROR(INDEX(Product!$B:$B,MATCH(B172,Product!$A:$A,0)),"NOT FOUND")</f>
        <v>[MiKiDo] Túi hậu môn nhân tạo 1 mảnh cho trẻ em</v>
      </c>
      <c r="D172" s="23"/>
      <c r="E172" s="23" t="str">
        <f t="shared" si="2"/>
        <v>INSERT INTO public.medical_supply_product_variant (additional_desc, code, product_code) VALUES (NULL, 'PRODUCT-00087-001', 'PRODUCT-00087');</v>
      </c>
    </row>
    <row r="173" spans="1:5" x14ac:dyDescent="0.25">
      <c r="A173" s="23" t="str">
        <f>B173&amp;"-"&amp;TEXT(COUNTIF(B$2:B173,B173),"000")</f>
        <v>PRODUCT-00088-001</v>
      </c>
      <c r="B173" s="23" t="s">
        <v>649</v>
      </c>
      <c r="C173" s="23" t="str">
        <f>IFERROR(INDEX(Product!$B:$B,MATCH(B173,Product!$A:$A,0)),"NOT FOUND")</f>
        <v>[Ostomy Care] Túi hậu môn nhân tạo 1 mảnh - Khóa dán liền</v>
      </c>
      <c r="D173" s="23"/>
      <c r="E173" s="23" t="str">
        <f t="shared" si="2"/>
        <v>INSERT INTO public.medical_supply_product_variant (additional_desc, code, product_code) VALUES (NULL, 'PRODUCT-00088-001', 'PRODUCT-00088');</v>
      </c>
    </row>
    <row r="174" spans="1:5" x14ac:dyDescent="0.25">
      <c r="A174" s="23" t="str">
        <f>B174&amp;"-"&amp;TEXT(COUNTIF(B$2:B174,B174),"000")</f>
        <v>PRODUCT-00089-001</v>
      </c>
      <c r="B174" s="23" t="s">
        <v>650</v>
      </c>
      <c r="C174" s="23" t="str">
        <f>IFERROR(INDEX(Product!$B:$B,MATCH(B174,Product!$A:$A,0)),"NOT FOUND")</f>
        <v>[Ostomy Care] Túi hậu môn nhân tạo 1 mảnh - Khóa kẹp</v>
      </c>
      <c r="D174" s="23"/>
      <c r="E174" s="23" t="str">
        <f t="shared" si="2"/>
        <v>INSERT INTO public.medical_supply_product_variant (additional_desc, code, product_code) VALUES (NULL, 'PRODUCT-00089-001', 'PRODUCT-00089');</v>
      </c>
    </row>
    <row r="175" spans="1:5" x14ac:dyDescent="0.25">
      <c r="A175" s="23" t="str">
        <f>B175&amp;"-"&amp;TEXT(COUNTIF(B$2:B175,B175),"000")</f>
        <v>PRODUCT-00090-001</v>
      </c>
      <c r="B175" s="23" t="s">
        <v>651</v>
      </c>
      <c r="C175" s="23" t="str">
        <f>IFERROR(INDEX(Product!$B:$B,MATCH(B175,Product!$A:$A,0)),"NOT FOUND")</f>
        <v>[Hollister] Túi nước tiểu nhân tạo 1 mảnh - 8460</v>
      </c>
      <c r="D175" s="23"/>
      <c r="E175" s="23" t="str">
        <f t="shared" si="2"/>
        <v>INSERT INTO public.medical_supply_product_variant (additional_desc, code, product_code) VALUES (NULL, 'PRODUCT-00090-001', 'PRODUCT-00090');</v>
      </c>
    </row>
    <row r="176" spans="1:5" x14ac:dyDescent="0.25">
      <c r="A176" s="23" t="str">
        <f>B176&amp;"-"&amp;TEXT(COUNTIF(B$2:B176,B176),"000")</f>
        <v>PRODUCT-00091-001</v>
      </c>
      <c r="B176" s="23" t="s">
        <v>652</v>
      </c>
      <c r="C176" s="23" t="str">
        <f>IFERROR(INDEX(Product!$B:$B,MATCH(B176,Product!$A:$A,0)),"NOT FOUND")</f>
        <v>[Hollister] Vòng bảo vệ da chống loét hậu môn nhân tạo (Mẫu 7805)</v>
      </c>
      <c r="D176" s="23"/>
      <c r="E176" s="23" t="str">
        <f t="shared" si="2"/>
        <v>INSERT INTO public.medical_supply_product_variant (additional_desc, code, product_code) VALUES (NULL, 'PRODUCT-00091-001', 'PRODUCT-00091');</v>
      </c>
    </row>
    <row r="177" spans="1:5" x14ac:dyDescent="0.25">
      <c r="A177" s="23" t="str">
        <f>B177&amp;"-"&amp;TEXT(COUNTIF(B$2:B177,B177),"000")</f>
        <v>PRODUCT-00300-001</v>
      </c>
      <c r="B177" s="23" t="s">
        <v>1633</v>
      </c>
      <c r="C177" s="23" t="str">
        <f>IFERROR(INDEX(Product!$B:$B,MATCH(B177,Product!$A:$A,0)),"NOT FOUND")</f>
        <v>[Hollister] Vòng bảo vệ da chống loét hậu môn nhân tạo (Mẫu 7806)</v>
      </c>
      <c r="D177" s="23"/>
      <c r="E177" s="23" t="str">
        <f t="shared" si="2"/>
        <v>INSERT INTO public.medical_supply_product_variant (additional_desc, code, product_code) VALUES (NULL, 'PRODUCT-00300-001', 'PRODUCT-00300');</v>
      </c>
    </row>
    <row r="178" spans="1:5" x14ac:dyDescent="0.25">
      <c r="A178" s="23" t="str">
        <f>B178&amp;"-"&amp;TEXT(COUNTIF(B$2:B178,B178),"000")</f>
        <v>PRODUCT-00093-001</v>
      </c>
      <c r="B178" s="23" t="s">
        <v>654</v>
      </c>
      <c r="C178" s="23" t="str">
        <f>IFERROR(INDEX(Product!$B:$B,MATCH(B178,Product!$A:$A,0)),"NOT FOUND")</f>
        <v>Túi hậu môn nhân tạo 1 mảnh loại trong</v>
      </c>
      <c r="D178" s="23"/>
      <c r="E178" s="23" t="str">
        <f t="shared" si="2"/>
        <v>INSERT INTO public.medical_supply_product_variant (additional_desc, code, product_code) VALUES (NULL, 'PRODUCT-00093-001', 'PRODUCT-00093');</v>
      </c>
    </row>
    <row r="179" spans="1:5" x14ac:dyDescent="0.25">
      <c r="A179" s="23" t="str">
        <f>B179&amp;"-"&amp;TEXT(COUNTIF(B$2:B179,B179),"000")</f>
        <v>PRODUCT-00094-001</v>
      </c>
      <c r="B179" s="23" t="s">
        <v>655</v>
      </c>
      <c r="C179" s="23" t="str">
        <f>IFERROR(INDEX(Product!$B:$B,MATCH(B179,Product!$A:$A,0)),"NOT FOUND")</f>
        <v>[Mepro] Đế rời túi hậu môn nhân tạo 2 mảnh viền vải không dệt</v>
      </c>
      <c r="D179" s="23"/>
      <c r="E179" s="23" t="str">
        <f t="shared" si="2"/>
        <v>INSERT INTO public.medical_supply_product_variant (additional_desc, code, product_code) VALUES (NULL, 'PRODUCT-00094-001', 'PRODUCT-00094');</v>
      </c>
    </row>
    <row r="180" spans="1:5" x14ac:dyDescent="0.25">
      <c r="A180" s="23" t="str">
        <f>B180&amp;"-"&amp;TEXT(COUNTIF(B$2:B180,B180),"000")</f>
        <v>PRODUCT-00095-001</v>
      </c>
      <c r="B180" s="23" t="s">
        <v>656</v>
      </c>
      <c r="C180" s="23" t="str">
        <f>IFERROR(INDEX(Product!$B:$B,MATCH(B180,Product!$A:$A,0)),"NOT FOUND")</f>
        <v>[Hollister] Bộ túi hậu môn nhân tạo 2 mảnh - Kẹp rời</v>
      </c>
      <c r="D180" s="23"/>
      <c r="E180" s="23" t="str">
        <f t="shared" si="2"/>
        <v>INSERT INTO public.medical_supply_product_variant (additional_desc, code, product_code) VALUES (NULL, 'PRODUCT-00095-001', 'PRODUCT-00095');</v>
      </c>
    </row>
    <row r="181" spans="1:5" x14ac:dyDescent="0.25">
      <c r="A181" s="23" t="str">
        <f>B181&amp;"-"&amp;TEXT(COUNTIF(B$2:B181,B181),"000")</f>
        <v>PRODUCT-00096-001</v>
      </c>
      <c r="B181" s="23" t="s">
        <v>657</v>
      </c>
      <c r="C181" s="23" t="str">
        <f>IFERROR(INDEX(Product!$B:$B,MATCH(B181,Product!$A:$A,0)),"NOT FOUND")</f>
        <v>[Hollister] Bộ túi hậu môn nhân tạo 2 mảnh - Khóa cuộn</v>
      </c>
      <c r="D181" s="23"/>
      <c r="E181" s="23" t="str">
        <f t="shared" si="2"/>
        <v>INSERT INTO public.medical_supply_product_variant (additional_desc, code, product_code) VALUES (NULL, 'PRODUCT-00096-001', 'PRODUCT-00096');</v>
      </c>
    </row>
    <row r="182" spans="1:5" x14ac:dyDescent="0.25">
      <c r="A182" s="23" t="str">
        <f>B182&amp;"-"&amp;TEXT(COUNTIF(B$2:B182,B182),"000")</f>
        <v>PRODUCT-00097-001</v>
      </c>
      <c r="B182" s="23" t="s">
        <v>658</v>
      </c>
      <c r="C182" s="23" t="str">
        <f>IFERROR(INDEX(Product!$B:$B,MATCH(B182,Product!$A:$A,0)),"NOT FOUND")</f>
        <v>[Hollister] Túi hậu môn nhân tạo 2 mảnh có bộ lọc khử mùi xả khí</v>
      </c>
      <c r="D182" s="23"/>
      <c r="E182" s="23" t="str">
        <f t="shared" si="2"/>
        <v>INSERT INTO public.medical_supply_product_variant (additional_desc, code, product_code) VALUES (NULL, 'PRODUCT-00097-001', 'PRODUCT-00097');</v>
      </c>
    </row>
    <row r="183" spans="1:5" x14ac:dyDescent="0.25">
      <c r="A183" s="23" t="str">
        <f>B183&amp;"-"&amp;TEXT(COUNTIF(B$2:B183,B183),"000")</f>
        <v>PRODUCT-00098-001</v>
      </c>
      <c r="B183" s="23" t="s">
        <v>659</v>
      </c>
      <c r="C183" s="23" t="str">
        <f>IFERROR(INDEX(Product!$B:$B,MATCH(B183,Product!$A:$A,0)),"NOT FOUND")</f>
        <v>[Hollister] Túi hậu môn nhân tạo 2 mảnh dùng kèm đế rời</v>
      </c>
      <c r="D183" s="23"/>
      <c r="E183" s="23" t="str">
        <f t="shared" si="2"/>
        <v>INSERT INTO public.medical_supply_product_variant (additional_desc, code, product_code) VALUES (NULL, 'PRODUCT-00098-001', 'PRODUCT-00098');</v>
      </c>
    </row>
    <row r="184" spans="1:5" x14ac:dyDescent="0.25">
      <c r="A184" s="23" t="str">
        <f>B184&amp;"-"&amp;TEXT(COUNTIF(B$2:B184,B184),"000")</f>
        <v>PRODUCT-00099-001</v>
      </c>
      <c r="B184" s="23" t="s">
        <v>660</v>
      </c>
      <c r="C184" s="23" t="str">
        <f>IFERROR(INDEX(Product!$B:$B,MATCH(B184,Product!$A:$A,0)),"NOT FOUND")</f>
        <v>[Mepro] Bộ túi hậu môn nhân tạo 2 mảnh - Kẹp rời</v>
      </c>
      <c r="D184" s="23"/>
      <c r="E184" s="23" t="str">
        <f t="shared" si="2"/>
        <v>INSERT INTO public.medical_supply_product_variant (additional_desc, code, product_code) VALUES (NULL, 'PRODUCT-00099-001', 'PRODUCT-00099');</v>
      </c>
    </row>
    <row r="185" spans="1:5" x14ac:dyDescent="0.25">
      <c r="A185" s="23" t="str">
        <f>B185&amp;"-"&amp;TEXT(COUNTIF(B$2:B185,B185),"000")</f>
        <v>PRODUCT-00100-001</v>
      </c>
      <c r="B185" s="23" t="s">
        <v>661</v>
      </c>
      <c r="C185" s="23" t="str">
        <f>IFERROR(INDEX(Product!$B:$B,MATCH(B185,Product!$A:$A,0)),"NOT FOUND")</f>
        <v>[Ostomy Care] Đế rời túi hậu môn nhân tạo 2 mảnh viền vải không dệt</v>
      </c>
      <c r="D185" s="23"/>
      <c r="E185" s="23" t="str">
        <f t="shared" si="2"/>
        <v>INSERT INTO public.medical_supply_product_variant (additional_desc, code, product_code) VALUES (NULL, 'PRODUCT-00100-001', 'PRODUCT-00100');</v>
      </c>
    </row>
    <row r="186" spans="1:5" x14ac:dyDescent="0.25">
      <c r="A186" s="23" t="str">
        <f>B186&amp;"-"&amp;TEXT(COUNTIF(B$2:B186,B186),"000")</f>
        <v>PRODUCT-00101-001</v>
      </c>
      <c r="B186" s="23" t="s">
        <v>662</v>
      </c>
      <c r="C186" s="23" t="str">
        <f>IFERROR(INDEX(Product!$B:$B,MATCH(B186,Product!$A:$A,0)),"NOT FOUND")</f>
        <v>[Mepro] Bộ túi hậu môn nhân tạo 2 mảnh - Khóa cuộn</v>
      </c>
      <c r="D186" s="23"/>
      <c r="E186" s="23" t="str">
        <f t="shared" si="2"/>
        <v>INSERT INTO public.medical_supply_product_variant (additional_desc, code, product_code) VALUES (NULL, 'PRODUCT-00101-001', 'PRODUCT-00101');</v>
      </c>
    </row>
    <row r="187" spans="1:5" x14ac:dyDescent="0.25">
      <c r="A187" s="23" t="str">
        <f>B187&amp;"-"&amp;TEXT(COUNTIF(B$2:B187,B187),"000")</f>
        <v>PRODUCT-00102-001</v>
      </c>
      <c r="B187" s="23" t="s">
        <v>663</v>
      </c>
      <c r="C187" s="23" t="str">
        <f>IFERROR(INDEX(Product!$B:$B,MATCH(B187,Product!$A:$A,0)),"NOT FOUND")</f>
        <v>[Mepro] Túi hậu môn nhân tạo 2 mảnh - Kẹp rời</v>
      </c>
      <c r="D187" s="23"/>
      <c r="E187" s="23" t="str">
        <f t="shared" si="2"/>
        <v>INSERT INTO public.medical_supply_product_variant (additional_desc, code, product_code) VALUES (NULL, 'PRODUCT-00102-001', 'PRODUCT-00102');</v>
      </c>
    </row>
    <row r="188" spans="1:5" x14ac:dyDescent="0.25">
      <c r="A188" s="23" t="str">
        <f>B188&amp;"-"&amp;TEXT(COUNTIF(B$2:B188,B188),"000")</f>
        <v>PRODUCT-00103-001</v>
      </c>
      <c r="B188" s="23" t="s">
        <v>664</v>
      </c>
      <c r="C188" s="23" t="str">
        <f>IFERROR(INDEX(Product!$B:$B,MATCH(B188,Product!$A:$A,0)),"NOT FOUND")</f>
        <v>[Mepro] Túi hậu môn nhân tạo 2 mảnh - Khóa cuộn</v>
      </c>
      <c r="D188" s="23"/>
      <c r="E188" s="23" t="str">
        <f t="shared" si="2"/>
        <v>INSERT INTO public.medical_supply_product_variant (additional_desc, code, product_code) VALUES (NULL, 'PRODUCT-00103-001', 'PRODUCT-00103');</v>
      </c>
    </row>
    <row r="189" spans="1:5" x14ac:dyDescent="0.25">
      <c r="A189" s="23" t="str">
        <f>B189&amp;"-"&amp;TEXT(COUNTIF(B$2:B189,B189),"000")</f>
        <v>PRODUCT-00104-001</v>
      </c>
      <c r="B189" s="23" t="s">
        <v>665</v>
      </c>
      <c r="C189" s="23" t="str">
        <f>IFERROR(INDEX(Product!$B:$B,MATCH(B189,Product!$A:$A,0)),"NOT FOUND")</f>
        <v>[SeaSight] Đế rời túi hậu môn nhân tạo 2 mảnh không viền vải</v>
      </c>
      <c r="D189" s="23"/>
      <c r="E189" s="23" t="str">
        <f t="shared" si="2"/>
        <v>INSERT INTO public.medical_supply_product_variant (additional_desc, code, product_code) VALUES (NULL, 'PRODUCT-00104-001', 'PRODUCT-00104');</v>
      </c>
    </row>
    <row r="190" spans="1:5" x14ac:dyDescent="0.25">
      <c r="A190" s="23" t="str">
        <f>B190&amp;"-"&amp;TEXT(COUNTIF(B$2:B190,B190),"000")</f>
        <v>PRODUCT-00105-001</v>
      </c>
      <c r="B190" s="23" t="s">
        <v>666</v>
      </c>
      <c r="C190" s="23" t="str">
        <f>IFERROR(INDEX(Product!$B:$B,MATCH(B190,Product!$A:$A,0)),"NOT FOUND")</f>
        <v>[SeaSight] Túi nước tiểu nhân tạo 1 mảnh</v>
      </c>
      <c r="D190" s="23"/>
      <c r="E190" s="23" t="str">
        <f t="shared" si="2"/>
        <v>INSERT INTO public.medical_supply_product_variant (additional_desc, code, product_code) VALUES (NULL, 'PRODUCT-00105-001', 'PRODUCT-00105');</v>
      </c>
    </row>
    <row r="191" spans="1:5" x14ac:dyDescent="0.25">
      <c r="A191" s="23" t="str">
        <f>B191&amp;"-"&amp;TEXT(COUNTIF(B$2:B191,B191),"000")</f>
        <v>PRODUCT-00106-001</v>
      </c>
      <c r="B191" s="23" t="s">
        <v>667</v>
      </c>
      <c r="C191" s="23" t="str">
        <f>IFERROR(INDEX(Product!$B:$B,MATCH(B191,Product!$A:$A,0)),"NOT FOUND")</f>
        <v>Keo cong cắt đế hậu môn nhân tạo</v>
      </c>
      <c r="D191" s="23"/>
      <c r="E191" s="23" t="str">
        <f t="shared" si="2"/>
        <v>INSERT INTO public.medical_supply_product_variant (additional_desc, code, product_code) VALUES (NULL, 'PRODUCT-00106-001', 'PRODUCT-00106');</v>
      </c>
    </row>
    <row r="192" spans="1:5" x14ac:dyDescent="0.25">
      <c r="A192" s="23" t="str">
        <f>B192&amp;"-"&amp;TEXT(COUNTIF(B$2:B192,B192),"000")</f>
        <v>PRODUCT-00107-001</v>
      </c>
      <c r="B192" s="23" t="s">
        <v>668</v>
      </c>
      <c r="C192" s="23" t="str">
        <f>IFERROR(INDEX(Product!$B:$B,MATCH(B192,Product!$A:$A,0)),"NOT FOUND")</f>
        <v>[Ostomy Care] Bộ túi hậu môn nhân tạo 2 mảnh - Khóa cuộn</v>
      </c>
      <c r="D192" s="23"/>
      <c r="E192" s="23" t="str">
        <f t="shared" si="2"/>
        <v>INSERT INTO public.medical_supply_product_variant (additional_desc, code, product_code) VALUES (NULL, 'PRODUCT-00107-001', 'PRODUCT-00107');</v>
      </c>
    </row>
    <row r="193" spans="1:5" x14ac:dyDescent="0.25">
      <c r="A193" s="23" t="str">
        <f>B193&amp;"-"&amp;TEXT(COUNTIF(B$2:B193,B193),"000")</f>
        <v>PRODUCT-00108-001</v>
      </c>
      <c r="B193" s="23" t="s">
        <v>669</v>
      </c>
      <c r="C193" s="23" t="str">
        <f>IFERROR(INDEX(Product!$B:$B,MATCH(B193,Product!$A:$A,0)),"NOT FOUND")</f>
        <v>[Ostomy Care] Túi hậu môn nhân tạo 2 mảnh - Khóa dán liền</v>
      </c>
      <c r="D193" s="23"/>
      <c r="E193" s="23" t="str">
        <f t="shared" si="2"/>
        <v>INSERT INTO public.medical_supply_product_variant (additional_desc, code, product_code) VALUES (NULL, 'PRODUCT-00108-001', 'PRODUCT-00108');</v>
      </c>
    </row>
    <row r="194" spans="1:5" x14ac:dyDescent="0.25">
      <c r="A194" s="23" t="str">
        <f>B194&amp;"-"&amp;TEXT(COUNTIF(B$2:B194,B194),"000")</f>
        <v>PRODUCT-00109-001</v>
      </c>
      <c r="B194" s="23" t="s">
        <v>670</v>
      </c>
      <c r="C194" s="23" t="str">
        <f>IFERROR(INDEX(Product!$B:$B,MATCH(B194,Product!$A:$A,0)),"NOT FOUND")</f>
        <v>Túi hậu môn nhân tạo 2 mảnh</v>
      </c>
      <c r="D194" s="23"/>
      <c r="E194" s="23" t="str">
        <f t="shared" si="2"/>
        <v>INSERT INTO public.medical_supply_product_variant (additional_desc, code, product_code) VALUES (NULL, 'PRODUCT-00109-001', 'PRODUCT-00109');</v>
      </c>
    </row>
    <row r="195" spans="1:5" x14ac:dyDescent="0.25">
      <c r="A195" s="23" t="str">
        <f>B195&amp;"-"&amp;TEXT(COUNTIF(B$2:B195,B195),"000")</f>
        <v>PRODUCT-00110-001</v>
      </c>
      <c r="B195" s="23" t="s">
        <v>671</v>
      </c>
      <c r="C195" s="23" t="str">
        <f>IFERROR(INDEX(Product!$B:$B,MATCH(B195,Product!$A:$A,0)),"NOT FOUND")</f>
        <v>[Bicakcilar] Dụng cụ tập thở phế dung kế - B-SPIRO 5000</v>
      </c>
      <c r="D195" s="23"/>
      <c r="E195" s="23" t="str">
        <f t="shared" ref="E195:E258" si="3">"INSERT INTO public.medical_supply_product_variant (additional_desc, code, product_code) VALUES ("&amp;IF(D195="","NULL","'"&amp;SUBSTITUTE(D195,"'","''")&amp;"'")&amp;", '"&amp;A195&amp;"', '"&amp;B195&amp;"');"</f>
        <v>INSERT INTO public.medical_supply_product_variant (additional_desc, code, product_code) VALUES (NULL, 'PRODUCT-00110-001', 'PRODUCT-00110');</v>
      </c>
    </row>
    <row r="196" spans="1:5" x14ac:dyDescent="0.25">
      <c r="A196" s="23" t="str">
        <f>B196&amp;"-"&amp;TEXT(COUNTIF(B$2:B196,B196),"000")</f>
        <v>PRODUCT-00111-001</v>
      </c>
      <c r="B196" s="23" t="s">
        <v>672</v>
      </c>
      <c r="C196" s="23" t="str">
        <f>IFERROR(INDEX(Product!$B:$B,MATCH(B196,Product!$A:$A,0)),"NOT FOUND")</f>
        <v>[Biotek] Mask thanh quản 1 nòng - Laryngeal Mask Airway</v>
      </c>
      <c r="D196" s="23"/>
      <c r="E196" s="23" t="str">
        <f t="shared" si="3"/>
        <v>INSERT INTO public.medical_supply_product_variant (additional_desc, code, product_code) VALUES (NULL, 'PRODUCT-00111-001', 'PRODUCT-00111');</v>
      </c>
    </row>
    <row r="197" spans="1:5" x14ac:dyDescent="0.25">
      <c r="A197" s="23" t="str">
        <f>B197&amp;"-"&amp;TEXT(COUNTIF(B$2:B197,B197),"000")</f>
        <v>PRODUCT-00111-002</v>
      </c>
      <c r="B197" s="23" t="s">
        <v>672</v>
      </c>
      <c r="C197" s="23" t="str">
        <f>IFERROR(INDEX(Product!$B:$B,MATCH(B197,Product!$A:$A,0)),"NOT FOUND")</f>
        <v>[Biotek] Mask thanh quản 1 nòng - Laryngeal Mask Airway</v>
      </c>
      <c r="D197" s="23"/>
      <c r="E197" s="23" t="str">
        <f t="shared" si="3"/>
        <v>INSERT INTO public.medical_supply_product_variant (additional_desc, code, product_code) VALUES (NULL, 'PRODUCT-00111-002', 'PRODUCT-00111');</v>
      </c>
    </row>
    <row r="198" spans="1:5" x14ac:dyDescent="0.25">
      <c r="A198" s="23" t="str">
        <f>B198&amp;"-"&amp;TEXT(COUNTIF(B$2:B198,B198),"000")</f>
        <v>PRODUCT-00112-001</v>
      </c>
      <c r="B198" s="23" t="s">
        <v>673</v>
      </c>
      <c r="C198" s="23" t="str">
        <f>IFERROR(INDEX(Product!$B:$B,MATCH(B198,Product!$A:$A,0)),"NOT FOUND")</f>
        <v>[Biotek] Mask thanh quản 2 nòng - Laryngeal Mask Airway</v>
      </c>
      <c r="D198" s="23"/>
      <c r="E198" s="23" t="str">
        <f t="shared" si="3"/>
        <v>INSERT INTO public.medical_supply_product_variant (additional_desc, code, product_code) VALUES (NULL, 'PRODUCT-00112-001', 'PRODUCT-00112');</v>
      </c>
    </row>
    <row r="199" spans="1:5" x14ac:dyDescent="0.25">
      <c r="A199" s="23" t="str">
        <f>B199&amp;"-"&amp;TEXT(COUNTIF(B$2:B199,B199),"000")</f>
        <v>PRODUCT-00112-002</v>
      </c>
      <c r="B199" s="23" t="s">
        <v>673</v>
      </c>
      <c r="C199" s="23" t="str">
        <f>IFERROR(INDEX(Product!$B:$B,MATCH(B199,Product!$A:$A,0)),"NOT FOUND")</f>
        <v>[Biotek] Mask thanh quản 2 nòng - Laryngeal Mask Airway</v>
      </c>
      <c r="D199" s="23"/>
      <c r="E199" s="23" t="str">
        <f t="shared" si="3"/>
        <v>INSERT INTO public.medical_supply_product_variant (additional_desc, code, product_code) VALUES (NULL, 'PRODUCT-00112-002', 'PRODUCT-00112');</v>
      </c>
    </row>
    <row r="200" spans="1:5" ht="30" x14ac:dyDescent="0.25">
      <c r="A200" s="23" t="str">
        <f>B200&amp;"-"&amp;TEXT(COUNTIF(B$2:B200,B200),"000")</f>
        <v>PRODUCT-00113-001</v>
      </c>
      <c r="B200" s="23" t="s">
        <v>674</v>
      </c>
      <c r="C200" s="23" t="str">
        <f>IFERROR(INDEX(Product!$B:$B,MATCH(B200,Product!$A:$A,0)),"NOT FOUND")</f>
        <v>[Bornsun] Dây thở oxy 2 nhánh</v>
      </c>
      <c r="D200" s="1" t="s">
        <v>2077</v>
      </c>
      <c r="E200" s="23" t="str">
        <f t="shared" si="3"/>
        <v>INSERT INTO public.medical_supply_product_variant (additional_desc, code, product_code) VALUES ('Kích cỡ (size): S (trẻ em)
Chiều dài: 2m', 'PRODUCT-00113-001', 'PRODUCT-00113');</v>
      </c>
    </row>
    <row r="201" spans="1:5" ht="30" x14ac:dyDescent="0.25">
      <c r="A201" s="23" t="str">
        <f>B201&amp;"-"&amp;TEXT(COUNTIF(B$2:B201,B201),"000")</f>
        <v>PRODUCT-00113-002</v>
      </c>
      <c r="B201" s="23" t="s">
        <v>674</v>
      </c>
      <c r="C201" s="23" t="str">
        <f>IFERROR(INDEX(Product!$B:$B,MATCH(B201,Product!$A:$A,0)),"NOT FOUND")</f>
        <v>[Bornsun] Dây thở oxy 2 nhánh</v>
      </c>
      <c r="D201" s="1" t="s">
        <v>2078</v>
      </c>
      <c r="E201" s="23" t="str">
        <f t="shared" si="3"/>
        <v>INSERT INTO public.medical_supply_product_variant (additional_desc, code, product_code) VALUES ('Kích cỡ (size): L (Người lớn)
Chiều dài: 2m', 'PRODUCT-00113-002', 'PRODUCT-00113');</v>
      </c>
    </row>
    <row r="202" spans="1:5" ht="30" x14ac:dyDescent="0.25">
      <c r="A202" s="23" t="str">
        <f>B202&amp;"-"&amp;TEXT(COUNTIF(B$2:B202,B202),"000")</f>
        <v>PRODUCT-00114-001</v>
      </c>
      <c r="B202" s="23" t="s">
        <v>675</v>
      </c>
      <c r="C202" s="23" t="str">
        <f>IFERROR(INDEX(Product!$B:$B,MATCH(B202,Product!$A:$A,0)),"NOT FOUND")</f>
        <v>[Bornsun] Mặt nạ thở oxy</v>
      </c>
      <c r="D202" s="1" t="s">
        <v>2079</v>
      </c>
      <c r="E202" s="23" t="str">
        <f t="shared" si="3"/>
        <v>INSERT INTO public.medical_supply_product_variant (additional_desc, code, product_code) VALUES ('Size S: dành cho trẻ sơ sinh
Chiều dài dây dẫn có van nối 2 đầu: 2m', 'PRODUCT-00114-001', 'PRODUCT-00114');</v>
      </c>
    </row>
    <row r="203" spans="1:5" ht="30" x14ac:dyDescent="0.25">
      <c r="A203" s="23" t="str">
        <f>B203&amp;"-"&amp;TEXT(COUNTIF(B$2:B203,B203),"000")</f>
        <v>PRODUCT-00114-002</v>
      </c>
      <c r="B203" s="23" t="s">
        <v>675</v>
      </c>
      <c r="C203" s="23" t="str">
        <f>IFERROR(INDEX(Product!$B:$B,MATCH(B203,Product!$A:$A,0)),"NOT FOUND")</f>
        <v>[Bornsun] Mặt nạ thở oxy</v>
      </c>
      <c r="D203" s="1" t="s">
        <v>2080</v>
      </c>
      <c r="E203" s="23" t="str">
        <f t="shared" si="3"/>
        <v>INSERT INTO public.medical_supply_product_variant (additional_desc, code, product_code) VALUES ('Size M: dành cho trẻ em
Chiều dài dây dẫn có van nối 2 đầu: 2m', 'PRODUCT-00114-002', 'PRODUCT-00114');</v>
      </c>
    </row>
    <row r="204" spans="1:5" ht="30" x14ac:dyDescent="0.25">
      <c r="A204" s="23" t="str">
        <f>B204&amp;"-"&amp;TEXT(COUNTIF(B$2:B204,B204),"000")</f>
        <v>PRODUCT-00114-003</v>
      </c>
      <c r="B204" s="23" t="s">
        <v>675</v>
      </c>
      <c r="C204" s="23" t="str">
        <f>IFERROR(INDEX(Product!$B:$B,MATCH(B204,Product!$A:$A,0)),"NOT FOUND")</f>
        <v>[Bornsun] Mặt nạ thở oxy</v>
      </c>
      <c r="D204" s="1" t="s">
        <v>2081</v>
      </c>
      <c r="E204" s="23" t="str">
        <f t="shared" si="3"/>
        <v>INSERT INTO public.medical_supply_product_variant (additional_desc, code, product_code) VALUES ('Size L: dành cho người lớn
Chiều dài dây dẫn có van nối 2 đầu: 2m', 'PRODUCT-00114-003', 'PRODUCT-00114');</v>
      </c>
    </row>
    <row r="205" spans="1:5" ht="30" x14ac:dyDescent="0.25">
      <c r="A205" s="23" t="str">
        <f>B205&amp;"-"&amp;TEXT(COUNTIF(B$2:B205,B205),"000")</f>
        <v>PRODUCT-00114-004</v>
      </c>
      <c r="B205" s="23" t="s">
        <v>675</v>
      </c>
      <c r="C205" s="23" t="str">
        <f>IFERROR(INDEX(Product!$B:$B,MATCH(B205,Product!$A:$A,0)),"NOT FOUND")</f>
        <v>[Bornsun] Mặt nạ thở oxy</v>
      </c>
      <c r="D205" s="1" t="s">
        <v>2082</v>
      </c>
      <c r="E205" s="23" t="str">
        <f t="shared" si="3"/>
        <v>INSERT INTO public.medical_supply_product_variant (additional_desc, code, product_code) VALUES ('Size XL: dành cho người lớn
Chiều dài dây dẫn có van nối 2 đầu: 2m', 'PRODUCT-00114-004', 'PRODUCT-00114');</v>
      </c>
    </row>
    <row r="206" spans="1:5" x14ac:dyDescent="0.25">
      <c r="A206" s="23" t="str">
        <f>B206&amp;"-"&amp;TEXT(COUNTIF(B$2:B206,B206),"000")</f>
        <v>PRODUCT-00115-001</v>
      </c>
      <c r="B206" s="23" t="s">
        <v>676</v>
      </c>
      <c r="C206" s="23" t="str">
        <f>IFERROR(INDEX(Product!$B:$B,MATCH(B206,Product!$A:$A,0)),"NOT FOUND")</f>
        <v>[Bornsun] Mặt nạ xông khí dung</v>
      </c>
      <c r="D206" s="23"/>
      <c r="E206" s="23" t="str">
        <f t="shared" si="3"/>
        <v>INSERT INTO public.medical_supply_product_variant (additional_desc, code, product_code) VALUES (NULL, 'PRODUCT-00115-001', 'PRODUCT-00115');</v>
      </c>
    </row>
    <row r="207" spans="1:5" x14ac:dyDescent="0.25">
      <c r="A207" s="23" t="str">
        <f>B207&amp;"-"&amp;TEXT(COUNTIF(B$2:B207,B207),"000")</f>
        <v>PRODUCT-00116-001</v>
      </c>
      <c r="B207" s="23" t="s">
        <v>677</v>
      </c>
      <c r="C207" s="23" t="str">
        <f>IFERROR(INDEX(Product!$B:$B,MATCH(B207,Product!$A:$A,0)),"NOT FOUND")</f>
        <v>[Bornsun] Xông hút đờm kín</v>
      </c>
      <c r="D207" s="23"/>
      <c r="E207" s="23" t="str">
        <f t="shared" si="3"/>
        <v>INSERT INTO public.medical_supply_product_variant (additional_desc, code, product_code) VALUES (NULL, 'PRODUCT-00116-001', 'PRODUCT-00116');</v>
      </c>
    </row>
    <row r="208" spans="1:5" x14ac:dyDescent="0.25">
      <c r="A208" s="23" t="str">
        <f>B208&amp;"-"&amp;TEXT(COUNTIF(B$2:B208,B208),"000")</f>
        <v>PRODUCT-00116-002</v>
      </c>
      <c r="B208" s="23" t="s">
        <v>677</v>
      </c>
      <c r="C208" s="23" t="str">
        <f>IFERROR(INDEX(Product!$B:$B,MATCH(B208,Product!$A:$A,0)),"NOT FOUND")</f>
        <v>[Bornsun] Xông hút đờm kín</v>
      </c>
      <c r="D208" s="23"/>
      <c r="E208" s="23" t="str">
        <f t="shared" si="3"/>
        <v>INSERT INTO public.medical_supply_product_variant (additional_desc, code, product_code) VALUES (NULL, 'PRODUCT-00116-002', 'PRODUCT-00116');</v>
      </c>
    </row>
    <row r="209" spans="1:5" x14ac:dyDescent="0.25">
      <c r="A209" s="23" t="str">
        <f>B209&amp;"-"&amp;TEXT(COUNTIF(B$2:B209,B209),"000")</f>
        <v>PRODUCT-00117-001</v>
      </c>
      <c r="B209" s="23" t="s">
        <v>678</v>
      </c>
      <c r="C209" s="23" t="str">
        <f>IFERROR(INDEX(Product!$B:$B,MATCH(B209,Product!$A:$A,0)),"NOT FOUND")</f>
        <v>[Covidien] Nòng trong ống mở khí quản - Shiley SIC</v>
      </c>
      <c r="D209" s="23"/>
      <c r="E209" s="23" t="str">
        <f t="shared" si="3"/>
        <v>INSERT INTO public.medical_supply_product_variant (additional_desc, code, product_code) VALUES (NULL, 'PRODUCT-00117-001', 'PRODUCT-00117');</v>
      </c>
    </row>
    <row r="210" spans="1:5" x14ac:dyDescent="0.25">
      <c r="A210" s="23" t="str">
        <f>B210&amp;"-"&amp;TEXT(COUNTIF(B$2:B210,B210),"000")</f>
        <v>PRODUCT-00117-002</v>
      </c>
      <c r="B210" s="23" t="s">
        <v>678</v>
      </c>
      <c r="C210" s="23" t="str">
        <f>IFERROR(INDEX(Product!$B:$B,MATCH(B210,Product!$A:$A,0)),"NOT FOUND")</f>
        <v>[Covidien] Nòng trong ống mở khí quản - Shiley SIC</v>
      </c>
      <c r="D210" s="23"/>
      <c r="E210" s="23" t="str">
        <f t="shared" si="3"/>
        <v>INSERT INTO public.medical_supply_product_variant (additional_desc, code, product_code) VALUES (NULL, 'PRODUCT-00117-002', 'PRODUCT-00117');</v>
      </c>
    </row>
    <row r="211" spans="1:5" ht="45" x14ac:dyDescent="0.25">
      <c r="A211" s="23" t="str">
        <f>B211&amp;"-"&amp;TEXT(COUNTIF(B$2:B211,B211),"000")</f>
        <v>PRODUCT-00118-001</v>
      </c>
      <c r="B211" s="23" t="s">
        <v>679</v>
      </c>
      <c r="C211" s="23" t="str">
        <f>IFERROR(INDEX(Product!$B:$B,MATCH(B211,Product!$A:$A,0)),"NOT FOUND")</f>
        <v>[Covidien] Ống mở khí quản 2 nòng có bóng - Shiley LPC</v>
      </c>
      <c r="D211" s="1" t="s">
        <v>2083</v>
      </c>
      <c r="E211" s="23" t="str">
        <f t="shared" si="3"/>
        <v>INSERT INTO public.medical_supply_product_variant (additional_desc, code, product_code) VALUES ('Đường kính trong ID: 6.4 mm
Đường kính ngoài OD: 10.8 mm
Chiều dài: 76 mm', 'PRODUCT-00118-001', 'PRODUCT-00118');</v>
      </c>
    </row>
    <row r="212" spans="1:5" ht="45" x14ac:dyDescent="0.25">
      <c r="A212" s="23" t="str">
        <f>B212&amp;"-"&amp;TEXT(COUNTIF(B$2:B212,B212),"000")</f>
        <v>PRODUCT-00118-002</v>
      </c>
      <c r="B212" s="23" t="s">
        <v>679</v>
      </c>
      <c r="C212" s="23" t="str">
        <f>IFERROR(INDEX(Product!$B:$B,MATCH(B212,Product!$A:$A,0)),"NOT FOUND")</f>
        <v>[Covidien] Ống mở khí quản 2 nòng có bóng - Shiley LPC</v>
      </c>
      <c r="D212" s="1" t="s">
        <v>2084</v>
      </c>
      <c r="E212" s="23" t="str">
        <f t="shared" si="3"/>
        <v>INSERT INTO public.medical_supply_product_variant (additional_desc, code, product_code) VALUES ('Đường kính trong ID: 7.6 mm
Đường kính ngoài OD: 12.2 mm
Chiều dài: 81 mm', 'PRODUCT-00118-002', 'PRODUCT-00118');</v>
      </c>
    </row>
    <row r="213" spans="1:5" ht="45" x14ac:dyDescent="0.25">
      <c r="A213" s="23" t="str">
        <f>B213&amp;"-"&amp;TEXT(COUNTIF(B$2:B213,B213),"000")</f>
        <v>PRODUCT-00119-001</v>
      </c>
      <c r="B213" s="23" t="s">
        <v>680</v>
      </c>
      <c r="C213" s="23" t="str">
        <f>IFERROR(INDEX(Product!$B:$B,MATCH(B213,Product!$A:$A,0)),"NOT FOUND")</f>
        <v>[Covidien] Ống mở khí quản 2 nòng có bóng, có cửa sổ - Shiley FEN</v>
      </c>
      <c r="D213" s="1" t="s">
        <v>2083</v>
      </c>
      <c r="E213" s="23" t="str">
        <f t="shared" si="3"/>
        <v>INSERT INTO public.medical_supply_product_variant (additional_desc, code, product_code) VALUES ('Đường kính trong ID: 6.4 mm
Đường kính ngoài OD: 10.8 mm
Chiều dài: 76 mm', 'PRODUCT-00119-001', 'PRODUCT-00119');</v>
      </c>
    </row>
    <row r="214" spans="1:5" ht="45" x14ac:dyDescent="0.25">
      <c r="A214" s="23" t="str">
        <f>B214&amp;"-"&amp;TEXT(COUNTIF(B$2:B214,B214),"000")</f>
        <v>PRODUCT-00119-002</v>
      </c>
      <c r="B214" s="23" t="s">
        <v>680</v>
      </c>
      <c r="C214" s="23" t="str">
        <f>IFERROR(INDEX(Product!$B:$B,MATCH(B214,Product!$A:$A,0)),"NOT FOUND")</f>
        <v>[Covidien] Ống mở khí quản 2 nòng có bóng, có cửa sổ - Shiley FEN</v>
      </c>
      <c r="D214" s="1" t="s">
        <v>2084</v>
      </c>
      <c r="E214" s="23" t="str">
        <f t="shared" si="3"/>
        <v>INSERT INTO public.medical_supply_product_variant (additional_desc, code, product_code) VALUES ('Đường kính trong ID: 7.6 mm
Đường kính ngoài OD: 12.2 mm
Chiều dài: 81 mm', 'PRODUCT-00119-002', 'PRODUCT-00119');</v>
      </c>
    </row>
    <row r="215" spans="1:5" ht="45" x14ac:dyDescent="0.25">
      <c r="A215" s="23" t="str">
        <f>B215&amp;"-"&amp;TEXT(COUNTIF(B$2:B215,B215),"000")</f>
        <v>PRODUCT-00120-001</v>
      </c>
      <c r="B215" s="23" t="s">
        <v>681</v>
      </c>
      <c r="C215" s="23" t="str">
        <f>IFERROR(INDEX(Product!$B:$B,MATCH(B215,Product!$A:$A,0)),"NOT FOUND")</f>
        <v>[Covidien] Ống mở khí quản 2 nòng không bóng, có cửa sổ - Shiley CFN</v>
      </c>
      <c r="D215" s="1" t="s">
        <v>2083</v>
      </c>
      <c r="E215" s="23" t="str">
        <f t="shared" si="3"/>
        <v>INSERT INTO public.medical_supply_product_variant (additional_desc, code, product_code) VALUES ('Đường kính trong ID: 6.4 mm
Đường kính ngoài OD: 10.8 mm
Chiều dài: 76 mm', 'PRODUCT-00120-001', 'PRODUCT-00120');</v>
      </c>
    </row>
    <row r="216" spans="1:5" ht="45" x14ac:dyDescent="0.25">
      <c r="A216" s="23" t="str">
        <f>B216&amp;"-"&amp;TEXT(COUNTIF(B$2:B216,B216),"000")</f>
        <v>PRODUCT-00120-002</v>
      </c>
      <c r="B216" s="23" t="s">
        <v>681</v>
      </c>
      <c r="C216" s="23" t="str">
        <f>IFERROR(INDEX(Product!$B:$B,MATCH(B216,Product!$A:$A,0)),"NOT FOUND")</f>
        <v>[Covidien] Ống mở khí quản 2 nòng không bóng, có cửa sổ - Shiley CFN</v>
      </c>
      <c r="D216" s="1" t="s">
        <v>2084</v>
      </c>
      <c r="E216" s="23" t="str">
        <f t="shared" si="3"/>
        <v>INSERT INTO public.medical_supply_product_variant (additional_desc, code, product_code) VALUES ('Đường kính trong ID: 7.6 mm
Đường kính ngoài OD: 12.2 mm
Chiều dài: 81 mm', 'PRODUCT-00120-002', 'PRODUCT-00120');</v>
      </c>
    </row>
    <row r="217" spans="1:5" ht="60" x14ac:dyDescent="0.25">
      <c r="A217" s="23" t="str">
        <f>B217&amp;"-"&amp;TEXT(COUNTIF(B$2:B217,B217),"000")</f>
        <v>PRODUCT-00121-001</v>
      </c>
      <c r="B217" s="23" t="s">
        <v>682</v>
      </c>
      <c r="C217" s="23" t="str">
        <f>IFERROR(INDEX(Product!$B:$B,MATCH(B217,Product!$A:$A,0)),"NOT FOUND")</f>
        <v>[Fuji System] Ống chẹn phế quản cô lập phổi - Uniblocker</v>
      </c>
      <c r="D217" s="1" t="s">
        <v>2085</v>
      </c>
      <c r="E217" s="23" t="str">
        <f t="shared" si="3"/>
        <v>INSERT INTO public.medical_supply_product_variant (additional_desc, code, product_code) VALUES ('Size: 5Fr (trẻ em)
OD: 1.7 mm
Chiều dài: 325 mm
Thể tích bơm bóng tối đa: 3 mL', 'PRODUCT-00121-001', 'PRODUCT-00121');</v>
      </c>
    </row>
    <row r="218" spans="1:5" ht="60" x14ac:dyDescent="0.25">
      <c r="A218" s="23" t="str">
        <f>B218&amp;"-"&amp;TEXT(COUNTIF(B$2:B218,B218),"000")</f>
        <v>PRODUCT-00121-002</v>
      </c>
      <c r="B218" s="23" t="s">
        <v>682</v>
      </c>
      <c r="C218" s="23" t="str">
        <f>IFERROR(INDEX(Product!$B:$B,MATCH(B218,Product!$A:$A,0)),"NOT FOUND")</f>
        <v>[Fuji System] Ống chẹn phế quản cô lập phổi - Uniblocker</v>
      </c>
      <c r="D218" s="1" t="s">
        <v>2086</v>
      </c>
      <c r="E218" s="23" t="str">
        <f t="shared" si="3"/>
        <v>INSERT INTO public.medical_supply_product_variant (additional_desc, code, product_code) VALUES ('Size: 9Fr (người lớn)
OD: 3.0 mm
Chiều dài: 500 mm
Thể tích bơm bóng tối đa: 8 mL', 'PRODUCT-00121-002', 'PRODUCT-00121');</v>
      </c>
    </row>
    <row r="219" spans="1:5" ht="105" x14ac:dyDescent="0.25">
      <c r="A219" s="23" t="str">
        <f>B219&amp;"-"&amp;TEXT(COUNTIF(B$2:B219,B219),"000")</f>
        <v>PRODUCT-00122-001</v>
      </c>
      <c r="B219" s="23" t="s">
        <v>683</v>
      </c>
      <c r="C219" s="23" t="str">
        <f>IFERROR(INDEX(Product!$B:$B,MATCH(B219,Product!$A:$A,0)),"NOT FOUND")</f>
        <v>[Fuji System] Ống nội khí quản 2 nòng - Silbroncho (Carlens)</v>
      </c>
      <c r="D219" s="1" t="s">
        <v>2087</v>
      </c>
      <c r="E219" s="23" t="str">
        <f t="shared" si="3"/>
        <v>INSERT INTO public.medical_supply_product_variant (additional_desc, code, product_code) VALUES ('Đường kính trong: 4.1/6.5
ID (mm): 9.5/12.3
Đường kính ngoài: 40
OD (mm): 5
Thế tích tối đa của cuff (mL): 35
Bóng chèn khí quản: 4.5/7.0
Bóng chèn phế quản: 10.0/13.3', 'PRODUCT-00122-001', 'PRODUCT-00122');</v>
      </c>
    </row>
    <row r="220" spans="1:5" x14ac:dyDescent="0.25">
      <c r="A220" s="23" t="str">
        <f>B220&amp;"-"&amp;TEXT(COUNTIF(B$2:B220,B220),"000")</f>
        <v>PRODUCT-00122-002</v>
      </c>
      <c r="B220" s="23" t="s">
        <v>683</v>
      </c>
      <c r="C220" s="23" t="str">
        <f>IFERROR(INDEX(Product!$B:$B,MATCH(B220,Product!$A:$A,0)),"NOT FOUND")</f>
        <v>[Fuji System] Ống nội khí quản 2 nòng - Silbroncho (Carlens)</v>
      </c>
      <c r="D220" s="23"/>
      <c r="E220" s="23" t="str">
        <f t="shared" si="3"/>
        <v>INSERT INTO public.medical_supply_product_variant (additional_desc, code, product_code) VALUES (NULL, 'PRODUCT-00122-002', 'PRODUCT-00122');</v>
      </c>
    </row>
    <row r="221" spans="1:5" x14ac:dyDescent="0.25">
      <c r="A221" s="23" t="str">
        <f>B221&amp;"-"&amp;TEXT(COUNTIF(B$2:B221,B221),"000")</f>
        <v>PRODUCT-00122-003</v>
      </c>
      <c r="B221" s="23" t="s">
        <v>683</v>
      </c>
      <c r="C221" s="23" t="str">
        <f>IFERROR(INDEX(Product!$B:$B,MATCH(B221,Product!$A:$A,0)),"NOT FOUND")</f>
        <v>[Fuji System] Ống nội khí quản 2 nòng - Silbroncho (Carlens)</v>
      </c>
      <c r="D221" s="23"/>
      <c r="E221" s="23" t="str">
        <f t="shared" si="3"/>
        <v>INSERT INTO public.medical_supply_product_variant (additional_desc, code, product_code) VALUES (NULL, 'PRODUCT-00122-003', 'PRODUCT-00122');</v>
      </c>
    </row>
    <row r="222" spans="1:5" x14ac:dyDescent="0.25">
      <c r="A222" s="23" t="str">
        <f>B222&amp;"-"&amp;TEXT(COUNTIF(B$2:B222,B222),"000")</f>
        <v>PRODUCT-00123-001</v>
      </c>
      <c r="B222" s="23" t="s">
        <v>684</v>
      </c>
      <c r="C222" s="23" t="str">
        <f>IFERROR(INDEX(Product!$B:$B,MATCH(B222,Product!$A:$A,0)),"NOT FOUND")</f>
        <v>[Fuji System] Ống nội khí quản tích hợp sẵn ống chặn phổi - Univent™</v>
      </c>
      <c r="D222" s="23"/>
      <c r="E222" s="23" t="str">
        <f t="shared" si="3"/>
        <v>INSERT INTO public.medical_supply_product_variant (additional_desc, code, product_code) VALUES (NULL, 'PRODUCT-00123-001', 'PRODUCT-00123');</v>
      </c>
    </row>
    <row r="223" spans="1:5" x14ac:dyDescent="0.25">
      <c r="A223" s="23" t="str">
        <f>B223&amp;"-"&amp;TEXT(COUNTIF(B$2:B223,B223),"000")</f>
        <v>PRODUCT-00124-001</v>
      </c>
      <c r="B223" s="23" t="s">
        <v>685</v>
      </c>
      <c r="C223" s="23" t="str">
        <f>IFERROR(INDEX(Product!$B:$B,MATCH(B223,Product!$A:$A,0)),"NOT FOUND")</f>
        <v>[HangZhou] Mask thanh quản 1 nòng dùng 1 lần</v>
      </c>
      <c r="D223" s="23" t="s">
        <v>2088</v>
      </c>
      <c r="E223" s="23" t="str">
        <f t="shared" si="3"/>
        <v>INSERT INTO public.medical_supply_product_variant (additional_desc, code, product_code) VALUES ('Cân nặng phù hợp: 5 - 10 kg', 'PRODUCT-00124-001', 'PRODUCT-00124');</v>
      </c>
    </row>
    <row r="224" spans="1:5" x14ac:dyDescent="0.25">
      <c r="A224" s="23" t="str">
        <f>B224&amp;"-"&amp;TEXT(COUNTIF(B$2:B224,B224),"000")</f>
        <v>PRODUCT-00124-002</v>
      </c>
      <c r="B224" s="23" t="s">
        <v>685</v>
      </c>
      <c r="C224" s="23" t="str">
        <f>IFERROR(INDEX(Product!$B:$B,MATCH(B224,Product!$A:$A,0)),"NOT FOUND")</f>
        <v>[HangZhou] Mask thanh quản 1 nòng dùng 1 lần</v>
      </c>
      <c r="D224" s="23" t="s">
        <v>2089</v>
      </c>
      <c r="E224" s="23" t="str">
        <f t="shared" si="3"/>
        <v>INSERT INTO public.medical_supply_product_variant (additional_desc, code, product_code) VALUES ('Cân nặng phù hợp: 10 - 20 kg', 'PRODUCT-00124-002', 'PRODUCT-00124');</v>
      </c>
    </row>
    <row r="225" spans="1:5" x14ac:dyDescent="0.25">
      <c r="A225" s="23" t="str">
        <f>B225&amp;"-"&amp;TEXT(COUNTIF(B$2:B225,B225),"000")</f>
        <v>PRODUCT-00124-003</v>
      </c>
      <c r="B225" s="23" t="s">
        <v>685</v>
      </c>
      <c r="C225" s="23" t="str">
        <f>IFERROR(INDEX(Product!$B:$B,MATCH(B225,Product!$A:$A,0)),"NOT FOUND")</f>
        <v>[HangZhou] Mask thanh quản 1 nòng dùng 1 lần</v>
      </c>
      <c r="D225" s="23" t="s">
        <v>2090</v>
      </c>
      <c r="E225" s="23" t="str">
        <f t="shared" si="3"/>
        <v>INSERT INTO public.medical_supply_product_variant (additional_desc, code, product_code) VALUES ('Cân nặng phù hợp: 20 - 30 kg', 'PRODUCT-00124-003', 'PRODUCT-00124');</v>
      </c>
    </row>
    <row r="226" spans="1:5" x14ac:dyDescent="0.25">
      <c r="A226" s="23" t="str">
        <f>B226&amp;"-"&amp;TEXT(COUNTIF(B$2:B226,B226),"000")</f>
        <v>PRODUCT-00124-004</v>
      </c>
      <c r="B226" s="23" t="s">
        <v>685</v>
      </c>
      <c r="C226" s="23" t="str">
        <f>IFERROR(INDEX(Product!$B:$B,MATCH(B226,Product!$A:$A,0)),"NOT FOUND")</f>
        <v>[HangZhou] Mask thanh quản 1 nòng dùng 1 lần</v>
      </c>
      <c r="D226" s="23" t="s">
        <v>2091</v>
      </c>
      <c r="E226" s="23" t="str">
        <f t="shared" si="3"/>
        <v>INSERT INTO public.medical_supply_product_variant (additional_desc, code, product_code) VALUES ('Cân nặng phù hợp: 30 - 50 kg', 'PRODUCT-00124-004', 'PRODUCT-00124');</v>
      </c>
    </row>
    <row r="227" spans="1:5" x14ac:dyDescent="0.25">
      <c r="A227" s="23" t="str">
        <f>B227&amp;"-"&amp;TEXT(COUNTIF(B$2:B227,B227),"000")</f>
        <v>PRODUCT-00124-005</v>
      </c>
      <c r="B227" s="23" t="s">
        <v>685</v>
      </c>
      <c r="C227" s="23" t="str">
        <f>IFERROR(INDEX(Product!$B:$B,MATCH(B227,Product!$A:$A,0)),"NOT FOUND")</f>
        <v>[HangZhou] Mask thanh quản 1 nòng dùng 1 lần</v>
      </c>
      <c r="D227" s="23" t="s">
        <v>2092</v>
      </c>
      <c r="E227" s="23" t="str">
        <f t="shared" si="3"/>
        <v>INSERT INTO public.medical_supply_product_variant (additional_desc, code, product_code) VALUES ('Cân nặng phù hợp: 50 - 70 kg', 'PRODUCT-00124-005', 'PRODUCT-00124');</v>
      </c>
    </row>
    <row r="228" spans="1:5" x14ac:dyDescent="0.25">
      <c r="A228" s="23" t="str">
        <f>B228&amp;"-"&amp;TEXT(COUNTIF(B$2:B228,B228),"000")</f>
        <v>PRODUCT-00124-006</v>
      </c>
      <c r="B228" s="23" t="s">
        <v>685</v>
      </c>
      <c r="C228" s="23" t="str">
        <f>IFERROR(INDEX(Product!$B:$B,MATCH(B228,Product!$A:$A,0)),"NOT FOUND")</f>
        <v>[HangZhou] Mask thanh quản 1 nòng dùng 1 lần</v>
      </c>
      <c r="D228" s="23" t="s">
        <v>2093</v>
      </c>
      <c r="E228" s="23" t="str">
        <f t="shared" si="3"/>
        <v>INSERT INTO public.medical_supply_product_variant (additional_desc, code, product_code) VALUES ('Cân nặng phù hợp: &gt; 70 kg', 'PRODUCT-00124-006', 'PRODUCT-00124');</v>
      </c>
    </row>
    <row r="229" spans="1:5" x14ac:dyDescent="0.25">
      <c r="A229" s="23" t="str">
        <f>B229&amp;"-"&amp;TEXT(COUNTIF(B$2:B229,B229),"000")</f>
        <v>PRODUCT-00125-001</v>
      </c>
      <c r="B229" s="23" t="s">
        <v>686</v>
      </c>
      <c r="C229" s="23" t="str">
        <f>IFERROR(INDEX(Product!$B:$B,MATCH(B229,Product!$A:$A,0)),"NOT FOUND")</f>
        <v>[Hoàng Sơn] Dây hút đàm nhớt có kiểm soát</v>
      </c>
      <c r="D229" s="23" t="s">
        <v>2094</v>
      </c>
      <c r="E229" s="23" t="str">
        <f t="shared" si="3"/>
        <v>INSERT INTO public.medical_supply_product_variant (additional_desc, code, product_code) VALUES ('Chiều dài: 500 mm', 'PRODUCT-00125-001', 'PRODUCT-00125');</v>
      </c>
    </row>
    <row r="230" spans="1:5" x14ac:dyDescent="0.25">
      <c r="A230" s="23" t="str">
        <f>B230&amp;"-"&amp;TEXT(COUNTIF(B$2:B230,B230),"000")</f>
        <v>PRODUCT-00125-002</v>
      </c>
      <c r="B230" s="23" t="s">
        <v>686</v>
      </c>
      <c r="C230" s="23" t="str">
        <f>IFERROR(INDEX(Product!$B:$B,MATCH(B230,Product!$A:$A,0)),"NOT FOUND")</f>
        <v>[Hoàng Sơn] Dây hút đàm nhớt có kiểm soát</v>
      </c>
      <c r="D230" s="23" t="s">
        <v>2094</v>
      </c>
      <c r="E230" s="23" t="str">
        <f t="shared" si="3"/>
        <v>INSERT INTO public.medical_supply_product_variant (additional_desc, code, product_code) VALUES ('Chiều dài: 500 mm', 'PRODUCT-00125-002', 'PRODUCT-00125');</v>
      </c>
    </row>
    <row r="231" spans="1:5" x14ac:dyDescent="0.25">
      <c r="A231" s="23" t="str">
        <f>B231&amp;"-"&amp;TEXT(COUNTIF(B$2:B231,B231),"000")</f>
        <v>PRODUCT-00125-003</v>
      </c>
      <c r="B231" s="23" t="s">
        <v>686</v>
      </c>
      <c r="C231" s="23" t="str">
        <f>IFERROR(INDEX(Product!$B:$B,MATCH(B231,Product!$A:$A,0)),"NOT FOUND")</f>
        <v>[Hoàng Sơn] Dây hút đàm nhớt có kiểm soát</v>
      </c>
      <c r="D231" s="23" t="s">
        <v>2094</v>
      </c>
      <c r="E231" s="23" t="str">
        <f t="shared" si="3"/>
        <v>INSERT INTO public.medical_supply_product_variant (additional_desc, code, product_code) VALUES ('Chiều dài: 500 mm', 'PRODUCT-00125-003', 'PRODUCT-00125');</v>
      </c>
    </row>
    <row r="232" spans="1:5" x14ac:dyDescent="0.25">
      <c r="A232" s="23" t="str">
        <f>B232&amp;"-"&amp;TEXT(COUNTIF(B$2:B232,B232),"000")</f>
        <v>PRODUCT-00125-004</v>
      </c>
      <c r="B232" s="23" t="s">
        <v>686</v>
      </c>
      <c r="C232" s="23" t="str">
        <f>IFERROR(INDEX(Product!$B:$B,MATCH(B232,Product!$A:$A,0)),"NOT FOUND")</f>
        <v>[Hoàng Sơn] Dây hút đàm nhớt có kiểm soát</v>
      </c>
      <c r="D232" s="23" t="s">
        <v>2094</v>
      </c>
      <c r="E232" s="23" t="str">
        <f t="shared" si="3"/>
        <v>INSERT INTO public.medical_supply_product_variant (additional_desc, code, product_code) VALUES ('Chiều dài: 500 mm', 'PRODUCT-00125-004', 'PRODUCT-00125');</v>
      </c>
    </row>
    <row r="233" spans="1:5" x14ac:dyDescent="0.25">
      <c r="A233" s="23" t="str">
        <f>B233&amp;"-"&amp;TEXT(COUNTIF(B$2:B233,B233),"000")</f>
        <v>PRODUCT-00126-001</v>
      </c>
      <c r="B233" s="23" t="s">
        <v>687</v>
      </c>
      <c r="C233" s="23" t="str">
        <f>IFERROR(INDEX(Product!$B:$B,MATCH(B233,Product!$A:$A,0)),"NOT FOUND")</f>
        <v>[Hoàng Sơn] Dây hút đàm nhớt không kiểm soát</v>
      </c>
      <c r="D233" s="23" t="s">
        <v>2094</v>
      </c>
      <c r="E233" s="23" t="str">
        <f t="shared" si="3"/>
        <v>INSERT INTO public.medical_supply_product_variant (additional_desc, code, product_code) VALUES ('Chiều dài: 500 mm', 'PRODUCT-00126-001', 'PRODUCT-00126');</v>
      </c>
    </row>
    <row r="234" spans="1:5" x14ac:dyDescent="0.25">
      <c r="A234" s="23" t="str">
        <f>B234&amp;"-"&amp;TEXT(COUNTIF(B$2:B234,B234),"000")</f>
        <v>PRODUCT-00126-002</v>
      </c>
      <c r="B234" s="23" t="s">
        <v>687</v>
      </c>
      <c r="C234" s="23" t="str">
        <f>IFERROR(INDEX(Product!$B:$B,MATCH(B234,Product!$A:$A,0)),"NOT FOUND")</f>
        <v>[Hoàng Sơn] Dây hút đàm nhớt không kiểm soát</v>
      </c>
      <c r="D234" s="23" t="s">
        <v>2094</v>
      </c>
      <c r="E234" s="23" t="str">
        <f t="shared" si="3"/>
        <v>INSERT INTO public.medical_supply_product_variant (additional_desc, code, product_code) VALUES ('Chiều dài: 500 mm', 'PRODUCT-00126-002', 'PRODUCT-00126');</v>
      </c>
    </row>
    <row r="235" spans="1:5" x14ac:dyDescent="0.25">
      <c r="A235" s="23" t="str">
        <f>B235&amp;"-"&amp;TEXT(COUNTIF(B$2:B235,B235),"000")</f>
        <v>PRODUCT-00126-003</v>
      </c>
      <c r="B235" s="23" t="s">
        <v>687</v>
      </c>
      <c r="C235" s="23" t="str">
        <f>IFERROR(INDEX(Product!$B:$B,MATCH(B235,Product!$A:$A,0)),"NOT FOUND")</f>
        <v>[Hoàng Sơn] Dây hút đàm nhớt không kiểm soát</v>
      </c>
      <c r="D235" s="23" t="s">
        <v>2094</v>
      </c>
      <c r="E235" s="23" t="str">
        <f t="shared" si="3"/>
        <v>INSERT INTO public.medical_supply_product_variant (additional_desc, code, product_code) VALUES ('Chiều dài: 500 mm', 'PRODUCT-00126-003', 'PRODUCT-00126');</v>
      </c>
    </row>
    <row r="236" spans="1:5" x14ac:dyDescent="0.25">
      <c r="A236" s="23" t="str">
        <f>B236&amp;"-"&amp;TEXT(COUNTIF(B$2:B236,B236),"000")</f>
        <v>PRODUCT-00127-001</v>
      </c>
      <c r="B236" s="23" t="s">
        <v>688</v>
      </c>
      <c r="C236" s="23" t="str">
        <f>IFERROR(INDEX(Product!$B:$B,MATCH(B236,Product!$A:$A,0)),"NOT FOUND")</f>
        <v>[Hollister] Dụng cụ cố định ống nội khí quản chống cắn - AnchorFast 9800</v>
      </c>
      <c r="D236" s="23"/>
      <c r="E236" s="23" t="str">
        <f t="shared" si="3"/>
        <v>INSERT INTO public.medical_supply_product_variant (additional_desc, code, product_code) VALUES (NULL, 'PRODUCT-00127-001', 'PRODUCT-00127');</v>
      </c>
    </row>
    <row r="237" spans="1:5" x14ac:dyDescent="0.25">
      <c r="A237" s="23" t="str">
        <f>B237&amp;"-"&amp;TEXT(COUNTIF(B$2:B237,B237),"000")</f>
        <v>PRODUCT-00128-001</v>
      </c>
      <c r="B237" s="23" t="s">
        <v>689</v>
      </c>
      <c r="C237" s="23" t="str">
        <f>IFERROR(INDEX(Product!$B:$B,MATCH(B237,Product!$A:$A,0)),"NOT FOUND")</f>
        <v>[ICU Medical] Bộ mở khí quản nhanh qua da - PORTEX Percutaneous Dilation Tracheostomy Kit</v>
      </c>
      <c r="D237" s="23"/>
      <c r="E237" s="23" t="str">
        <f t="shared" si="3"/>
        <v>INSERT INTO public.medical_supply_product_variant (additional_desc, code, product_code) VALUES (NULL, 'PRODUCT-00128-001', 'PRODUCT-00128');</v>
      </c>
    </row>
    <row r="238" spans="1:5" ht="45" x14ac:dyDescent="0.25">
      <c r="A238" s="23" t="str">
        <f>B238&amp;"-"&amp;TEXT(COUNTIF(B$2:B238,B238),"000")</f>
        <v>PRODUCT-00129-001</v>
      </c>
      <c r="B238" s="23" t="s">
        <v>690</v>
      </c>
      <c r="C238" s="23" t="str">
        <f>IFERROR(INDEX(Product!$B:$B,MATCH(B238,Product!$A:$A,0)),"NOT FOUND")</f>
        <v>[Idealcare] Cây nòng đặt nội khí quản thường - Stylet</v>
      </c>
      <c r="D238" s="1" t="s">
        <v>2095</v>
      </c>
      <c r="E238" s="23" t="str">
        <f t="shared" si="3"/>
        <v>INSERT INTO public.medical_supply_product_variant (additional_desc, code, product_code) VALUES ('Size: 6Fr (2.0mm)
Chiều dài: 305 mm
Đối tượng sử dụng: Trẻ sơ sinh', 'PRODUCT-00129-001', 'PRODUCT-00129');</v>
      </c>
    </row>
    <row r="239" spans="1:5" ht="45" x14ac:dyDescent="0.25">
      <c r="A239" s="23" t="str">
        <f>B239&amp;"-"&amp;TEXT(COUNTIF(B$2:B239,B239),"000")</f>
        <v>PRODUCT-00129-002</v>
      </c>
      <c r="B239" s="23" t="s">
        <v>690</v>
      </c>
      <c r="C239" s="23" t="str">
        <f>IFERROR(INDEX(Product!$B:$B,MATCH(B239,Product!$A:$A,0)),"NOT FOUND")</f>
        <v>[Idealcare] Cây nòng đặt nội khí quản thường - Stylet</v>
      </c>
      <c r="D239" s="1" t="s">
        <v>2096</v>
      </c>
      <c r="E239" s="23" t="str">
        <f t="shared" si="3"/>
        <v>INSERT INTO public.medical_supply_product_variant (additional_desc, code, product_code) VALUES ('Size: 10Fr (3.3mm)
Chiều dài: 390 mm
Đối tượng sử dụng: Trẻ em', 'PRODUCT-00129-002', 'PRODUCT-00129');</v>
      </c>
    </row>
    <row r="240" spans="1:5" ht="45" x14ac:dyDescent="0.25">
      <c r="A240" s="23" t="str">
        <f>B240&amp;"-"&amp;TEXT(COUNTIF(B$2:B240,B240),"000")</f>
        <v>PRODUCT-00129-003</v>
      </c>
      <c r="B240" s="23" t="s">
        <v>690</v>
      </c>
      <c r="C240" s="23" t="str">
        <f>IFERROR(INDEX(Product!$B:$B,MATCH(B240,Product!$A:$A,0)),"NOT FOUND")</f>
        <v>[Idealcare] Cây nòng đặt nội khí quản thường - Stylet</v>
      </c>
      <c r="D240" s="1" t="s">
        <v>2097</v>
      </c>
      <c r="E240" s="23" t="str">
        <f t="shared" si="3"/>
        <v>INSERT INTO public.medical_supply_product_variant (additional_desc, code, product_code) VALUES ('Size: 14Fr (4.7mm)
Chiều dài: 420 mm
Đối tượng sử dụng: Người lớn', 'PRODUCT-00129-003', 'PRODUCT-00129');</v>
      </c>
    </row>
    <row r="241" spans="1:5" x14ac:dyDescent="0.25">
      <c r="A241" s="23" t="str">
        <f>B241&amp;"-"&amp;TEXT(COUNTIF(B$2:B241,B241),"000")</f>
        <v>PRODUCT-00130-001</v>
      </c>
      <c r="B241" s="23" t="s">
        <v>691</v>
      </c>
      <c r="C241" s="23" t="str">
        <f>IFERROR(INDEX(Product!$B:$B,MATCH(B241,Product!$A:$A,0)),"NOT FOUND")</f>
        <v>[iMedicare] Máy tạo oxy 5 lít - OC-5LH</v>
      </c>
      <c r="D241" s="23"/>
      <c r="E241" s="23" t="str">
        <f t="shared" si="3"/>
        <v>INSERT INTO public.medical_supply_product_variant (additional_desc, code, product_code) VALUES (NULL, 'PRODUCT-00130-001', 'PRODUCT-00130');</v>
      </c>
    </row>
    <row r="242" spans="1:5" x14ac:dyDescent="0.25">
      <c r="A242" s="23" t="str">
        <f>B242&amp;"-"&amp;TEXT(COUNTIF(B$2:B242,B242),"000")</f>
        <v>PRODUCT-00131-001</v>
      </c>
      <c r="B242" s="23" t="s">
        <v>692</v>
      </c>
      <c r="C242" s="23" t="str">
        <f>IFERROR(INDEX(Product!$B:$B,MATCH(B242,Product!$A:$A,0)),"NOT FOUND")</f>
        <v>[Lohmann-Rauscher] Gạc mở khí quản vô trùng - Metalline (8cmx9cm)</v>
      </c>
      <c r="D242" s="23"/>
      <c r="E242" s="23" t="str">
        <f t="shared" si="3"/>
        <v>INSERT INTO public.medical_supply_product_variant (additional_desc, code, product_code) VALUES (NULL, 'PRODUCT-00131-001', 'PRODUCT-00131');</v>
      </c>
    </row>
    <row r="243" spans="1:5" x14ac:dyDescent="0.25">
      <c r="A243" s="23" t="str">
        <f>B243&amp;"-"&amp;TEXT(COUNTIF(B$2:B243,B243),"000")</f>
        <v>PRODUCT-00132-001</v>
      </c>
      <c r="B243" s="23" t="s">
        <v>693</v>
      </c>
      <c r="C243" s="23" t="str">
        <f>IFERROR(INDEX(Product!$B:$B,MATCH(B243,Product!$A:$A,0)),"NOT FOUND")</f>
        <v>[Long-term Health] Gạc xốp đặt xung quanh ống mở khí quản (7cmx11cm)</v>
      </c>
      <c r="D243" s="23"/>
      <c r="E243" s="23" t="str">
        <f t="shared" si="3"/>
        <v>INSERT INTO public.medical_supply_product_variant (additional_desc, code, product_code) VALUES (NULL, 'PRODUCT-00132-001', 'PRODUCT-00132');</v>
      </c>
    </row>
    <row r="244" spans="1:5" x14ac:dyDescent="0.25">
      <c r="A244" s="23" t="str">
        <f>B244&amp;"-"&amp;TEXT(COUNTIF(B$2:B244,B244),"000")</f>
        <v>PRODUCT-00133-001</v>
      </c>
      <c r="B244" s="23" t="s">
        <v>694</v>
      </c>
      <c r="C244" s="23" t="str">
        <f>IFERROR(INDEX(Product!$B:$B,MATCH(B244,Product!$A:$A,0)),"NOT FOUND")</f>
        <v>[Long-term Health] Gạc xốp răng cưa đặt xung quanh ống mở khí quản (10cmx10cm)</v>
      </c>
      <c r="D244" s="23"/>
      <c r="E244" s="23" t="str">
        <f t="shared" si="3"/>
        <v>INSERT INTO public.medical_supply_product_variant (additional_desc, code, product_code) VALUES (NULL, 'PRODUCT-00133-001', 'PRODUCT-00133');</v>
      </c>
    </row>
    <row r="245" spans="1:5" x14ac:dyDescent="0.25">
      <c r="A245" s="23" t="str">
        <f>B245&amp;"-"&amp;TEXT(COUNTIF(B$2:B245,B245),"000")</f>
        <v>PRODUCT-00134-001</v>
      </c>
      <c r="B245" s="23" t="s">
        <v>695</v>
      </c>
      <c r="C245" s="23" t="str">
        <f>IFERROR(INDEX(Product!$B:$B,MATCH(B245,Product!$A:$A,0)),"NOT FOUND")</f>
        <v>[Medis Medical] Ống nội khí quản có bóng kèm van đo áp lực bóng - Cuff-Safe® AccuCuff</v>
      </c>
      <c r="D245" s="23"/>
      <c r="E245" s="23" t="str">
        <f t="shared" si="3"/>
        <v>INSERT INTO public.medical_supply_product_variant (additional_desc, code, product_code) VALUES (NULL, 'PRODUCT-00134-001', 'PRODUCT-00134');</v>
      </c>
    </row>
    <row r="246" spans="1:5" x14ac:dyDescent="0.25">
      <c r="A246" s="23" t="str">
        <f>B246&amp;"-"&amp;TEXT(COUNTIF(B$2:B246,B246),"000")</f>
        <v>PRODUCT-00135-001</v>
      </c>
      <c r="B246" s="23" t="s">
        <v>696</v>
      </c>
      <c r="C246" s="23" t="str">
        <f>IFERROR(INDEX(Product!$B:$B,MATCH(B246,Product!$A:$A,0)),"NOT FOUND")</f>
        <v>[Medis Medical] Ống nội khí quản có hút trên bóng kèm van đo áp lực bóng - AccuCuff</v>
      </c>
      <c r="D246" s="23"/>
      <c r="E246" s="23" t="str">
        <f t="shared" si="3"/>
        <v>INSERT INTO public.medical_supply_product_variant (additional_desc, code, product_code) VALUES (NULL, 'PRODUCT-00135-001', 'PRODUCT-00135');</v>
      </c>
    </row>
    <row r="247" spans="1:5" x14ac:dyDescent="0.25">
      <c r="A247" s="23" t="str">
        <f>B247&amp;"-"&amp;TEXT(COUNTIF(B$2:B247,B247),"000")</f>
        <v>PRODUCT-00136-001</v>
      </c>
      <c r="B247" s="27" t="s">
        <v>697</v>
      </c>
      <c r="C247" s="23" t="str">
        <f>IFERROR(INDEX(Product!$B:$B,MATCH(B247,Product!$A:$A,0)),"NOT FOUND")</f>
        <v>[Meditera] Làm ẩm mở khí quản (mũi nhân tạo)</v>
      </c>
      <c r="D247" s="23"/>
      <c r="E247" s="23" t="str">
        <f t="shared" si="3"/>
        <v>INSERT INTO public.medical_supply_product_variant (additional_desc, code, product_code) VALUES (NULL, 'PRODUCT-00136-001', 'PRODUCT-00136');</v>
      </c>
    </row>
    <row r="248" spans="1:5" x14ac:dyDescent="0.25">
      <c r="A248" s="23" t="str">
        <f>B248&amp;"-"&amp;TEXT(COUNTIF(B$2:B248,B248),"000")</f>
        <v>PRODUCT-00137-001</v>
      </c>
      <c r="B248" s="23" t="s">
        <v>698</v>
      </c>
      <c r="C248" s="23" t="str">
        <f>IFERROR(INDEX(Product!$B:$B,MATCH(B248,Product!$A:$A,0)),"NOT FOUND")</f>
        <v>[Meditera] Phin lọc máy thở 3 chức năng - HME</v>
      </c>
      <c r="D248" s="23" t="s">
        <v>1175</v>
      </c>
      <c r="E248" s="23" t="str">
        <f t="shared" si="3"/>
        <v>INSERT INTO public.medical_supply_product_variant (additional_desc, code, product_code) VALUES ('Người lớn', 'PRODUCT-00137-001', 'PRODUCT-00137');</v>
      </c>
    </row>
    <row r="249" spans="1:5" x14ac:dyDescent="0.25">
      <c r="A249" s="23" t="str">
        <f>B249&amp;"-"&amp;TEXT(COUNTIF(B$2:B249,B249),"000")</f>
        <v>PRODUCT-00137-002</v>
      </c>
      <c r="B249" s="23" t="s">
        <v>698</v>
      </c>
      <c r="C249" s="23" t="str">
        <f>IFERROR(INDEX(Product!$B:$B,MATCH(B249,Product!$A:$A,0)),"NOT FOUND")</f>
        <v>[Meditera] Phin lọc máy thở 3 chức năng - HME</v>
      </c>
      <c r="D249" s="23" t="s">
        <v>1176</v>
      </c>
      <c r="E249" s="23" t="str">
        <f t="shared" si="3"/>
        <v>INSERT INTO public.medical_supply_product_variant (additional_desc, code, product_code) VALUES ('Trẻ em', 'PRODUCT-00137-002', 'PRODUCT-00137');</v>
      </c>
    </row>
    <row r="250" spans="1:5" x14ac:dyDescent="0.25">
      <c r="A250" s="23" t="str">
        <f>B250&amp;"-"&amp;TEXT(COUNTIF(B$2:B250,B250),"000")</f>
        <v>PRODUCT-00138-001</v>
      </c>
      <c r="B250" s="23" t="s">
        <v>699</v>
      </c>
      <c r="C250" s="23" t="str">
        <f>IFERROR(INDEX(Product!$B:$B,MATCH(B250,Product!$A:$A,0)),"NOT FOUND")</f>
        <v>[Mera Senko] Nòng trong ống mở khí quản có cửa sổ - Sofit Canula</v>
      </c>
      <c r="D250" s="23" t="s">
        <v>2098</v>
      </c>
      <c r="E250" s="23" t="str">
        <f t="shared" si="3"/>
        <v>INSERT INTO public.medical_supply_product_variant (additional_desc, code, product_code) VALUES ('Đầu nối: 15 mm', 'PRODUCT-00138-001', 'PRODUCT-00138');</v>
      </c>
    </row>
    <row r="251" spans="1:5" x14ac:dyDescent="0.25">
      <c r="A251" s="23" t="str">
        <f>B251&amp;"-"&amp;TEXT(COUNTIF(B$2:B251,B251),"000")</f>
        <v>PRODUCT-00138-002</v>
      </c>
      <c r="B251" s="23" t="s">
        <v>699</v>
      </c>
      <c r="C251" s="23" t="str">
        <f>IFERROR(INDEX(Product!$B:$B,MATCH(B251,Product!$A:$A,0)),"NOT FOUND")</f>
        <v>[Mera Senko] Nòng trong ống mở khí quản có cửa sổ - Sofit Canula</v>
      </c>
      <c r="D251" s="23" t="s">
        <v>2098</v>
      </c>
      <c r="E251" s="23" t="str">
        <f t="shared" si="3"/>
        <v>INSERT INTO public.medical_supply_product_variant (additional_desc, code, product_code) VALUES ('Đầu nối: 15 mm', 'PRODUCT-00138-002', 'PRODUCT-00138');</v>
      </c>
    </row>
    <row r="252" spans="1:5" x14ac:dyDescent="0.25">
      <c r="A252" s="23" t="str">
        <f>B252&amp;"-"&amp;TEXT(COUNTIF(B$2:B252,B252),"000")</f>
        <v>PRODUCT-00139-001</v>
      </c>
      <c r="B252" s="23" t="s">
        <v>700</v>
      </c>
      <c r="C252" s="23" t="str">
        <f>IFERROR(INDEX(Product!$B:$B,MATCH(B252,Product!$A:$A,0)),"NOT FOUND")</f>
        <v>[Mera Senko] Nòng trong ống mở khí quản không cửa sổ - Sofit Canula</v>
      </c>
      <c r="D252" s="23"/>
      <c r="E252" s="23" t="str">
        <f t="shared" si="3"/>
        <v>INSERT INTO public.medical_supply_product_variant (additional_desc, code, product_code) VALUES (NULL, 'PRODUCT-00139-001', 'PRODUCT-00139');</v>
      </c>
    </row>
    <row r="253" spans="1:5" x14ac:dyDescent="0.25">
      <c r="A253" s="23" t="str">
        <f>B253&amp;"-"&amp;TEXT(COUNTIF(B$2:B253,B253),"000")</f>
        <v>PRODUCT-00139-002</v>
      </c>
      <c r="B253" s="23" t="s">
        <v>700</v>
      </c>
      <c r="C253" s="23" t="str">
        <f>IFERROR(INDEX(Product!$B:$B,MATCH(B253,Product!$A:$A,0)),"NOT FOUND")</f>
        <v>[Mera Senko] Nòng trong ống mở khí quản không cửa sổ - Sofit Canula</v>
      </c>
      <c r="D253" s="23"/>
      <c r="E253" s="23" t="str">
        <f t="shared" si="3"/>
        <v>INSERT INTO public.medical_supply_product_variant (additional_desc, code, product_code) VALUES (NULL, 'PRODUCT-00139-002', 'PRODUCT-00139');</v>
      </c>
    </row>
    <row r="254" spans="1:5" ht="45" x14ac:dyDescent="0.25">
      <c r="A254" s="23" t="str">
        <f>B254&amp;"-"&amp;TEXT(COUNTIF(B$2:B254,B254),"000")</f>
        <v>PRODUCT-00140-001</v>
      </c>
      <c r="B254" s="23" t="s">
        <v>701</v>
      </c>
      <c r="C254" s="23" t="str">
        <f>IFERROR(INDEX(Product!$B:$B,MATCH(B254,Product!$A:$A,0)),"NOT FOUND")</f>
        <v>[Mera Senko] Ống mở khí quản 2 nòng có bóng - Sofit D-C</v>
      </c>
      <c r="D254" s="1" t="s">
        <v>2099</v>
      </c>
      <c r="E254" s="23" t="str">
        <f t="shared" si="3"/>
        <v>INSERT INTO public.medical_supply_product_variant (additional_desc, code, product_code) VALUES ('Đường kính trong ID: 5.0 mm
Đường kính ngoài OD: 8.6 mm
Chiều dài: 55 mm', 'PRODUCT-00140-001', 'PRODUCT-00140');</v>
      </c>
    </row>
    <row r="255" spans="1:5" ht="45" x14ac:dyDescent="0.25">
      <c r="A255" s="23" t="str">
        <f>B255&amp;"-"&amp;TEXT(COUNTIF(B$2:B255,B255),"000")</f>
        <v>PRODUCT-00140-002</v>
      </c>
      <c r="B255" s="23" t="s">
        <v>701</v>
      </c>
      <c r="C255" s="23" t="str">
        <f>IFERROR(INDEX(Product!$B:$B,MATCH(B255,Product!$A:$A,0)),"NOT FOUND")</f>
        <v>[Mera Senko] Ống mở khí quản 2 nòng có bóng - Sofit D-C</v>
      </c>
      <c r="D255" s="1" t="s">
        <v>2100</v>
      </c>
      <c r="E255" s="23" t="str">
        <f t="shared" si="3"/>
        <v>INSERT INTO public.medical_supply_product_variant (additional_desc, code, product_code) VALUES ('Đường kính trong ID: 6.0 mm
Đường kính ngoài OD: 9.7 mm
Chiều dài: 64 mm', 'PRODUCT-00140-002', 'PRODUCT-00140');</v>
      </c>
    </row>
    <row r="256" spans="1:5" ht="45" x14ac:dyDescent="0.25">
      <c r="A256" s="23" t="str">
        <f>B256&amp;"-"&amp;TEXT(COUNTIF(B$2:B256,B256),"000")</f>
        <v>PRODUCT-00140-003</v>
      </c>
      <c r="B256" s="23" t="s">
        <v>701</v>
      </c>
      <c r="C256" s="23" t="str">
        <f>IFERROR(INDEX(Product!$B:$B,MATCH(B256,Product!$A:$A,0)),"NOT FOUND")</f>
        <v>[Mera Senko] Ống mở khí quản 2 nòng có bóng - Sofit D-C</v>
      </c>
      <c r="D256" s="1" t="s">
        <v>2101</v>
      </c>
      <c r="E256" s="23" t="str">
        <f t="shared" si="3"/>
        <v>INSERT INTO public.medical_supply_product_variant (additional_desc, code, product_code) VALUES ('Đường kính trong ID: 7.0 mm
Đường kính ngoài OD: 10.8 mm
Chiều dài: 70 mm', 'PRODUCT-00140-003', 'PRODUCT-00140');</v>
      </c>
    </row>
    <row r="257" spans="1:5" ht="45" x14ac:dyDescent="0.25">
      <c r="A257" s="23" t="str">
        <f>B257&amp;"-"&amp;TEXT(COUNTIF(B$2:B257,B257),"000")</f>
        <v>PRODUCT-00140-004</v>
      </c>
      <c r="B257" s="23" t="s">
        <v>701</v>
      </c>
      <c r="C257" s="23" t="str">
        <f>IFERROR(INDEX(Product!$B:$B,MATCH(B257,Product!$A:$A,0)),"NOT FOUND")</f>
        <v>[Mera Senko] Ống mở khí quản 2 nòng có bóng - Sofit D-C</v>
      </c>
      <c r="D257" s="1" t="s">
        <v>2102</v>
      </c>
      <c r="E257" s="23" t="str">
        <f t="shared" si="3"/>
        <v>INSERT INTO public.medical_supply_product_variant (additional_desc, code, product_code) VALUES ('Đường kính trong ID: 8.0 mm
Đường kính ngoài OD: 12.0 mm
Chiều dài: 75 mm', 'PRODUCT-00140-004', 'PRODUCT-00140');</v>
      </c>
    </row>
    <row r="258" spans="1:5" ht="45" x14ac:dyDescent="0.25">
      <c r="A258" s="23" t="str">
        <f>B258&amp;"-"&amp;TEXT(COUNTIF(B$2:B258,B258),"000")</f>
        <v>PRODUCT-00141-001</v>
      </c>
      <c r="B258" s="23" t="s">
        <v>702</v>
      </c>
      <c r="C258" s="23" t="str">
        <f>IFERROR(INDEX(Product!$B:$B,MATCH(B258,Product!$A:$A,0)),"NOT FOUND")</f>
        <v>[Mera Senko] Ống mở khí quản 2 nòng có bóng kèm ống hút trên bóng - Sofit D-CS</v>
      </c>
      <c r="D258" s="1" t="s">
        <v>2099</v>
      </c>
      <c r="E258" s="23" t="str">
        <f t="shared" si="3"/>
        <v>INSERT INTO public.medical_supply_product_variant (additional_desc, code, product_code) VALUES ('Đường kính trong ID: 5.0 mm
Đường kính ngoài OD: 8.6 mm
Chiều dài: 55 mm', 'PRODUCT-00141-001', 'PRODUCT-00141');</v>
      </c>
    </row>
    <row r="259" spans="1:5" ht="45" x14ac:dyDescent="0.25">
      <c r="A259" s="23" t="str">
        <f>B259&amp;"-"&amp;TEXT(COUNTIF(B$2:B259,B259),"000")</f>
        <v>PRODUCT-00141-002</v>
      </c>
      <c r="B259" s="23" t="s">
        <v>702</v>
      </c>
      <c r="C259" s="23" t="str">
        <f>IFERROR(INDEX(Product!$B:$B,MATCH(B259,Product!$A:$A,0)),"NOT FOUND")</f>
        <v>[Mera Senko] Ống mở khí quản 2 nòng có bóng kèm ống hút trên bóng - Sofit D-CS</v>
      </c>
      <c r="D259" s="1" t="s">
        <v>2100</v>
      </c>
      <c r="E259" s="23" t="str">
        <f t="shared" ref="E259:E322" si="4">"INSERT INTO public.medical_supply_product_variant (additional_desc, code, product_code) VALUES ("&amp;IF(D259="","NULL","'"&amp;SUBSTITUTE(D259,"'","''")&amp;"'")&amp;", '"&amp;A259&amp;"', '"&amp;B259&amp;"');"</f>
        <v>INSERT INTO public.medical_supply_product_variant (additional_desc, code, product_code) VALUES ('Đường kính trong ID: 6.0 mm
Đường kính ngoài OD: 9.7 mm
Chiều dài: 64 mm', 'PRODUCT-00141-002', 'PRODUCT-00141');</v>
      </c>
    </row>
    <row r="260" spans="1:5" ht="45" x14ac:dyDescent="0.25">
      <c r="A260" s="23" t="str">
        <f>B260&amp;"-"&amp;TEXT(COUNTIF(B$2:B260,B260),"000")</f>
        <v>PRODUCT-00141-003</v>
      </c>
      <c r="B260" s="23" t="s">
        <v>702</v>
      </c>
      <c r="C260" s="23" t="str">
        <f>IFERROR(INDEX(Product!$B:$B,MATCH(B260,Product!$A:$A,0)),"NOT FOUND")</f>
        <v>[Mera Senko] Ống mở khí quản 2 nòng có bóng kèm ống hút trên bóng - Sofit D-CS</v>
      </c>
      <c r="D260" s="1" t="s">
        <v>2101</v>
      </c>
      <c r="E260" s="23" t="str">
        <f t="shared" si="4"/>
        <v>INSERT INTO public.medical_supply_product_variant (additional_desc, code, product_code) VALUES ('Đường kính trong ID: 7.0 mm
Đường kính ngoài OD: 10.8 mm
Chiều dài: 70 mm', 'PRODUCT-00141-003', 'PRODUCT-00141');</v>
      </c>
    </row>
    <row r="261" spans="1:5" ht="45" x14ac:dyDescent="0.25">
      <c r="A261" s="23" t="str">
        <f>B261&amp;"-"&amp;TEXT(COUNTIF(B$2:B261,B261),"000")</f>
        <v>PRODUCT-00141-004</v>
      </c>
      <c r="B261" s="23" t="s">
        <v>702</v>
      </c>
      <c r="C261" s="23" t="str">
        <f>IFERROR(INDEX(Product!$B:$B,MATCH(B261,Product!$A:$A,0)),"NOT FOUND")</f>
        <v>[Mera Senko] Ống mở khí quản 2 nòng có bóng kèm ống hút trên bóng - Sofit D-CS</v>
      </c>
      <c r="D261" s="1" t="s">
        <v>2102</v>
      </c>
      <c r="E261" s="23" t="str">
        <f t="shared" si="4"/>
        <v>INSERT INTO public.medical_supply_product_variant (additional_desc, code, product_code) VALUES ('Đường kính trong ID: 8.0 mm
Đường kính ngoài OD: 12.0 mm
Chiều dài: 75 mm', 'PRODUCT-00141-004', 'PRODUCT-00141');</v>
      </c>
    </row>
    <row r="262" spans="1:5" ht="45" x14ac:dyDescent="0.25">
      <c r="A262" s="23" t="str">
        <f>B262&amp;"-"&amp;TEXT(COUNTIF(B$2:B262,B262),"000")</f>
        <v>PRODUCT-00142-001</v>
      </c>
      <c r="B262" s="23" t="s">
        <v>703</v>
      </c>
      <c r="C262" s="23" t="str">
        <f>IFERROR(INDEX(Product!$B:$B,MATCH(B262,Product!$A:$A,0)),"NOT FOUND")</f>
        <v>[Mera Senko] Ống mở khí quản 2 nòng có bóng, có cửa sổ - Sofit D-CF</v>
      </c>
      <c r="D262" s="1" t="s">
        <v>2099</v>
      </c>
      <c r="E262" s="23" t="str">
        <f t="shared" si="4"/>
        <v>INSERT INTO public.medical_supply_product_variant (additional_desc, code, product_code) VALUES ('Đường kính trong ID: 5.0 mm
Đường kính ngoài OD: 8.6 mm
Chiều dài: 55 mm', 'PRODUCT-00142-001', 'PRODUCT-00142');</v>
      </c>
    </row>
    <row r="263" spans="1:5" ht="45" x14ac:dyDescent="0.25">
      <c r="A263" s="23" t="str">
        <f>B263&amp;"-"&amp;TEXT(COUNTIF(B$2:B263,B263),"000")</f>
        <v>PRODUCT-00142-002</v>
      </c>
      <c r="B263" s="23" t="s">
        <v>703</v>
      </c>
      <c r="C263" s="23" t="str">
        <f>IFERROR(INDEX(Product!$B:$B,MATCH(B263,Product!$A:$A,0)),"NOT FOUND")</f>
        <v>[Mera Senko] Ống mở khí quản 2 nòng có bóng, có cửa sổ - Sofit D-CF</v>
      </c>
      <c r="D263" s="1" t="s">
        <v>2100</v>
      </c>
      <c r="E263" s="23" t="str">
        <f t="shared" si="4"/>
        <v>INSERT INTO public.medical_supply_product_variant (additional_desc, code, product_code) VALUES ('Đường kính trong ID: 6.0 mm
Đường kính ngoài OD: 9.7 mm
Chiều dài: 64 mm', 'PRODUCT-00142-002', 'PRODUCT-00142');</v>
      </c>
    </row>
    <row r="264" spans="1:5" ht="45" x14ac:dyDescent="0.25">
      <c r="A264" s="23" t="str">
        <f>B264&amp;"-"&amp;TEXT(COUNTIF(B$2:B264,B264),"000")</f>
        <v>PRODUCT-00142-003</v>
      </c>
      <c r="B264" s="23" t="s">
        <v>703</v>
      </c>
      <c r="C264" s="23" t="str">
        <f>IFERROR(INDEX(Product!$B:$B,MATCH(B264,Product!$A:$A,0)),"NOT FOUND")</f>
        <v>[Mera Senko] Ống mở khí quản 2 nòng có bóng, có cửa sổ - Sofit D-CF</v>
      </c>
      <c r="D264" s="1" t="s">
        <v>2101</v>
      </c>
      <c r="E264" s="23" t="str">
        <f t="shared" si="4"/>
        <v>INSERT INTO public.medical_supply_product_variant (additional_desc, code, product_code) VALUES ('Đường kính trong ID: 7.0 mm
Đường kính ngoài OD: 10.8 mm
Chiều dài: 70 mm', 'PRODUCT-00142-003', 'PRODUCT-00142');</v>
      </c>
    </row>
    <row r="265" spans="1:5" ht="45" x14ac:dyDescent="0.25">
      <c r="A265" s="23" t="str">
        <f>B265&amp;"-"&amp;TEXT(COUNTIF(B$2:B265,B265),"000")</f>
        <v>PRODUCT-00142-004</v>
      </c>
      <c r="B265" s="23" t="s">
        <v>703</v>
      </c>
      <c r="C265" s="23" t="str">
        <f>IFERROR(INDEX(Product!$B:$B,MATCH(B265,Product!$A:$A,0)),"NOT FOUND")</f>
        <v>[Mera Senko] Ống mở khí quản 2 nòng có bóng, có cửa sổ - Sofit D-CF</v>
      </c>
      <c r="D265" s="1" t="s">
        <v>2102</v>
      </c>
      <c r="E265" s="23" t="str">
        <f t="shared" si="4"/>
        <v>INSERT INTO public.medical_supply_product_variant (additional_desc, code, product_code) VALUES ('Đường kính trong ID: 8.0 mm
Đường kính ngoài OD: 12.0 mm
Chiều dài: 75 mm', 'PRODUCT-00142-004', 'PRODUCT-00142');</v>
      </c>
    </row>
    <row r="266" spans="1:5" ht="45" x14ac:dyDescent="0.25">
      <c r="A266" s="23" t="str">
        <f>B266&amp;"-"&amp;TEXT(COUNTIF(B$2:B266,B266),"000")</f>
        <v>PRODUCT-00143-001</v>
      </c>
      <c r="B266" s="23" t="s">
        <v>704</v>
      </c>
      <c r="C266" s="23" t="str">
        <f>IFERROR(INDEX(Product!$B:$B,MATCH(B266,Product!$A:$A,0)),"NOT FOUND")</f>
        <v>[Mera Senko] Ống mở khí quản 2 nòng có bóng, có cửa sổ kèm ống hút trên bóng - Sofit D-CFS</v>
      </c>
      <c r="D266" s="1" t="s">
        <v>2099</v>
      </c>
      <c r="E266" s="23" t="str">
        <f t="shared" si="4"/>
        <v>INSERT INTO public.medical_supply_product_variant (additional_desc, code, product_code) VALUES ('Đường kính trong ID: 5.0 mm
Đường kính ngoài OD: 8.6 mm
Chiều dài: 55 mm', 'PRODUCT-00143-001', 'PRODUCT-00143');</v>
      </c>
    </row>
    <row r="267" spans="1:5" ht="45" x14ac:dyDescent="0.25">
      <c r="A267" s="23" t="str">
        <f>B267&amp;"-"&amp;TEXT(COUNTIF(B$2:B267,B267),"000")</f>
        <v>PRODUCT-00143-002</v>
      </c>
      <c r="B267" s="23" t="s">
        <v>704</v>
      </c>
      <c r="C267" s="23" t="str">
        <f>IFERROR(INDEX(Product!$B:$B,MATCH(B267,Product!$A:$A,0)),"NOT FOUND")</f>
        <v>[Mera Senko] Ống mở khí quản 2 nòng có bóng, có cửa sổ kèm ống hút trên bóng - Sofit D-CFS</v>
      </c>
      <c r="D267" s="1" t="s">
        <v>2100</v>
      </c>
      <c r="E267" s="23" t="str">
        <f t="shared" si="4"/>
        <v>INSERT INTO public.medical_supply_product_variant (additional_desc, code, product_code) VALUES ('Đường kính trong ID: 6.0 mm
Đường kính ngoài OD: 9.7 mm
Chiều dài: 64 mm', 'PRODUCT-00143-002', 'PRODUCT-00143');</v>
      </c>
    </row>
    <row r="268" spans="1:5" ht="45" x14ac:dyDescent="0.25">
      <c r="A268" s="23" t="str">
        <f>B268&amp;"-"&amp;TEXT(COUNTIF(B$2:B268,B268),"000")</f>
        <v>PRODUCT-00143-003</v>
      </c>
      <c r="B268" s="23" t="s">
        <v>704</v>
      </c>
      <c r="C268" s="23" t="str">
        <f>IFERROR(INDEX(Product!$B:$B,MATCH(B268,Product!$A:$A,0)),"NOT FOUND")</f>
        <v>[Mera Senko] Ống mở khí quản 2 nòng có bóng, có cửa sổ kèm ống hút trên bóng - Sofit D-CFS</v>
      </c>
      <c r="D268" s="1" t="s">
        <v>2101</v>
      </c>
      <c r="E268" s="23" t="str">
        <f t="shared" si="4"/>
        <v>INSERT INTO public.medical_supply_product_variant (additional_desc, code, product_code) VALUES ('Đường kính trong ID: 7.0 mm
Đường kính ngoài OD: 10.8 mm
Chiều dài: 70 mm', 'PRODUCT-00143-003', 'PRODUCT-00143');</v>
      </c>
    </row>
    <row r="269" spans="1:5" ht="45" x14ac:dyDescent="0.25">
      <c r="A269" s="23" t="str">
        <f>B269&amp;"-"&amp;TEXT(COUNTIF(B$2:B269,B269),"000")</f>
        <v>PRODUCT-00143-004</v>
      </c>
      <c r="B269" s="23" t="s">
        <v>704</v>
      </c>
      <c r="C269" s="23" t="str">
        <f>IFERROR(INDEX(Product!$B:$B,MATCH(B269,Product!$A:$A,0)),"NOT FOUND")</f>
        <v>[Mera Senko] Ống mở khí quản 2 nòng có bóng, có cửa sổ kèm ống hút trên bóng - Sofit D-CFS</v>
      </c>
      <c r="D269" s="1" t="s">
        <v>2102</v>
      </c>
      <c r="E269" s="23" t="str">
        <f t="shared" si="4"/>
        <v>INSERT INTO public.medical_supply_product_variant (additional_desc, code, product_code) VALUES ('Đường kính trong ID: 8.0 mm
Đường kính ngoài OD: 12.0 mm
Chiều dài: 75 mm', 'PRODUCT-00143-004', 'PRODUCT-00143');</v>
      </c>
    </row>
    <row r="270" spans="1:5" ht="45" x14ac:dyDescent="0.25">
      <c r="A270" s="23" t="str">
        <f>B270&amp;"-"&amp;TEXT(COUNTIF(B$2:B270,B270),"000")</f>
        <v>PRODUCT-00144-001</v>
      </c>
      <c r="B270" s="23" t="s">
        <v>705</v>
      </c>
      <c r="C270" s="23" t="str">
        <f>IFERROR(INDEX(Product!$B:$B,MATCH(B270,Product!$A:$A,0)),"NOT FOUND")</f>
        <v>[Mera Senko] Ống mở khí quản 2 nòng không bóng - Sofit D-NC</v>
      </c>
      <c r="D270" s="1" t="s">
        <v>2099</v>
      </c>
      <c r="E270" s="23" t="str">
        <f t="shared" si="4"/>
        <v>INSERT INTO public.medical_supply_product_variant (additional_desc, code, product_code) VALUES ('Đường kính trong ID: 5.0 mm
Đường kính ngoài OD: 8.6 mm
Chiều dài: 55 mm', 'PRODUCT-00144-001', 'PRODUCT-00144');</v>
      </c>
    </row>
    <row r="271" spans="1:5" ht="45" x14ac:dyDescent="0.25">
      <c r="A271" s="23" t="str">
        <f>B271&amp;"-"&amp;TEXT(COUNTIF(B$2:B271,B271),"000")</f>
        <v>PRODUCT-00144-002</v>
      </c>
      <c r="B271" s="23" t="s">
        <v>705</v>
      </c>
      <c r="C271" s="23" t="str">
        <f>IFERROR(INDEX(Product!$B:$B,MATCH(B271,Product!$A:$A,0)),"NOT FOUND")</f>
        <v>[Mera Senko] Ống mở khí quản 2 nòng không bóng - Sofit D-NC</v>
      </c>
      <c r="D271" s="1" t="s">
        <v>2100</v>
      </c>
      <c r="E271" s="23" t="str">
        <f t="shared" si="4"/>
        <v>INSERT INTO public.medical_supply_product_variant (additional_desc, code, product_code) VALUES ('Đường kính trong ID: 6.0 mm
Đường kính ngoài OD: 9.7 mm
Chiều dài: 64 mm', 'PRODUCT-00144-002', 'PRODUCT-00144');</v>
      </c>
    </row>
    <row r="272" spans="1:5" ht="45" x14ac:dyDescent="0.25">
      <c r="A272" s="23" t="str">
        <f>B272&amp;"-"&amp;TEXT(COUNTIF(B$2:B272,B272),"000")</f>
        <v>PRODUCT-00144-003</v>
      </c>
      <c r="B272" s="23" t="s">
        <v>705</v>
      </c>
      <c r="C272" s="23" t="str">
        <f>IFERROR(INDEX(Product!$B:$B,MATCH(B272,Product!$A:$A,0)),"NOT FOUND")</f>
        <v>[Mera Senko] Ống mở khí quản 2 nòng không bóng - Sofit D-NC</v>
      </c>
      <c r="D272" s="1" t="s">
        <v>2101</v>
      </c>
      <c r="E272" s="23" t="str">
        <f t="shared" si="4"/>
        <v>INSERT INTO public.medical_supply_product_variant (additional_desc, code, product_code) VALUES ('Đường kính trong ID: 7.0 mm
Đường kính ngoài OD: 10.8 mm
Chiều dài: 70 mm', 'PRODUCT-00144-003', 'PRODUCT-00144');</v>
      </c>
    </row>
    <row r="273" spans="1:5" ht="45" x14ac:dyDescent="0.25">
      <c r="A273" s="23" t="str">
        <f>B273&amp;"-"&amp;TEXT(COUNTIF(B$2:B273,B273),"000")</f>
        <v>PRODUCT-00144-004</v>
      </c>
      <c r="B273" s="23" t="s">
        <v>705</v>
      </c>
      <c r="C273" s="23" t="str">
        <f>IFERROR(INDEX(Product!$B:$B,MATCH(B273,Product!$A:$A,0)),"NOT FOUND")</f>
        <v>[Mera Senko] Ống mở khí quản 2 nòng không bóng - Sofit D-NC</v>
      </c>
      <c r="D273" s="1" t="s">
        <v>2102</v>
      </c>
      <c r="E273" s="23" t="str">
        <f t="shared" si="4"/>
        <v>INSERT INTO public.medical_supply_product_variant (additional_desc, code, product_code) VALUES ('Đường kính trong ID: 8.0 mm
Đường kính ngoài OD: 12.0 mm
Chiều dài: 75 mm', 'PRODUCT-00144-004', 'PRODUCT-00144');</v>
      </c>
    </row>
    <row r="274" spans="1:5" ht="45" x14ac:dyDescent="0.25">
      <c r="A274" s="23" t="str">
        <f>B274&amp;"-"&amp;TEXT(COUNTIF(B$2:B274,B274),"000")</f>
        <v>PRODUCT-00145-001</v>
      </c>
      <c r="B274" s="23" t="s">
        <v>706</v>
      </c>
      <c r="C274" s="23" t="str">
        <f>IFERROR(INDEX(Product!$B:$B,MATCH(B274,Product!$A:$A,0)),"NOT FOUND")</f>
        <v>[Mera Senko] Ống mở khí quản 2 nòng không bóng, có cửa sổ - Sofit D-F</v>
      </c>
      <c r="D274" s="1" t="s">
        <v>2099</v>
      </c>
      <c r="E274" s="23" t="str">
        <f t="shared" si="4"/>
        <v>INSERT INTO public.medical_supply_product_variant (additional_desc, code, product_code) VALUES ('Đường kính trong ID: 5.0 mm
Đường kính ngoài OD: 8.6 mm
Chiều dài: 55 mm', 'PRODUCT-00145-001', 'PRODUCT-00145');</v>
      </c>
    </row>
    <row r="275" spans="1:5" ht="45" x14ac:dyDescent="0.25">
      <c r="A275" s="23" t="str">
        <f>B275&amp;"-"&amp;TEXT(COUNTIF(B$2:B275,B275),"000")</f>
        <v>PRODUCT-00145-002</v>
      </c>
      <c r="B275" s="23" t="s">
        <v>706</v>
      </c>
      <c r="C275" s="23" t="str">
        <f>IFERROR(INDEX(Product!$B:$B,MATCH(B275,Product!$A:$A,0)),"NOT FOUND")</f>
        <v>[Mera Senko] Ống mở khí quản 2 nòng không bóng, có cửa sổ - Sofit D-F</v>
      </c>
      <c r="D275" s="1" t="s">
        <v>2100</v>
      </c>
      <c r="E275" s="23" t="str">
        <f t="shared" si="4"/>
        <v>INSERT INTO public.medical_supply_product_variant (additional_desc, code, product_code) VALUES ('Đường kính trong ID: 6.0 mm
Đường kính ngoài OD: 9.7 mm
Chiều dài: 64 mm', 'PRODUCT-00145-002', 'PRODUCT-00145');</v>
      </c>
    </row>
    <row r="276" spans="1:5" ht="45" x14ac:dyDescent="0.25">
      <c r="A276" s="23" t="str">
        <f>B276&amp;"-"&amp;TEXT(COUNTIF(B$2:B276,B276),"000")</f>
        <v>PRODUCT-00145-003</v>
      </c>
      <c r="B276" s="23" t="s">
        <v>706</v>
      </c>
      <c r="C276" s="23" t="str">
        <f>IFERROR(INDEX(Product!$B:$B,MATCH(B276,Product!$A:$A,0)),"NOT FOUND")</f>
        <v>[Mera Senko] Ống mở khí quản 2 nòng không bóng, có cửa sổ - Sofit D-F</v>
      </c>
      <c r="D276" s="1" t="s">
        <v>2101</v>
      </c>
      <c r="E276" s="23" t="str">
        <f t="shared" si="4"/>
        <v>INSERT INTO public.medical_supply_product_variant (additional_desc, code, product_code) VALUES ('Đường kính trong ID: 7.0 mm
Đường kính ngoài OD: 10.8 mm
Chiều dài: 70 mm', 'PRODUCT-00145-003', 'PRODUCT-00145');</v>
      </c>
    </row>
    <row r="277" spans="1:5" ht="45" x14ac:dyDescent="0.25">
      <c r="A277" s="23" t="str">
        <f>B277&amp;"-"&amp;TEXT(COUNTIF(B$2:B277,B277),"000")</f>
        <v>PRODUCT-00145-004</v>
      </c>
      <c r="B277" s="23" t="s">
        <v>706</v>
      </c>
      <c r="C277" s="23" t="str">
        <f>IFERROR(INDEX(Product!$B:$B,MATCH(B277,Product!$A:$A,0)),"NOT FOUND")</f>
        <v>[Mera Senko] Ống mở khí quản 2 nòng không bóng, có cửa sổ - Sofit D-F</v>
      </c>
      <c r="D277" s="1" t="s">
        <v>2102</v>
      </c>
      <c r="E277" s="23" t="str">
        <f t="shared" si="4"/>
        <v>INSERT INTO public.medical_supply_product_variant (additional_desc, code, product_code) VALUES ('Đường kính trong ID: 8.0 mm
Đường kính ngoài OD: 12.0 mm
Chiều dài: 75 mm', 'PRODUCT-00145-004', 'PRODUCT-00145');</v>
      </c>
    </row>
    <row r="278" spans="1:5" x14ac:dyDescent="0.25">
      <c r="A278" s="23" t="str">
        <f>B278&amp;"-"&amp;TEXT(COUNTIF(B$2:B278,B278),"000")</f>
        <v>PRODUCT-00146-001</v>
      </c>
      <c r="B278" s="23" t="s">
        <v>707</v>
      </c>
      <c r="C278" s="23" t="str">
        <f>IFERROR(INDEX(Product!$B:$B,MATCH(B278,Product!$A:$A,0)),"NOT FOUND")</f>
        <v>[Mera Senko] Van tập nói - Sofit</v>
      </c>
      <c r="D278" s="23"/>
      <c r="E278" s="23" t="str">
        <f t="shared" si="4"/>
        <v>INSERT INTO public.medical_supply_product_variant (additional_desc, code, product_code) VALUES (NULL, 'PRODUCT-00146-001', 'PRODUCT-00146');</v>
      </c>
    </row>
    <row r="279" spans="1:5" x14ac:dyDescent="0.25">
      <c r="A279" s="23" t="str">
        <f>B279&amp;"-"&amp;TEXT(COUNTIF(B$2:B279,B279),"000")</f>
        <v>PRODUCT-00147-001</v>
      </c>
      <c r="B279" s="23" t="s">
        <v>708</v>
      </c>
      <c r="C279" s="23" t="str">
        <f>IFERROR(INDEX(Product!$B:$B,MATCH(B279,Product!$A:$A,0)),"NOT FOUND")</f>
        <v>[Omron] Máy xông khí dung - NE-C101</v>
      </c>
      <c r="D279" s="23"/>
      <c r="E279" s="23" t="str">
        <f t="shared" si="4"/>
        <v>INSERT INTO public.medical_supply_product_variant (additional_desc, code, product_code) VALUES (NULL, 'PRODUCT-00147-001', 'PRODUCT-00147');</v>
      </c>
    </row>
    <row r="280" spans="1:5" x14ac:dyDescent="0.25">
      <c r="A280" s="23" t="str">
        <f>B280&amp;"-"&amp;TEXT(COUNTIF(B$2:B280,B280),"000")</f>
        <v>PRODUCT-00148-001</v>
      </c>
      <c r="B280" s="23" t="s">
        <v>709</v>
      </c>
      <c r="C280" s="23" t="str">
        <f>IFERROR(INDEX(Product!$B:$B,MATCH(B280,Product!$A:$A,0)),"NOT FOUND")</f>
        <v>[Omron] Máy xông khí dung - NE-C106</v>
      </c>
      <c r="D280" s="23"/>
      <c r="E280" s="23" t="str">
        <f t="shared" si="4"/>
        <v>INSERT INTO public.medical_supply_product_variant (additional_desc, code, product_code) VALUES (NULL, 'PRODUCT-00148-001', 'PRODUCT-00148');</v>
      </c>
    </row>
    <row r="281" spans="1:5" x14ac:dyDescent="0.25">
      <c r="A281" s="23" t="str">
        <f>B281&amp;"-"&amp;TEXT(COUNTIF(B$2:B281,B281),"000")</f>
        <v>PRODUCT-00149-001</v>
      </c>
      <c r="B281" s="23" t="s">
        <v>710</v>
      </c>
      <c r="C281" s="23" t="str">
        <f>IFERROR(INDEX(Product!$B:$B,MATCH(B281,Product!$A:$A,0)),"NOT FOUND")</f>
        <v>[Omron] Máy xông khí dung - NE-C28</v>
      </c>
      <c r="D281" s="23"/>
      <c r="E281" s="23" t="str">
        <f t="shared" si="4"/>
        <v>INSERT INTO public.medical_supply_product_variant (additional_desc, code, product_code) VALUES (NULL, 'PRODUCT-00149-001', 'PRODUCT-00149');</v>
      </c>
    </row>
    <row r="282" spans="1:5" x14ac:dyDescent="0.25">
      <c r="A282" s="23" t="str">
        <f>B282&amp;"-"&amp;TEXT(COUNTIF(B$2:B282,B282),"000")</f>
        <v>PRODUCT-00150-001</v>
      </c>
      <c r="B282" s="23" t="s">
        <v>711</v>
      </c>
      <c r="C282" s="23" t="str">
        <f>IFERROR(INDEX(Product!$B:$B,MATCH(B282,Product!$A:$A,0)),"NOT FOUND")</f>
        <v>[Owgels] Máy tạo oxy 10 lít có xông khí dung - OZ-5-01GW0-10L</v>
      </c>
      <c r="D282" s="23"/>
      <c r="E282" s="23" t="str">
        <f t="shared" si="4"/>
        <v>INSERT INTO public.medical_supply_product_variant (additional_desc, code, product_code) VALUES (NULL, 'PRODUCT-00150-001', 'PRODUCT-00150');</v>
      </c>
    </row>
    <row r="283" spans="1:5" x14ac:dyDescent="0.25">
      <c r="A283" s="23" t="str">
        <f>B283&amp;"-"&amp;TEXT(COUNTIF(B$2:B283,B283),"000")</f>
        <v>PRODUCT-00151-001</v>
      </c>
      <c r="B283" s="23" t="s">
        <v>712</v>
      </c>
      <c r="C283" s="23" t="str">
        <f>IFERROR(INDEX(Product!$B:$B,MATCH(B283,Product!$A:$A,0)),"NOT FOUND")</f>
        <v>[Owgels] Máy tạo oxy 5 lít có xông khí dung - OZ-501PW0</v>
      </c>
      <c r="D283" s="23"/>
      <c r="E283" s="23" t="str">
        <f t="shared" si="4"/>
        <v>INSERT INTO public.medical_supply_product_variant (additional_desc, code, product_code) VALUES (NULL, 'PRODUCT-00151-001', 'PRODUCT-00151');</v>
      </c>
    </row>
    <row r="284" spans="1:5" x14ac:dyDescent="0.25">
      <c r="A284" s="23" t="str">
        <f>B284&amp;"-"&amp;TEXT(COUNTIF(B$2:B284,B284),"000")</f>
        <v>PRODUCT-00152-001</v>
      </c>
      <c r="B284" s="23" t="s">
        <v>713</v>
      </c>
      <c r="C284" s="23" t="str">
        <f>IFERROR(INDEX(Product!$B:$B,MATCH(B284,Product!$A:$A,0)),"NOT FOUND")</f>
        <v>[Owgels] Máy tạo oxy 5 lít có xông khí dung - OZ-501TW0</v>
      </c>
      <c r="D284" s="23"/>
      <c r="E284" s="23" t="str">
        <f t="shared" si="4"/>
        <v>INSERT INTO public.medical_supply_product_variant (additional_desc, code, product_code) VALUES (NULL, 'PRODUCT-00152-001', 'PRODUCT-00152');</v>
      </c>
    </row>
    <row r="285" spans="1:5" x14ac:dyDescent="0.25">
      <c r="A285" s="23" t="str">
        <f>B285&amp;"-"&amp;TEXT(COUNTIF(B$2:B285,B285),"000")</f>
        <v>PRODUCT-00153-001</v>
      </c>
      <c r="B285" s="23" t="s">
        <v>714</v>
      </c>
      <c r="C285" s="23" t="str">
        <f>IFERROR(INDEX(Product!$B:$B,MATCH(B285,Product!$A:$A,0)),"NOT FOUND")</f>
        <v>[Owgels] Máy trợ thở 2 chiều BiPAP - OGH-520C</v>
      </c>
      <c r="D285" s="23"/>
      <c r="E285" s="23" t="str">
        <f t="shared" si="4"/>
        <v>INSERT INTO public.medical_supply_product_variant (additional_desc, code, product_code) VALUES (NULL, 'PRODUCT-00153-001', 'PRODUCT-00153');</v>
      </c>
    </row>
    <row r="286" spans="1:5" x14ac:dyDescent="0.25">
      <c r="A286" s="23" t="str">
        <f>B286&amp;"-"&amp;TEXT(COUNTIF(B$2:B286,B286),"000")</f>
        <v>PRODUCT-00154-001</v>
      </c>
      <c r="B286" s="23" t="s">
        <v>715</v>
      </c>
      <c r="C286" s="23" t="str">
        <f>IFERROR(INDEX(Product!$B:$B,MATCH(B286,Product!$A:$A,0)),"NOT FOUND")</f>
        <v>[Owgels] Máy trợ thở Auto CPAP - OGH-520A</v>
      </c>
      <c r="D286" s="23"/>
      <c r="E286" s="23" t="str">
        <f t="shared" si="4"/>
        <v>INSERT INTO public.medical_supply_product_variant (additional_desc, code, product_code) VALUES (NULL, 'PRODUCT-00154-001', 'PRODUCT-00154');</v>
      </c>
    </row>
    <row r="287" spans="1:5" x14ac:dyDescent="0.25">
      <c r="A287" s="23" t="str">
        <f>B287&amp;"-"&amp;TEXT(COUNTIF(B$2:B287,B287),"000")</f>
        <v>PRODUCT-00155-001</v>
      </c>
      <c r="B287" s="23" t="s">
        <v>716</v>
      </c>
      <c r="C287" s="23" t="str">
        <f>IFERROR(INDEX(Product!$B:$B,MATCH(B287,Product!$A:$A,0)),"NOT FOUND")</f>
        <v>[Pharma] Làm ẩm mở khí quản (mũi nhân tạo)</v>
      </c>
      <c r="D287" s="23"/>
      <c r="E287" s="23" t="str">
        <f t="shared" si="4"/>
        <v>INSERT INTO public.medical_supply_product_variant (additional_desc, code, product_code) VALUES (NULL, 'PRODUCT-00155-001', 'PRODUCT-00155');</v>
      </c>
    </row>
    <row r="288" spans="1:5" x14ac:dyDescent="0.25">
      <c r="A288" s="23" t="str">
        <f>B288&amp;"-"&amp;TEXT(COUNTIF(B$2:B288,B288),"000")</f>
        <v>PRODUCT-00156-001</v>
      </c>
      <c r="B288" s="23" t="s">
        <v>717</v>
      </c>
      <c r="C288" s="23" t="str">
        <f>IFERROR(INDEX(Product!$B:$B,MATCH(B288,Product!$A:$A,0)),"NOT FOUND")</f>
        <v>[SeaSight] Dụng cụ tập thở phế dung kế - 5000ml</v>
      </c>
      <c r="D288" s="23"/>
      <c r="E288" s="23" t="str">
        <f t="shared" si="4"/>
        <v>INSERT INTO public.medical_supply_product_variant (additional_desc, code, product_code) VALUES (NULL, 'PRODUCT-00156-001', 'PRODUCT-00156');</v>
      </c>
    </row>
    <row r="289" spans="1:5" x14ac:dyDescent="0.25">
      <c r="A289" s="23" t="str">
        <f>B289&amp;"-"&amp;TEXT(COUNTIF(B$2:B289,B289),"000")</f>
        <v>PRODUCT-00157-001</v>
      </c>
      <c r="B289" s="23" t="s">
        <v>718</v>
      </c>
      <c r="C289" s="23" t="str">
        <f>IFERROR(INDEX(Product!$B:$B,MATCH(B289,Product!$A:$A,0)),"NOT FOUND")</f>
        <v>[Smiths] Bộ mở khí quản cấp cứu - PCK</v>
      </c>
      <c r="D289" s="23"/>
      <c r="E289" s="23" t="str">
        <f t="shared" si="4"/>
        <v>INSERT INTO public.medical_supply_product_variant (additional_desc, code, product_code) VALUES (NULL, 'PRODUCT-00157-001', 'PRODUCT-00157');</v>
      </c>
    </row>
    <row r="290" spans="1:5" x14ac:dyDescent="0.25">
      <c r="A290" s="23" t="str">
        <f>B290&amp;"-"&amp;TEXT(COUNTIF(B$2:B290,B290),"000")</f>
        <v>PRODUCT-00158-001</v>
      </c>
      <c r="B290" s="23" t="s">
        <v>719</v>
      </c>
      <c r="C290" s="23" t="str">
        <f>IFERROR(INDEX(Product!$B:$B,MATCH(B290,Product!$A:$A,0)),"NOT FOUND")</f>
        <v>[Smiths] Bộ mở khí quản nhanh - Portex® Mini-Trach® II</v>
      </c>
      <c r="D290" s="23"/>
      <c r="E290" s="23" t="str">
        <f t="shared" si="4"/>
        <v>INSERT INTO public.medical_supply_product_variant (additional_desc, code, product_code) VALUES (NULL, 'PRODUCT-00158-001', 'PRODUCT-00158');</v>
      </c>
    </row>
    <row r="291" spans="1:5" x14ac:dyDescent="0.25">
      <c r="A291" s="23" t="str">
        <f>B291&amp;"-"&amp;TEXT(COUNTIF(B$2:B291,B291),"000")</f>
        <v>PRODUCT-00159-001</v>
      </c>
      <c r="B291" s="23" t="s">
        <v>720</v>
      </c>
      <c r="C291" s="23" t="str">
        <f>IFERROR(INDEX(Product!$B:$B,MATCH(B291,Product!$A:$A,0)),"NOT FOUND")</f>
        <v>[Smiths] Cây nòng đặt nội khí quản khó - Bougie</v>
      </c>
      <c r="D291" s="23"/>
      <c r="E291" s="23" t="str">
        <f t="shared" si="4"/>
        <v>INSERT INTO public.medical_supply_product_variant (additional_desc, code, product_code) VALUES (NULL, 'PRODUCT-00159-001', 'PRODUCT-00159');</v>
      </c>
    </row>
    <row r="292" spans="1:5" x14ac:dyDescent="0.25">
      <c r="A292" s="23" t="str">
        <f>B292&amp;"-"&amp;TEXT(COUNTIF(B$2:B292,B292),"000")</f>
        <v>PRODUCT-00160-001</v>
      </c>
      <c r="B292" s="23" t="s">
        <v>721</v>
      </c>
      <c r="C292" s="23" t="str">
        <f>IFERROR(INDEX(Product!$B:$B,MATCH(B292,Product!$A:$A,0)),"NOT FOUND")</f>
        <v>[Smiths] Đồng hồ đo áp lực bóng</v>
      </c>
      <c r="D292" s="23"/>
      <c r="E292" s="23" t="str">
        <f t="shared" si="4"/>
        <v>INSERT INTO public.medical_supply_product_variant (additional_desc, code, product_code) VALUES (NULL, 'PRODUCT-00160-001', 'PRODUCT-00160');</v>
      </c>
    </row>
    <row r="293" spans="1:5" x14ac:dyDescent="0.25">
      <c r="A293" s="23" t="str">
        <f>B293&amp;"-"&amp;TEXT(COUNTIF(B$2:B293,B293),"000")</f>
        <v>PRODUCT-00161-001</v>
      </c>
      <c r="B293" s="23" t="s">
        <v>722</v>
      </c>
      <c r="C293" s="23" t="str">
        <f>IFERROR(INDEX(Product!$B:$B,MATCH(B293,Product!$A:$A,0)),"NOT FOUND")</f>
        <v>[Smiths] Ống nội khí quản có ống hút trên bóng - Portex SACETT</v>
      </c>
      <c r="D293" s="23"/>
      <c r="E293" s="23" t="str">
        <f t="shared" si="4"/>
        <v>INSERT INTO public.medical_supply_product_variant (additional_desc, code, product_code) VALUES (NULL, 'PRODUCT-00161-001', 'PRODUCT-00161');</v>
      </c>
    </row>
    <row r="294" spans="1:5" x14ac:dyDescent="0.25">
      <c r="A294" s="23" t="str">
        <f>B294&amp;"-"&amp;TEXT(COUNTIF(B$2:B294,B294),"000")</f>
        <v>PRODUCT-00161-002</v>
      </c>
      <c r="B294" s="23" t="s">
        <v>722</v>
      </c>
      <c r="C294" s="23" t="str">
        <f>IFERROR(INDEX(Product!$B:$B,MATCH(B294,Product!$A:$A,0)),"NOT FOUND")</f>
        <v>[Smiths] Ống nội khí quản có ống hút trên bóng - Portex SACETT</v>
      </c>
      <c r="D294" s="23"/>
      <c r="E294" s="23" t="str">
        <f t="shared" si="4"/>
        <v>INSERT INTO public.medical_supply_product_variant (additional_desc, code, product_code) VALUES (NULL, 'PRODUCT-00161-002', 'PRODUCT-00161');</v>
      </c>
    </row>
    <row r="295" spans="1:5" x14ac:dyDescent="0.25">
      <c r="A295" s="23" t="str">
        <f>B295&amp;"-"&amp;TEXT(COUNTIF(B$2:B295,B295),"000")</f>
        <v>PRODUCT-00161-003</v>
      </c>
      <c r="B295" s="23" t="s">
        <v>722</v>
      </c>
      <c r="C295" s="23" t="str">
        <f>IFERROR(INDEX(Product!$B:$B,MATCH(B295,Product!$A:$A,0)),"NOT FOUND")</f>
        <v>[Smiths] Ống nội khí quản có ống hút trên bóng - Portex SACETT</v>
      </c>
      <c r="D295" s="23"/>
      <c r="E295" s="23" t="str">
        <f t="shared" si="4"/>
        <v>INSERT INTO public.medical_supply_product_variant (additional_desc, code, product_code) VALUES (NULL, 'PRODUCT-00161-003', 'PRODUCT-00161');</v>
      </c>
    </row>
    <row r="296" spans="1:5" x14ac:dyDescent="0.25">
      <c r="A296" s="23" t="str">
        <f>B296&amp;"-"&amp;TEXT(COUNTIF(B$2:B296,B296),"000")</f>
        <v>PRODUCT-00161-004</v>
      </c>
      <c r="B296" s="23" t="s">
        <v>722</v>
      </c>
      <c r="C296" s="23" t="str">
        <f>IFERROR(INDEX(Product!$B:$B,MATCH(B296,Product!$A:$A,0)),"NOT FOUND")</f>
        <v>[Smiths] Ống nội khí quản có ống hút trên bóng - Portex SACETT</v>
      </c>
      <c r="D296" s="23"/>
      <c r="E296" s="23" t="str">
        <f t="shared" si="4"/>
        <v>INSERT INTO public.medical_supply_product_variant (additional_desc, code, product_code) VALUES (NULL, 'PRODUCT-00161-004', 'PRODUCT-00161');</v>
      </c>
    </row>
    <row r="297" spans="1:5" x14ac:dyDescent="0.25">
      <c r="A297" s="23" t="str">
        <f>B297&amp;"-"&amp;TEXT(COUNTIF(B$2:B297,B297),"000")</f>
        <v>PRODUCT-00161-005</v>
      </c>
      <c r="B297" s="23" t="s">
        <v>722</v>
      </c>
      <c r="C297" s="23" t="str">
        <f>IFERROR(INDEX(Product!$B:$B,MATCH(B297,Product!$A:$A,0)),"NOT FOUND")</f>
        <v>[Smiths] Ống nội khí quản có ống hút trên bóng - Portex SACETT</v>
      </c>
      <c r="D297" s="23"/>
      <c r="E297" s="23" t="str">
        <f t="shared" si="4"/>
        <v>INSERT INTO public.medical_supply_product_variant (additional_desc, code, product_code) VALUES (NULL, 'PRODUCT-00161-005', 'PRODUCT-00161');</v>
      </c>
    </row>
    <row r="298" spans="1:5" x14ac:dyDescent="0.25">
      <c r="A298" s="23" t="str">
        <f>B298&amp;"-"&amp;TEXT(COUNTIF(B$2:B298,B298),"000")</f>
        <v>PRODUCT-00162-001</v>
      </c>
      <c r="B298" s="23" t="s">
        <v>723</v>
      </c>
      <c r="C298" s="23" t="str">
        <f>IFERROR(INDEX(Product!$B:$B,MATCH(B298,Product!$A:$A,0)),"NOT FOUND")</f>
        <v>[VBM] Đồng hồ đo áp lực bóng chèn - Universal (Ø68mm)</v>
      </c>
      <c r="D298" s="23"/>
      <c r="E298" s="23" t="str">
        <f t="shared" si="4"/>
        <v>INSERT INTO public.medical_supply_product_variant (additional_desc, code, product_code) VALUES (NULL, 'PRODUCT-00162-001', 'PRODUCT-00162');</v>
      </c>
    </row>
    <row r="299" spans="1:5" ht="45" x14ac:dyDescent="0.25">
      <c r="A299" s="23" t="str">
        <f>B299&amp;"-"&amp;TEXT(COUNTIF(B$2:B299,B299),"000")</f>
        <v>PRODUCT-00163-001</v>
      </c>
      <c r="B299" s="23" t="s">
        <v>724</v>
      </c>
      <c r="C299" s="23" t="str">
        <f>IFERROR(INDEX(Product!$B:$B,MATCH(B299,Product!$A:$A,0)),"NOT FOUND")</f>
        <v>[Vitaltec] Ống mở khí quản 2 nòng có bóng, có cửa sổ - Rota-Trach</v>
      </c>
      <c r="D299" s="1" t="s">
        <v>2103</v>
      </c>
      <c r="E299" s="23" t="str">
        <f t="shared" si="4"/>
        <v>INSERT INTO public.medical_supply_product_variant (additional_desc, code, product_code) VALUES ('Đường kính trong ID: 7.0 mm
Đường kính ngoài OD: 10.6 mm
Chiều dài: 76 mm', 'PRODUCT-00163-001', 'PRODUCT-00163');</v>
      </c>
    </row>
    <row r="300" spans="1:5" ht="45" x14ac:dyDescent="0.25">
      <c r="A300" s="23" t="str">
        <f>B300&amp;"-"&amp;TEXT(COUNTIF(B$2:B300,B300),"000")</f>
        <v>PRODUCT-00163-002</v>
      </c>
      <c r="B300" s="23" t="s">
        <v>724</v>
      </c>
      <c r="C300" s="23" t="str">
        <f>IFERROR(INDEX(Product!$B:$B,MATCH(B300,Product!$A:$A,0)),"NOT FOUND")</f>
        <v>[Vitaltec] Ống mở khí quản 2 nòng có bóng, có cửa sổ - Rota-Trach</v>
      </c>
      <c r="D300" s="1" t="s">
        <v>2104</v>
      </c>
      <c r="E300" s="23" t="str">
        <f t="shared" si="4"/>
        <v>INSERT INTO public.medical_supply_product_variant (additional_desc, code, product_code) VALUES ('Đường kính trong ID: 8.0 mm
Đường kính ngoài OD: 11.7 mm
Chiều dài: 78 mm', 'PRODUCT-00163-002', 'PRODUCT-00163');</v>
      </c>
    </row>
    <row r="301" spans="1:5" ht="45" x14ac:dyDescent="0.25">
      <c r="A301" s="23" t="str">
        <f>B301&amp;"-"&amp;TEXT(COUNTIF(B$2:B301,B301),"000")</f>
        <v>PRODUCT-00164-001</v>
      </c>
      <c r="B301" s="23" t="s">
        <v>725</v>
      </c>
      <c r="C301" s="23" t="str">
        <f>IFERROR(INDEX(Product!$B:$B,MATCH(B301,Product!$A:$A,0)),"NOT FOUND")</f>
        <v>[Vitaltec] Ống mở khí quản 2 nòng có bóng, không cửa sổ - Rota-Trach</v>
      </c>
      <c r="D301" s="1" t="s">
        <v>2103</v>
      </c>
      <c r="E301" s="23" t="str">
        <f t="shared" si="4"/>
        <v>INSERT INTO public.medical_supply_product_variant (additional_desc, code, product_code) VALUES ('Đường kính trong ID: 7.0 mm
Đường kính ngoài OD: 10.6 mm
Chiều dài: 76 mm', 'PRODUCT-00164-001', 'PRODUCT-00164');</v>
      </c>
    </row>
    <row r="302" spans="1:5" ht="45" x14ac:dyDescent="0.25">
      <c r="A302" s="23" t="str">
        <f>B302&amp;"-"&amp;TEXT(COUNTIF(B$2:B302,B302),"000")</f>
        <v>PRODUCT-00164-002</v>
      </c>
      <c r="B302" s="23" t="s">
        <v>725</v>
      </c>
      <c r="C302" s="23" t="str">
        <f>IFERROR(INDEX(Product!$B:$B,MATCH(B302,Product!$A:$A,0)),"NOT FOUND")</f>
        <v>[Vitaltec] Ống mở khí quản 2 nòng có bóng, không cửa sổ - Rota-Trach</v>
      </c>
      <c r="D302" s="1" t="s">
        <v>2104</v>
      </c>
      <c r="E302" s="23" t="str">
        <f t="shared" si="4"/>
        <v>INSERT INTO public.medical_supply_product_variant (additional_desc, code, product_code) VALUES ('Đường kính trong ID: 8.0 mm
Đường kính ngoài OD: 11.7 mm
Chiều dài: 78 mm', 'PRODUCT-00164-002', 'PRODUCT-00164');</v>
      </c>
    </row>
    <row r="303" spans="1:5" ht="45" x14ac:dyDescent="0.25">
      <c r="A303" s="23" t="str">
        <f>B303&amp;"-"&amp;TEXT(COUNTIF(B$2:B303,B303),"000")</f>
        <v>PRODUCT-00165-001</v>
      </c>
      <c r="B303" s="23" t="s">
        <v>726</v>
      </c>
      <c r="C303" s="23" t="str">
        <f>IFERROR(INDEX(Product!$B:$B,MATCH(B303,Product!$A:$A,0)),"NOT FOUND")</f>
        <v>[Vitaltec] Ống mở khí quản 2 nòng không bóng, có cửa sổ - Rota-Trach</v>
      </c>
      <c r="D303" s="1" t="s">
        <v>2103</v>
      </c>
      <c r="E303" s="23" t="str">
        <f t="shared" si="4"/>
        <v>INSERT INTO public.medical_supply_product_variant (additional_desc, code, product_code) VALUES ('Đường kính trong ID: 7.0 mm
Đường kính ngoài OD: 10.6 mm
Chiều dài: 76 mm', 'PRODUCT-00165-001', 'PRODUCT-00165');</v>
      </c>
    </row>
    <row r="304" spans="1:5" ht="45" x14ac:dyDescent="0.25">
      <c r="A304" s="23" t="str">
        <f>B304&amp;"-"&amp;TEXT(COUNTIF(B$2:B304,B304),"000")</f>
        <v>PRODUCT-00165-002</v>
      </c>
      <c r="B304" s="23" t="s">
        <v>726</v>
      </c>
      <c r="C304" s="23" t="str">
        <f>IFERROR(INDEX(Product!$B:$B,MATCH(B304,Product!$A:$A,0)),"NOT FOUND")</f>
        <v>[Vitaltec] Ống mở khí quản 2 nòng không bóng, có cửa sổ - Rota-Trach</v>
      </c>
      <c r="D304" s="1" t="s">
        <v>2104</v>
      </c>
      <c r="E304" s="23" t="str">
        <f t="shared" si="4"/>
        <v>INSERT INTO public.medical_supply_product_variant (additional_desc, code, product_code) VALUES ('Đường kính trong ID: 8.0 mm
Đường kính ngoài OD: 11.7 mm
Chiều dài: 78 mm', 'PRODUCT-00165-002', 'PRODUCT-00165');</v>
      </c>
    </row>
    <row r="305" spans="1:5" ht="45" x14ac:dyDescent="0.25">
      <c r="A305" s="23" t="str">
        <f>B305&amp;"-"&amp;TEXT(COUNTIF(B$2:B305,B305),"000")</f>
        <v>PRODUCT-00166-001</v>
      </c>
      <c r="B305" s="23" t="s">
        <v>727</v>
      </c>
      <c r="C305" s="23" t="str">
        <f>IFERROR(INDEX(Product!$B:$B,MATCH(B305,Product!$A:$A,0)),"NOT FOUND")</f>
        <v>[Vitaltec] Ống mở khí quản 2 nòng không bóng, không cửa sổ - Rota-Trach</v>
      </c>
      <c r="D305" s="1" t="s">
        <v>2103</v>
      </c>
      <c r="E305" s="23" t="str">
        <f t="shared" si="4"/>
        <v>INSERT INTO public.medical_supply_product_variant (additional_desc, code, product_code) VALUES ('Đường kính trong ID: 7.0 mm
Đường kính ngoài OD: 10.6 mm
Chiều dài: 76 mm', 'PRODUCT-00166-001', 'PRODUCT-00166');</v>
      </c>
    </row>
    <row r="306" spans="1:5" ht="45" x14ac:dyDescent="0.25">
      <c r="A306" s="23" t="str">
        <f>B306&amp;"-"&amp;TEXT(COUNTIF(B$2:B306,B306),"000")</f>
        <v>PRODUCT-00166-002</v>
      </c>
      <c r="B306" s="23" t="s">
        <v>727</v>
      </c>
      <c r="C306" s="23" t="str">
        <f>IFERROR(INDEX(Product!$B:$B,MATCH(B306,Product!$A:$A,0)),"NOT FOUND")</f>
        <v>[Vitaltec] Ống mở khí quản 2 nòng không bóng, không cửa sổ - Rota-Trach</v>
      </c>
      <c r="D306" s="1" t="s">
        <v>2104</v>
      </c>
      <c r="E306" s="23" t="str">
        <f t="shared" si="4"/>
        <v>INSERT INTO public.medical_supply_product_variant (additional_desc, code, product_code) VALUES ('Đường kính trong ID: 8.0 mm
Đường kính ngoài OD: 11.7 mm
Chiều dài: 78 mm', 'PRODUCT-00166-002', 'PRODUCT-00166');</v>
      </c>
    </row>
    <row r="307" spans="1:5" x14ac:dyDescent="0.25">
      <c r="A307" s="23" t="str">
        <f>B307&amp;"-"&amp;TEXT(COUNTIF(B$2:B307,B307),"000")</f>
        <v>PRODUCT-00167-001</v>
      </c>
      <c r="B307" s="27" t="s">
        <v>728</v>
      </c>
      <c r="C307" s="23" t="str">
        <f>IFERROR(INDEX(Product!$B:$B,MATCH(B307,Product!$A:$A,0)),"NOT FOUND")</f>
        <v>[Yafho] Dây đai cố định ống mở khí quản (3.6cmx18cm / Xanh đậm)</v>
      </c>
      <c r="D307" s="23"/>
      <c r="E307" s="23" t="str">
        <f t="shared" si="4"/>
        <v>INSERT INTO public.medical_supply_product_variant (additional_desc, code, product_code) VALUES (NULL, 'PRODUCT-00167-001', 'PRODUCT-00167');</v>
      </c>
    </row>
    <row r="308" spans="1:5" x14ac:dyDescent="0.25">
      <c r="A308" s="23" t="str">
        <f>B308&amp;"-"&amp;TEXT(COUNTIF(B$2:B308,B308),"000")</f>
        <v>PRODUCT-00291-001</v>
      </c>
      <c r="B308" s="27" t="s">
        <v>1563</v>
      </c>
      <c r="C308" s="23" t="str">
        <f>IFERROR(INDEX(Product!$B:$B,MATCH(B308,Product!$A:$A,0)),"NOT FOUND")</f>
        <v>[Yafho] Dây đai cố định ống mở khí quản (2.5cmx33cm / Xanh nhạt)</v>
      </c>
      <c r="D308" s="23"/>
      <c r="E308" s="23" t="str">
        <f t="shared" si="4"/>
        <v>INSERT INTO public.medical_supply_product_variant (additional_desc, code, product_code) VALUES (NULL, 'PRODUCT-00291-001', 'PRODUCT-00291');</v>
      </c>
    </row>
    <row r="309" spans="1:5" x14ac:dyDescent="0.25">
      <c r="A309" s="23" t="str">
        <f>B309&amp;"-"&amp;TEXT(COUNTIF(B$2:B309,B309),"000")</f>
        <v>PRODUCT-00292-001</v>
      </c>
      <c r="B309" s="23" t="s">
        <v>1565</v>
      </c>
      <c r="C309" s="23" t="str">
        <f>IFERROR(INDEX(Product!$B:$B,MATCH(B309,Product!$A:$A,0)),"NOT FOUND")</f>
        <v>[Yafho] Dây đai cố định ống mở khí quản (43cmx2.5cm)</v>
      </c>
      <c r="D309" s="23"/>
      <c r="E309" s="23" t="str">
        <f t="shared" si="4"/>
        <v>INSERT INTO public.medical_supply_product_variant (additional_desc, code, product_code) VALUES (NULL, 'PRODUCT-00292-001', 'PRODUCT-00292');</v>
      </c>
    </row>
    <row r="310" spans="1:5" x14ac:dyDescent="0.25">
      <c r="A310" s="23" t="str">
        <f>B310&amp;"-"&amp;TEXT(COUNTIF(B$2:B310,B310),"000")</f>
        <v>PRODUCT-00293-001</v>
      </c>
      <c r="B310" s="23" t="s">
        <v>1567</v>
      </c>
      <c r="C310" s="23" t="str">
        <f>IFERROR(INDEX(Product!$B:$B,MATCH(B310,Product!$A:$A,0)),"NOT FOUND")</f>
        <v>[Yafho] Dây đai cố định ống mở khí quản (45cmx3.5cm)</v>
      </c>
      <c r="D310" s="23"/>
      <c r="E310" s="23" t="str">
        <f t="shared" si="4"/>
        <v>INSERT INTO public.medical_supply_product_variant (additional_desc, code, product_code) VALUES (NULL, 'PRODUCT-00293-001', 'PRODUCT-00293');</v>
      </c>
    </row>
    <row r="311" spans="1:5" x14ac:dyDescent="0.25">
      <c r="A311" s="23" t="str">
        <f>B311&amp;"-"&amp;TEXT(COUNTIF(B$2:B311,B311),"000")</f>
        <v>PRODUCT-00168-001</v>
      </c>
      <c r="B311" s="23" t="s">
        <v>729</v>
      </c>
      <c r="C311" s="23" t="str">
        <f>IFERROR(INDEX(Product!$B:$B,MATCH(B311,Product!$A:$A,0)),"NOT FOUND")</f>
        <v>[Yafho] Dụng cụ cố định ống nội khí quản</v>
      </c>
      <c r="D311" s="23"/>
      <c r="E311" s="23" t="str">
        <f t="shared" si="4"/>
        <v>INSERT INTO public.medical_supply_product_variant (additional_desc, code, product_code) VALUES (NULL, 'PRODUCT-00168-001', 'PRODUCT-00168');</v>
      </c>
    </row>
    <row r="312" spans="1:5" x14ac:dyDescent="0.25">
      <c r="A312" s="23" t="str">
        <f>B312&amp;"-"&amp;TEXT(COUNTIF(B$2:B312,B312),"000")</f>
        <v>PRODUCT-00169-001</v>
      </c>
      <c r="B312" s="23" t="s">
        <v>730</v>
      </c>
      <c r="C312" s="23" t="str">
        <f>IFERROR(INDEX(Product!$B:$B,MATCH(B312,Product!$A:$A,0)),"NOT FOUND")</f>
        <v>[Yafho] Dụng cụ cố định ống nội khí quản chống cắn</v>
      </c>
      <c r="D312" s="23"/>
      <c r="E312" s="23" t="str">
        <f t="shared" si="4"/>
        <v>INSERT INTO public.medical_supply_product_variant (additional_desc, code, product_code) VALUES (NULL, 'PRODUCT-00169-001', 'PRODUCT-00169');</v>
      </c>
    </row>
    <row r="313" spans="1:5" x14ac:dyDescent="0.25">
      <c r="A313" s="23" t="str">
        <f>B313&amp;"-"&amp;TEXT(COUNTIF(B$2:B313,B313),"000")</f>
        <v>PRODUCT-00170-001</v>
      </c>
      <c r="B313" s="23" t="s">
        <v>731</v>
      </c>
      <c r="C313" s="23" t="str">
        <f>IFERROR(INDEX(Product!$B:$B,MATCH(B313,Product!$A:$A,0)),"NOT FOUND")</f>
        <v>[Yuwell] Máy hút dịch 1 bình - 7E-A</v>
      </c>
      <c r="D313" s="23"/>
      <c r="E313" s="23" t="str">
        <f t="shared" si="4"/>
        <v>INSERT INTO public.medical_supply_product_variant (additional_desc, code, product_code) VALUES (NULL, 'PRODUCT-00170-001', 'PRODUCT-00170');</v>
      </c>
    </row>
    <row r="314" spans="1:5" x14ac:dyDescent="0.25">
      <c r="A314" s="23" t="str">
        <f>B314&amp;"-"&amp;TEXT(COUNTIF(B$2:B314,B314),"000")</f>
        <v>PRODUCT-00173-001</v>
      </c>
      <c r="B314" s="23" t="s">
        <v>734</v>
      </c>
      <c r="C314" s="23" t="str">
        <f>IFERROR(INDEX(Product!$B:$B,MATCH(B314,Product!$A:$A,0)),"NOT FOUND")</f>
        <v>[Abbott] Bộ cảm biến đo đường huyết - FreeStyle Libre Flash Glucose Monitoring Sensor</v>
      </c>
      <c r="D314" s="23"/>
      <c r="E314" s="23" t="str">
        <f t="shared" si="4"/>
        <v>INSERT INTO public.medical_supply_product_variant (additional_desc, code, product_code) VALUES (NULL, 'PRODUCT-00173-001', 'PRODUCT-00173');</v>
      </c>
    </row>
    <row r="315" spans="1:5" x14ac:dyDescent="0.25">
      <c r="A315" s="23" t="str">
        <f>B315&amp;"-"&amp;TEXT(COUNTIF(B$2:B315,B315),"000")</f>
        <v>PRODUCT-00174-001</v>
      </c>
      <c r="B315" s="23" t="s">
        <v>735</v>
      </c>
      <c r="C315" s="23" t="str">
        <f>IFERROR(INDEX(Product!$B:$B,MATCH(B315,Product!$A:$A,0)),"NOT FOUND")</f>
        <v>[Abbott] Máy đo đường huyết liên tục - FreeStyle Libre 2</v>
      </c>
      <c r="D315" s="23"/>
      <c r="E315" s="23" t="str">
        <f t="shared" si="4"/>
        <v>INSERT INTO public.medical_supply_product_variant (additional_desc, code, product_code) VALUES (NULL, 'PRODUCT-00174-001', 'PRODUCT-00174');</v>
      </c>
    </row>
    <row r="316" spans="1:5" x14ac:dyDescent="0.25">
      <c r="A316" s="23" t="str">
        <f>B316&amp;"-"&amp;TEXT(COUNTIF(B$2:B316,B316),"000")</f>
        <v>PRODUCT-00175-001</v>
      </c>
      <c r="B316" s="23" t="s">
        <v>736</v>
      </c>
      <c r="C316" s="23" t="str">
        <f>IFERROR(INDEX(Product!$B:$B,MATCH(B316,Product!$A:$A,0)),"NOT FOUND")</f>
        <v>[Acon] Máy đo đường huyết - On Call Plus</v>
      </c>
      <c r="D316" s="23"/>
      <c r="E316" s="23" t="str">
        <f t="shared" si="4"/>
        <v>INSERT INTO public.medical_supply_product_variant (additional_desc, code, product_code) VALUES (NULL, 'PRODUCT-00175-001', 'PRODUCT-00175');</v>
      </c>
    </row>
    <row r="317" spans="1:5" x14ac:dyDescent="0.25">
      <c r="A317" s="23" t="str">
        <f>B317&amp;"-"&amp;TEXT(COUNTIF(B$2:B317,B317),"000")</f>
        <v>PRODUCT-00176-001</v>
      </c>
      <c r="B317" s="23" t="s">
        <v>737</v>
      </c>
      <c r="C317" s="23" t="str">
        <f>IFERROR(INDEX(Product!$B:$B,MATCH(B317,Product!$A:$A,0)),"NOT FOUND")</f>
        <v>[Acon] Que thử đường huyết - On Call Plus</v>
      </c>
      <c r="D317" s="23"/>
      <c r="E317" s="23" t="str">
        <f t="shared" si="4"/>
        <v>INSERT INTO public.medical_supply_product_variant (additional_desc, code, product_code) VALUES (NULL, 'PRODUCT-00176-001', 'PRODUCT-00176');</v>
      </c>
    </row>
    <row r="318" spans="1:5" x14ac:dyDescent="0.25">
      <c r="A318" s="23" t="str">
        <f>B318&amp;"-"&amp;TEXT(COUNTIF(B$2:B318,B318),"000")</f>
        <v>PRODUCT-00177-001</v>
      </c>
      <c r="B318" s="23" t="s">
        <v>738</v>
      </c>
      <c r="C318" s="23" t="str">
        <f>IFERROR(INDEX(Product!$B:$B,MATCH(B318,Product!$A:$A,0)),"NOT FOUND")</f>
        <v>[iMedicare] Máy đo huyết áp bắp tay - iBPM-6S</v>
      </c>
      <c r="D318" s="23"/>
      <c r="E318" s="23" t="str">
        <f t="shared" si="4"/>
        <v>INSERT INTO public.medical_supply_product_variant (additional_desc, code, product_code) VALUES (NULL, 'PRODUCT-00177-001', 'PRODUCT-00177');</v>
      </c>
    </row>
    <row r="319" spans="1:5" x14ac:dyDescent="0.25">
      <c r="A319" s="23" t="str">
        <f>B319&amp;"-"&amp;TEXT(COUNTIF(B$2:B319,B319),"000")</f>
        <v>PRODUCT-00178-001</v>
      </c>
      <c r="B319" s="23" t="s">
        <v>739</v>
      </c>
      <c r="C319" s="23" t="str">
        <f>IFERROR(INDEX(Product!$B:$B,MATCH(B319,Product!$A:$A,0)),"NOT FOUND")</f>
        <v>[iMedicare] Máy đo SPO2 - iOM-A6</v>
      </c>
      <c r="D319" s="23"/>
      <c r="E319" s="23" t="str">
        <f t="shared" si="4"/>
        <v>INSERT INTO public.medical_supply_product_variant (additional_desc, code, product_code) VALUES (NULL, 'PRODUCT-00178-001', 'PRODUCT-00178');</v>
      </c>
    </row>
    <row r="320" spans="1:5" x14ac:dyDescent="0.25">
      <c r="A320" s="23" t="str">
        <f>B320&amp;"-"&amp;TEXT(COUNTIF(B$2:B320,B320),"000")</f>
        <v>PRODUCT-00179-001</v>
      </c>
      <c r="B320" s="23" t="s">
        <v>740</v>
      </c>
      <c r="C320" s="23" t="str">
        <f>IFERROR(INDEX(Product!$B:$B,MATCH(B320,Product!$A:$A,0)),"NOT FOUND")</f>
        <v>[iMedicare] Nhiệt kế hồng ngoại - iTM-32A</v>
      </c>
      <c r="D320" s="23"/>
      <c r="E320" s="23" t="str">
        <f t="shared" si="4"/>
        <v>INSERT INTO public.medical_supply_product_variant (additional_desc, code, product_code) VALUES (NULL, 'PRODUCT-00179-001', 'PRODUCT-00179');</v>
      </c>
    </row>
    <row r="321" spans="1:5" x14ac:dyDescent="0.25">
      <c r="A321" s="23" t="str">
        <f>B321&amp;"-"&amp;TEXT(COUNTIF(B$2:B321,B321),"000")</f>
        <v>PRODUCT-00180-001</v>
      </c>
      <c r="B321" s="23" t="s">
        <v>741</v>
      </c>
      <c r="C321" s="23" t="str">
        <f>IFERROR(INDEX(Product!$B:$B,MATCH(B321,Product!$A:$A,0)),"NOT FOUND")</f>
        <v>[IN4 Care] Máy đo đường huyết, mỡ máu, gút 3 trong 1 - GlucoAlpha</v>
      </c>
      <c r="D321" s="23"/>
      <c r="E321" s="23" t="str">
        <f t="shared" si="4"/>
        <v>INSERT INTO public.medical_supply_product_variant (additional_desc, code, product_code) VALUES (NULL, 'PRODUCT-00180-001', 'PRODUCT-00180');</v>
      </c>
    </row>
    <row r="322" spans="1:5" x14ac:dyDescent="0.25">
      <c r="A322" s="23" t="str">
        <f>B322&amp;"-"&amp;TEXT(COUNTIF(B$2:B322,B322),"000")</f>
        <v>PRODUCT-00181-001</v>
      </c>
      <c r="B322" s="23" t="s">
        <v>742</v>
      </c>
      <c r="C322" s="23" t="str">
        <f>IFERROR(INDEX(Product!$B:$B,MATCH(B322,Product!$A:$A,0)),"NOT FOUND")</f>
        <v>[IN4 Care] Que thử axit uric (gút) cho máy 3 trong 1 - GlucoAlpha</v>
      </c>
      <c r="D322" s="23"/>
      <c r="E322" s="23" t="str">
        <f t="shared" si="4"/>
        <v>INSERT INTO public.medical_supply_product_variant (additional_desc, code, product_code) VALUES (NULL, 'PRODUCT-00181-001', 'PRODUCT-00181');</v>
      </c>
    </row>
    <row r="323" spans="1:5" x14ac:dyDescent="0.25">
      <c r="A323" s="23" t="str">
        <f>B323&amp;"-"&amp;TEXT(COUNTIF(B$2:B323,B323),"000")</f>
        <v>PRODUCT-00182-001</v>
      </c>
      <c r="B323" s="23" t="s">
        <v>743</v>
      </c>
      <c r="C323" s="23" t="str">
        <f>IFERROR(INDEX(Product!$B:$B,MATCH(B323,Product!$A:$A,0)),"NOT FOUND")</f>
        <v>[IN4 Care] Que thử cholesterol cho máy 3 trong 1 - GlucoAlpha</v>
      </c>
      <c r="D323" s="23"/>
      <c r="E323" s="23" t="str">
        <f t="shared" ref="E323:E386" si="5">"INSERT INTO public.medical_supply_product_variant (additional_desc, code, product_code) VALUES ("&amp;IF(D323="","NULL","'"&amp;SUBSTITUTE(D323,"'","''")&amp;"'")&amp;", '"&amp;A323&amp;"', '"&amp;B323&amp;"');"</f>
        <v>INSERT INTO public.medical_supply_product_variant (additional_desc, code, product_code) VALUES (NULL, 'PRODUCT-00182-001', 'PRODUCT-00182');</v>
      </c>
    </row>
    <row r="324" spans="1:5" x14ac:dyDescent="0.25">
      <c r="A324" s="23" t="str">
        <f>B324&amp;"-"&amp;TEXT(COUNTIF(B$2:B324,B324),"000")</f>
        <v>PRODUCT-00183-001</v>
      </c>
      <c r="B324" s="23" t="s">
        <v>744</v>
      </c>
      <c r="C324" s="23" t="str">
        <f>IFERROR(INDEX(Product!$B:$B,MATCH(B324,Product!$A:$A,0)),"NOT FOUND")</f>
        <v>[IN4 Care] Que thử đường huyết cho máy 3 trong 1 - GlucoAlpha</v>
      </c>
      <c r="D324" s="23"/>
      <c r="E324" s="23" t="str">
        <f t="shared" si="5"/>
        <v>INSERT INTO public.medical_supply_product_variant (additional_desc, code, product_code) VALUES (NULL, 'PRODUCT-00183-001', 'PRODUCT-00183');</v>
      </c>
    </row>
    <row r="325" spans="1:5" x14ac:dyDescent="0.25">
      <c r="A325" s="23" t="str">
        <f>B325&amp;"-"&amp;TEXT(COUNTIF(B$2:B325,B325),"000")</f>
        <v>PRODUCT-00184-001</v>
      </c>
      <c r="B325" s="23" t="s">
        <v>745</v>
      </c>
      <c r="C325" s="23" t="str">
        <f>IFERROR(INDEX(Product!$B:$B,MATCH(B325,Product!$A:$A,0)),"NOT FOUND")</f>
        <v>[Jumper] Máy đo nồng độ oxy trong máu và nhịp tim SPO2 - JPD-500D</v>
      </c>
      <c r="D325" s="23"/>
      <c r="E325" s="23" t="str">
        <f t="shared" si="5"/>
        <v>INSERT INTO public.medical_supply_product_variant (additional_desc, code, product_code) VALUES (NULL, 'PRODUCT-00184-001', 'PRODUCT-00184');</v>
      </c>
    </row>
    <row r="326" spans="1:5" x14ac:dyDescent="0.25">
      <c r="A326" s="23" t="str">
        <f>B326&amp;"-"&amp;TEXT(COUNTIF(B$2:B326,B326),"000")</f>
        <v>PRODUCT-00185-001</v>
      </c>
      <c r="B326" s="23" t="s">
        <v>746</v>
      </c>
      <c r="C326" s="23" t="str">
        <f>IFERROR(INDEX(Product!$B:$B,MATCH(B326,Product!$A:$A,0)),"NOT FOUND")</f>
        <v>[Jumper] Máy đo tim thai cá nhân - Cody Health JPD-100E</v>
      </c>
      <c r="D326" s="23"/>
      <c r="E326" s="23" t="str">
        <f t="shared" si="5"/>
        <v>INSERT INTO public.medical_supply_product_variant (additional_desc, code, product_code) VALUES (NULL, 'PRODUCT-00185-001', 'PRODUCT-00185');</v>
      </c>
    </row>
    <row r="327" spans="1:5" x14ac:dyDescent="0.25">
      <c r="A327" s="23" t="str">
        <f>B327&amp;"-"&amp;TEXT(COUNTIF(B$2:B327,B327),"000")</f>
        <v>PRODUCT-00186-001</v>
      </c>
      <c r="B327" s="23" t="s">
        <v>747</v>
      </c>
      <c r="C327" s="23" t="str">
        <f>IFERROR(INDEX(Product!$B:$B,MATCH(B327,Product!$A:$A,0)),"NOT FOUND")</f>
        <v>[Medtronic] Bộ truyền tín hiệu kết nối cảm biến CGM và máy bơm insulin - Guardian™ Link 3 Transmitter (640g)</v>
      </c>
      <c r="D327" s="23"/>
      <c r="E327" s="23" t="str">
        <f t="shared" si="5"/>
        <v>INSERT INTO public.medical_supply_product_variant (additional_desc, code, product_code) VALUES (NULL, 'PRODUCT-00186-001', 'PRODUCT-00186');</v>
      </c>
    </row>
    <row r="328" spans="1:5" x14ac:dyDescent="0.25">
      <c r="A328" s="23" t="str">
        <f>B328&amp;"-"&amp;TEXT(COUNTIF(B$2:B328,B328),"000")</f>
        <v>PRODUCT-00187-001</v>
      </c>
      <c r="B328" s="23" t="s">
        <v>748</v>
      </c>
      <c r="C328" s="23" t="str">
        <f>IFERROR(INDEX(Product!$B:$B,MATCH(B328,Product!$A:$A,0)),"NOT FOUND")</f>
        <v>[Medtronic] Cảm biến hệ thống đo đường huyết liên tục CGM - Guardian™ Sensor 3</v>
      </c>
      <c r="D328" s="23"/>
      <c r="E328" s="23" t="str">
        <f t="shared" si="5"/>
        <v>INSERT INTO public.medical_supply_product_variant (additional_desc, code, product_code) VALUES (NULL, 'PRODUCT-00187-001', 'PRODUCT-00187');</v>
      </c>
    </row>
    <row r="329" spans="1:5" x14ac:dyDescent="0.25">
      <c r="A329" s="23" t="str">
        <f>B329&amp;"-"&amp;TEXT(COUNTIF(B$2:B329,B329),"000")</f>
        <v>PRODUCT-00188-001</v>
      </c>
      <c r="B329" s="23" t="s">
        <v>749</v>
      </c>
      <c r="C329" s="23" t="str">
        <f>IFERROR(INDEX(Product!$B:$B,MATCH(B329,Product!$A:$A,0)),"NOT FOUND")</f>
        <v>[Medtronic] Hệ thống đo đường huyết liên tục CGM - GUARDIAN™ CONNECT</v>
      </c>
      <c r="D329" s="23"/>
      <c r="E329" s="23" t="str">
        <f t="shared" si="5"/>
        <v>INSERT INTO public.medical_supply_product_variant (additional_desc, code, product_code) VALUES (NULL, 'PRODUCT-00188-001', 'PRODUCT-00188');</v>
      </c>
    </row>
    <row r="330" spans="1:5" x14ac:dyDescent="0.25">
      <c r="A330" s="23" t="str">
        <f>B330&amp;"-"&amp;TEXT(COUNTIF(B$2:B330,B330),"000")</f>
        <v>PRODUCT-00189-001</v>
      </c>
      <c r="B330" s="23" t="s">
        <v>750</v>
      </c>
      <c r="C330" s="23" t="str">
        <f>IFERROR(INDEX(Product!$B:$B,MATCH(B330,Product!$A:$A,0)),"NOT FOUND")</f>
        <v>[Omron] Cân sức khỏe điện tử - HN-289</v>
      </c>
      <c r="D330" s="23"/>
      <c r="E330" s="23" t="str">
        <f t="shared" si="5"/>
        <v>INSERT INTO public.medical_supply_product_variant (additional_desc, code, product_code) VALUES (NULL, 'PRODUCT-00189-001', 'PRODUCT-00189');</v>
      </c>
    </row>
    <row r="331" spans="1:5" x14ac:dyDescent="0.25">
      <c r="A331" s="23" t="str">
        <f>B331&amp;"-"&amp;TEXT(COUNTIF(B$2:B331,B331),"000")</f>
        <v>PRODUCT-00190-001</v>
      </c>
      <c r="B331" s="23" t="s">
        <v>751</v>
      </c>
      <c r="C331" s="23" t="str">
        <f>IFERROR(INDEX(Product!$B:$B,MATCH(B331,Product!$A:$A,0)),"NOT FOUND")</f>
        <v>[Omron] Máy cân đo chỉ số cơ thể - BodySCAN™ HBF-224</v>
      </c>
      <c r="D331" s="23"/>
      <c r="E331" s="23" t="str">
        <f t="shared" si="5"/>
        <v>INSERT INTO public.medical_supply_product_variant (additional_desc, code, product_code) VALUES (NULL, 'PRODUCT-00190-001', 'PRODUCT-00190');</v>
      </c>
    </row>
    <row r="332" spans="1:5" x14ac:dyDescent="0.25">
      <c r="A332" s="23" t="str">
        <f>B332&amp;"-"&amp;TEXT(COUNTIF(B$2:B332,B332),"000")</f>
        <v>PRODUCT-00191-001</v>
      </c>
      <c r="B332" s="23" t="s">
        <v>752</v>
      </c>
      <c r="C332" s="23" t="str">
        <f>IFERROR(INDEX(Product!$B:$B,MATCH(B332,Product!$A:$A,0)),"NOT FOUND")</f>
        <v>[Omron] Máy đo huyết áp bắp tay - JPN600</v>
      </c>
      <c r="D332" s="23"/>
      <c r="E332" s="23" t="str">
        <f t="shared" si="5"/>
        <v>INSERT INTO public.medical_supply_product_variant (additional_desc, code, product_code) VALUES (NULL, 'PRODUCT-00191-001', 'PRODUCT-00191');</v>
      </c>
    </row>
    <row r="333" spans="1:5" x14ac:dyDescent="0.25">
      <c r="A333" s="23" t="str">
        <f>B333&amp;"-"&amp;TEXT(COUNTIF(B$2:B333,B333),"000")</f>
        <v>PRODUCT-00192-001</v>
      </c>
      <c r="B333" s="23" t="s">
        <v>753</v>
      </c>
      <c r="C333" s="23" t="str">
        <f>IFERROR(INDEX(Product!$B:$B,MATCH(B333,Product!$A:$A,0)),"NOT FOUND")</f>
        <v>[Omron] Máy đo huyết áp bắp tay - JPN750</v>
      </c>
      <c r="D333" s="23"/>
      <c r="E333" s="23" t="str">
        <f t="shared" si="5"/>
        <v>INSERT INTO public.medical_supply_product_variant (additional_desc, code, product_code) VALUES (NULL, 'PRODUCT-00192-001', 'PRODUCT-00192');</v>
      </c>
    </row>
    <row r="334" spans="1:5" x14ac:dyDescent="0.25">
      <c r="A334" s="23" t="str">
        <f>B334&amp;"-"&amp;TEXT(COUNTIF(B$2:B334,B334),"000")</f>
        <v>PRODUCT-00193-001</v>
      </c>
      <c r="B334" s="23" t="s">
        <v>754</v>
      </c>
      <c r="C334" s="23" t="str">
        <f>IFERROR(INDEX(Product!$B:$B,MATCH(B334,Product!$A:$A,0)),"NOT FOUND")</f>
        <v>[Omron] Máy đo huyết áp bắp tay kết nối Bluetooth - HEM-7156T</v>
      </c>
      <c r="D334" s="23"/>
      <c r="E334" s="23" t="str">
        <f t="shared" si="5"/>
        <v>INSERT INTO public.medical_supply_product_variant (additional_desc, code, product_code) VALUES (NULL, 'PRODUCT-00193-001', 'PRODUCT-00193');</v>
      </c>
    </row>
    <row r="335" spans="1:5" x14ac:dyDescent="0.25">
      <c r="A335" s="23" t="str">
        <f>B335&amp;"-"&amp;TEXT(COUNTIF(B$2:B335,B335),"000")</f>
        <v>PRODUCT-00194-001</v>
      </c>
      <c r="B335" s="23" t="s">
        <v>755</v>
      </c>
      <c r="C335" s="23" t="str">
        <f>IFERROR(INDEX(Product!$B:$B,MATCH(B335,Product!$A:$A,0)),"NOT FOUND")</f>
        <v>[Omron] Máy đo huyết áp bắp tay tự động - HEM-7156</v>
      </c>
      <c r="D335" s="23"/>
      <c r="E335" s="23" t="str">
        <f t="shared" si="5"/>
        <v>INSERT INTO public.medical_supply_product_variant (additional_desc, code, product_code) VALUES (NULL, 'PRODUCT-00194-001', 'PRODUCT-00194');</v>
      </c>
    </row>
    <row r="336" spans="1:5" x14ac:dyDescent="0.25">
      <c r="A336" s="23" t="str">
        <f>B336&amp;"-"&amp;TEXT(COUNTIF(B$2:B336,B336),"000")</f>
        <v>PRODUCT-00195-001</v>
      </c>
      <c r="B336" s="23" t="s">
        <v>756</v>
      </c>
      <c r="C336" s="23" t="str">
        <f>IFERROR(INDEX(Product!$B:$B,MATCH(B336,Product!$A:$A,0)),"NOT FOUND")</f>
        <v>[Omron] Máy đo huyết áp tự động - HEM-7180 (EZ Lite)</v>
      </c>
      <c r="D336" s="23"/>
      <c r="E336" s="23" t="str">
        <f t="shared" si="5"/>
        <v>INSERT INTO public.medical_supply_product_variant (additional_desc, code, product_code) VALUES (NULL, 'PRODUCT-00195-001', 'PRODUCT-00195');</v>
      </c>
    </row>
    <row r="337" spans="1:5" x14ac:dyDescent="0.25">
      <c r="A337" s="23" t="str">
        <f>B337&amp;"-"&amp;TEXT(COUNTIF(B$2:B337,B337),"000")</f>
        <v>PRODUCT-00196-001</v>
      </c>
      <c r="B337" s="23" t="s">
        <v>757</v>
      </c>
      <c r="C337" s="23" t="str">
        <f>IFERROR(INDEX(Product!$B:$B,MATCH(B337,Product!$A:$A,0)),"NOT FOUND")</f>
        <v>[Omron] Máy đo huyết áp tự động kết nối Bluetooth - HEM-7142T1</v>
      </c>
      <c r="D337" s="23"/>
      <c r="E337" s="23" t="str">
        <f t="shared" si="5"/>
        <v>INSERT INTO public.medical_supply_product_variant (additional_desc, code, product_code) VALUES (NULL, 'PRODUCT-00196-001', 'PRODUCT-00196');</v>
      </c>
    </row>
    <row r="338" spans="1:5" x14ac:dyDescent="0.25">
      <c r="A338" s="23" t="str">
        <f>B338&amp;"-"&amp;TEXT(COUNTIF(B$2:B338,B338),"000")</f>
        <v>PRODUCT-00197-001</v>
      </c>
      <c r="B338" s="23" t="s">
        <v>758</v>
      </c>
      <c r="C338" s="23" t="str">
        <f>IFERROR(INDEX(Product!$B:$B,MATCH(B338,Product!$A:$A,0)),"NOT FOUND")</f>
        <v>[Omron] Máy đo huyết áp tự động kết nối Bluetooth - HEM-7142T2</v>
      </c>
      <c r="D338" s="23"/>
      <c r="E338" s="23" t="str">
        <f t="shared" si="5"/>
        <v>INSERT INTO public.medical_supply_product_variant (additional_desc, code, product_code) VALUES (NULL, 'PRODUCT-00197-001', 'PRODUCT-00197');</v>
      </c>
    </row>
    <row r="339" spans="1:5" x14ac:dyDescent="0.25">
      <c r="A339" s="23" t="str">
        <f>B339&amp;"-"&amp;TEXT(COUNTIF(B$2:B339,B339),"000")</f>
        <v>PRODUCT-00198-001</v>
      </c>
      <c r="B339" s="23" t="s">
        <v>759</v>
      </c>
      <c r="C339" s="23" t="str">
        <f>IFERROR(INDEX(Product!$B:$B,MATCH(B339,Product!$A:$A,0)),"NOT FOUND")</f>
        <v>[Omron] Máy đo huyết áp tự động kết nối Bluetooth - HEM-7143T1</v>
      </c>
      <c r="D339" s="23"/>
      <c r="E339" s="23" t="str">
        <f t="shared" si="5"/>
        <v>INSERT INTO public.medical_supply_product_variant (additional_desc, code, product_code) VALUES (NULL, 'PRODUCT-00198-001', 'PRODUCT-00198');</v>
      </c>
    </row>
    <row r="340" spans="1:5" x14ac:dyDescent="0.25">
      <c r="A340" s="23" t="str">
        <f>B340&amp;"-"&amp;TEXT(COUNTIF(B$2:B340,B340),"000")</f>
        <v>PRODUCT-00199-001</v>
      </c>
      <c r="B340" s="23" t="s">
        <v>760</v>
      </c>
      <c r="C340" s="23" t="str">
        <f>IFERROR(INDEX(Product!$B:$B,MATCH(B340,Product!$A:$A,0)),"NOT FOUND")</f>
        <v>[Omron] Máy đo thành phần cơ thể - HBF-375</v>
      </c>
      <c r="D340" s="23"/>
      <c r="E340" s="23" t="str">
        <f t="shared" si="5"/>
        <v>INSERT INTO public.medical_supply_product_variant (additional_desc, code, product_code) VALUES (NULL, 'PRODUCT-00199-001', 'PRODUCT-00199');</v>
      </c>
    </row>
    <row r="341" spans="1:5" x14ac:dyDescent="0.25">
      <c r="A341" s="23" t="str">
        <f>B341&amp;"-"&amp;TEXT(COUNTIF(B$2:B341,B341),"000")</f>
        <v>PRODUCT-00200-001</v>
      </c>
      <c r="B341" s="23" t="s">
        <v>761</v>
      </c>
      <c r="C341" s="23" t="str">
        <f>IFERROR(INDEX(Product!$B:$B,MATCH(B341,Product!$A:$A,0)),"NOT FOUND")</f>
        <v>[Omron] Nhiệt kế điện tử - MC-246</v>
      </c>
      <c r="D341" s="23"/>
      <c r="E341" s="23" t="str">
        <f t="shared" si="5"/>
        <v>INSERT INTO public.medical_supply_product_variant (additional_desc, code, product_code) VALUES (NULL, 'PRODUCT-00200-001', 'PRODUCT-00200');</v>
      </c>
    </row>
    <row r="342" spans="1:5" x14ac:dyDescent="0.25">
      <c r="A342" s="23" t="str">
        <f>B342&amp;"-"&amp;TEXT(COUNTIF(B$2:B342,B342),"000")</f>
        <v>PRODUCT-00201-001</v>
      </c>
      <c r="B342" s="23" t="s">
        <v>762</v>
      </c>
      <c r="C342" s="23" t="str">
        <f>IFERROR(INDEX(Product!$B:$B,MATCH(B342,Product!$A:$A,0)),"NOT FOUND")</f>
        <v>[Omron] Nhiệt kế điện tử đo trán - MC-720</v>
      </c>
      <c r="D342" s="23"/>
      <c r="E342" s="23" t="str">
        <f t="shared" si="5"/>
        <v>INSERT INTO public.medical_supply_product_variant (additional_desc, code, product_code) VALUES (NULL, 'PRODUCT-00201-001', 'PRODUCT-00201');</v>
      </c>
    </row>
    <row r="343" spans="1:5" x14ac:dyDescent="0.25">
      <c r="A343" s="23" t="str">
        <f>B343&amp;"-"&amp;TEXT(COUNTIF(B$2:B343,B343),"000")</f>
        <v>PRODUCT-00202-001</v>
      </c>
      <c r="B343" s="23" t="s">
        <v>763</v>
      </c>
      <c r="C343" s="23" t="str">
        <f>IFERROR(INDEX(Product!$B:$B,MATCH(B343,Product!$A:$A,0)),"NOT FOUND")</f>
        <v>[Roche] Máy đo đường huyết - Accu-Chek Instant</v>
      </c>
      <c r="D343" s="23"/>
      <c r="E343" s="23" t="str">
        <f t="shared" si="5"/>
        <v>INSERT INTO public.medical_supply_product_variant (additional_desc, code, product_code) VALUES (NULL, 'PRODUCT-00202-001', 'PRODUCT-00202');</v>
      </c>
    </row>
    <row r="344" spans="1:5" x14ac:dyDescent="0.25">
      <c r="A344" s="23" t="str">
        <f>B344&amp;"-"&amp;TEXT(COUNTIF(B$2:B344,B344),"000")</f>
        <v>PRODUCT-00203-001</v>
      </c>
      <c r="B344" s="23" t="s">
        <v>764</v>
      </c>
      <c r="C344" s="23" t="str">
        <f>IFERROR(INDEX(Product!$B:$B,MATCH(B344,Product!$A:$A,0)),"NOT FOUND")</f>
        <v>[Roche] Que thử đường huyết - Accu-Chek Instant</v>
      </c>
      <c r="D344" s="23"/>
      <c r="E344" s="23" t="str">
        <f t="shared" si="5"/>
        <v>INSERT INTO public.medical_supply_product_variant (additional_desc, code, product_code) VALUES (NULL, 'PRODUCT-00203-001', 'PRODUCT-00203');</v>
      </c>
    </row>
    <row r="345" spans="1:5" x14ac:dyDescent="0.25">
      <c r="A345" s="23" t="str">
        <f>B345&amp;"-"&amp;TEXT(COUNTIF(B$2:B345,B345),"000")</f>
        <v>PRODUCT-00204-001</v>
      </c>
      <c r="B345" s="23" t="s">
        <v>765</v>
      </c>
      <c r="C345" s="23" t="str">
        <f>IFERROR(INDEX(Product!$B:$B,MATCH(B345,Product!$A:$A,0)),"NOT FOUND")</f>
        <v>[Sinocare] Hệ thống đo đường huyết liên tục CGM - iCan i3</v>
      </c>
      <c r="D345" s="23"/>
      <c r="E345" s="23" t="str">
        <f t="shared" si="5"/>
        <v>INSERT INTO public.medical_supply_product_variant (additional_desc, code, product_code) VALUES (NULL, 'PRODUCT-00204-001', 'PRODUCT-00204');</v>
      </c>
    </row>
    <row r="346" spans="1:5" x14ac:dyDescent="0.25">
      <c r="A346" s="23" t="str">
        <f>B346&amp;"-"&amp;TEXT(COUNTIF(B$2:B346,B346),"000")</f>
        <v>PRODUCT-00205-001</v>
      </c>
      <c r="B346" s="23" t="s">
        <v>766</v>
      </c>
      <c r="C346" s="23" t="str">
        <f>IFERROR(INDEX(Product!$B:$B,MATCH(B346,Product!$A:$A,0)),"NOT FOUND")</f>
        <v>[Sinocare] Máy đo đường huyết - Safe-Accu</v>
      </c>
      <c r="D346" s="23"/>
      <c r="E346" s="23" t="str">
        <f t="shared" si="5"/>
        <v>INSERT INTO public.medical_supply_product_variant (additional_desc, code, product_code) VALUES (NULL, 'PRODUCT-00205-001', 'PRODUCT-00205');</v>
      </c>
    </row>
    <row r="347" spans="1:5" x14ac:dyDescent="0.25">
      <c r="A347" s="23" t="str">
        <f>B347&amp;"-"&amp;TEXT(COUNTIF(B$2:B347,B347),"000")</f>
        <v>PRODUCT-00206-001</v>
      </c>
      <c r="B347" s="23" t="s">
        <v>767</v>
      </c>
      <c r="C347" s="23" t="str">
        <f>IFERROR(INDEX(Product!$B:$B,MATCH(B347,Product!$A:$A,0)),"NOT FOUND")</f>
        <v>[Sinocare] Que thử đường huyết - Safe-Accu</v>
      </c>
      <c r="D347" s="23"/>
      <c r="E347" s="23" t="str">
        <f t="shared" si="5"/>
        <v>INSERT INTO public.medical_supply_product_variant (additional_desc, code, product_code) VALUES (NULL, 'PRODUCT-00206-001', 'PRODUCT-00206');</v>
      </c>
    </row>
    <row r="348" spans="1:5" x14ac:dyDescent="0.25">
      <c r="A348" s="23" t="str">
        <f>B348&amp;"-"&amp;TEXT(COUNTIF(B$2:B348,B348),"000")</f>
        <v>PRODUCT-00207-001</v>
      </c>
      <c r="B348" s="23" t="s">
        <v>768</v>
      </c>
      <c r="C348" s="23" t="str">
        <f>IFERROR(INDEX(Product!$B:$B,MATCH(B348,Product!$A:$A,0)),"NOT FOUND")</f>
        <v>[Create Medic] Bộ ống thông tiểu ngắt quãng silicon - Cliny</v>
      </c>
      <c r="D348" s="23"/>
      <c r="E348" s="23" t="str">
        <f t="shared" si="5"/>
        <v>INSERT INTO public.medical_supply_product_variant (additional_desc, code, product_code) VALUES (NULL, 'PRODUCT-00207-001', 'PRODUCT-00207');</v>
      </c>
    </row>
    <row r="349" spans="1:5" x14ac:dyDescent="0.25">
      <c r="A349" s="23" t="str">
        <f>B349&amp;"-"&amp;TEXT(COUNTIF(B$2:B349,B349),"000")</f>
        <v>PRODUCT-00207-002</v>
      </c>
      <c r="B349" s="23" t="s">
        <v>768</v>
      </c>
      <c r="C349" s="23" t="str">
        <f>IFERROR(INDEX(Product!$B:$B,MATCH(B349,Product!$A:$A,0)),"NOT FOUND")</f>
        <v>[Create Medic] Bộ ống thông tiểu ngắt quãng silicon - Cliny</v>
      </c>
      <c r="D349" s="23"/>
      <c r="E349" s="23" t="str">
        <f t="shared" si="5"/>
        <v>INSERT INTO public.medical_supply_product_variant (additional_desc, code, product_code) VALUES (NULL, 'PRODUCT-00207-002', 'PRODUCT-00207');</v>
      </c>
    </row>
    <row r="350" spans="1:5" x14ac:dyDescent="0.25">
      <c r="A350" s="23" t="str">
        <f>B350&amp;"-"&amp;TEXT(COUNTIF(B$2:B350,B350),"000")</f>
        <v>PRODUCT-00208-001</v>
      </c>
      <c r="B350" s="23" t="s">
        <v>769</v>
      </c>
      <c r="C350" s="23" t="str">
        <f>IFERROR(INDEX(Product!$B:$B,MATCH(B350,Product!$A:$A,0)),"NOT FOUND")</f>
        <v>[Fuji System] Ống thông tiểu ngắt quãng silicone - Selfcath</v>
      </c>
      <c r="D350" s="23"/>
      <c r="E350" s="23" t="str">
        <f t="shared" si="5"/>
        <v>INSERT INTO public.medical_supply_product_variant (additional_desc, code, product_code) VALUES (NULL, 'PRODUCT-00208-001', 'PRODUCT-00208');</v>
      </c>
    </row>
    <row r="351" spans="1:5" x14ac:dyDescent="0.25">
      <c r="A351" s="23" t="str">
        <f>B351&amp;"-"&amp;TEXT(COUNTIF(B$2:B351,B351),"000")</f>
        <v>PRODUCT-00209-001</v>
      </c>
      <c r="B351" s="23" t="s">
        <v>770</v>
      </c>
      <c r="C351" s="23" t="str">
        <f>IFERROR(INDEX(Product!$B:$B,MATCH(B351,Product!$A:$A,0)),"NOT FOUND")</f>
        <v>[Idealcare] Ống thông tiểu Foley silicon 2 nhánh dài ngày</v>
      </c>
      <c r="D351" s="23"/>
      <c r="E351" s="23" t="str">
        <f t="shared" si="5"/>
        <v>INSERT INTO public.medical_supply_product_variant (additional_desc, code, product_code) VALUES (NULL, 'PRODUCT-00209-001', 'PRODUCT-00209');</v>
      </c>
    </row>
    <row r="352" spans="1:5" x14ac:dyDescent="0.25">
      <c r="A352" s="23" t="str">
        <f>B352&amp;"-"&amp;TEXT(COUNTIF(B$2:B352,B352),"000")</f>
        <v>PRODUCT-00209-002</v>
      </c>
      <c r="B352" s="23" t="s">
        <v>770</v>
      </c>
      <c r="C352" s="23" t="str">
        <f>IFERROR(INDEX(Product!$B:$B,MATCH(B352,Product!$A:$A,0)),"NOT FOUND")</f>
        <v>[Idealcare] Ống thông tiểu Foley silicon 2 nhánh dài ngày</v>
      </c>
      <c r="D352" s="23"/>
      <c r="E352" s="23" t="str">
        <f t="shared" si="5"/>
        <v>INSERT INTO public.medical_supply_product_variant (additional_desc, code, product_code) VALUES (NULL, 'PRODUCT-00209-002', 'PRODUCT-00209');</v>
      </c>
    </row>
    <row r="353" spans="1:5" x14ac:dyDescent="0.25">
      <c r="A353" s="23" t="str">
        <f>B353&amp;"-"&amp;TEXT(COUNTIF(B$2:B353,B353),"000")</f>
        <v>PRODUCT-00209-003</v>
      </c>
      <c r="B353" s="23" t="s">
        <v>770</v>
      </c>
      <c r="C353" s="23" t="str">
        <f>IFERROR(INDEX(Product!$B:$B,MATCH(B353,Product!$A:$A,0)),"NOT FOUND")</f>
        <v>[Idealcare] Ống thông tiểu Foley silicon 2 nhánh dài ngày</v>
      </c>
      <c r="D353" s="23"/>
      <c r="E353" s="23" t="str">
        <f t="shared" si="5"/>
        <v>INSERT INTO public.medical_supply_product_variant (additional_desc, code, product_code) VALUES (NULL, 'PRODUCT-00209-003', 'PRODUCT-00209');</v>
      </c>
    </row>
    <row r="354" spans="1:5" x14ac:dyDescent="0.25">
      <c r="A354" s="23" t="str">
        <f>B354&amp;"-"&amp;TEXT(COUNTIF(B$2:B354,B354),"000")</f>
        <v>PRODUCT-00209-004</v>
      </c>
      <c r="B354" s="23" t="s">
        <v>770</v>
      </c>
      <c r="C354" s="23" t="str">
        <f>IFERROR(INDEX(Product!$B:$B,MATCH(B354,Product!$A:$A,0)),"NOT FOUND")</f>
        <v>[Idealcare] Ống thông tiểu Foley silicon 2 nhánh dài ngày</v>
      </c>
      <c r="D354" s="23"/>
      <c r="E354" s="23" t="str">
        <f t="shared" si="5"/>
        <v>INSERT INTO public.medical_supply_product_variant (additional_desc, code, product_code) VALUES (NULL, 'PRODUCT-00209-004', 'PRODUCT-00209');</v>
      </c>
    </row>
    <row r="355" spans="1:5" x14ac:dyDescent="0.25">
      <c r="A355" s="23" t="str">
        <f>B355&amp;"-"&amp;TEXT(COUNTIF(B$2:B355,B355),"000")</f>
        <v>PRODUCT-00210-001</v>
      </c>
      <c r="B355" s="23" t="s">
        <v>771</v>
      </c>
      <c r="C355" s="23" t="str">
        <f>IFERROR(INDEX(Product!$B:$B,MATCH(B355,Product!$A:$A,0)),"NOT FOUND")</f>
        <v>[Idealcare] Ống thông tiểu Foley silicon 3 nhánh dài ngày</v>
      </c>
      <c r="D355" s="23"/>
      <c r="E355" s="23" t="str">
        <f t="shared" si="5"/>
        <v>INSERT INTO public.medical_supply_product_variant (additional_desc, code, product_code) VALUES (NULL, 'PRODUCT-00210-001', 'PRODUCT-00210');</v>
      </c>
    </row>
    <row r="356" spans="1:5" x14ac:dyDescent="0.25">
      <c r="A356" s="23" t="str">
        <f>B356&amp;"-"&amp;TEXT(COUNTIF(B$2:B356,B356),"000")</f>
        <v>PRODUCT-00210-002</v>
      </c>
      <c r="B356" s="23" t="s">
        <v>771</v>
      </c>
      <c r="C356" s="23" t="str">
        <f>IFERROR(INDEX(Product!$B:$B,MATCH(B356,Product!$A:$A,0)),"NOT FOUND")</f>
        <v>[Idealcare] Ống thông tiểu Foley silicon 3 nhánh dài ngày</v>
      </c>
      <c r="D356" s="23"/>
      <c r="E356" s="23" t="str">
        <f t="shared" si="5"/>
        <v>INSERT INTO public.medical_supply_product_variant (additional_desc, code, product_code) VALUES (NULL, 'PRODUCT-00210-002', 'PRODUCT-00210');</v>
      </c>
    </row>
    <row r="357" spans="1:5" x14ac:dyDescent="0.25">
      <c r="A357" s="23" t="str">
        <f>B357&amp;"-"&amp;TEXT(COUNTIF(B$2:B357,B357),"000")</f>
        <v>PRODUCT-00211-001</v>
      </c>
      <c r="B357" s="23" t="s">
        <v>772</v>
      </c>
      <c r="C357" s="23" t="str">
        <f>IFERROR(INDEX(Product!$B:$B,MATCH(B357,Product!$A:$A,0)),"NOT FOUND")</f>
        <v>[Mepro] Ống thông tiểu Foley silicon 2 nhánh dài ngày</v>
      </c>
      <c r="D357" s="23"/>
      <c r="E357" s="23" t="str">
        <f t="shared" si="5"/>
        <v>INSERT INTO public.medical_supply_product_variant (additional_desc, code, product_code) VALUES (NULL, 'PRODUCT-00211-001', 'PRODUCT-00211');</v>
      </c>
    </row>
    <row r="358" spans="1:5" x14ac:dyDescent="0.25">
      <c r="A358" s="23" t="str">
        <f>B358&amp;"-"&amp;TEXT(COUNTIF(B$2:B358,B358),"000")</f>
        <v>PRODUCT-00211-002</v>
      </c>
      <c r="B358" s="23" t="s">
        <v>772</v>
      </c>
      <c r="C358" s="23" t="str">
        <f>IFERROR(INDEX(Product!$B:$B,MATCH(B358,Product!$A:$A,0)),"NOT FOUND")</f>
        <v>[Mepro] Ống thông tiểu Foley silicon 2 nhánh dài ngày</v>
      </c>
      <c r="D358" s="23"/>
      <c r="E358" s="23" t="str">
        <f t="shared" si="5"/>
        <v>INSERT INTO public.medical_supply_product_variant (additional_desc, code, product_code) VALUES (NULL, 'PRODUCT-00211-002', 'PRODUCT-00211');</v>
      </c>
    </row>
    <row r="359" spans="1:5" x14ac:dyDescent="0.25">
      <c r="A359" s="23" t="str">
        <f>B359&amp;"-"&amp;TEXT(COUNTIF(B$2:B359,B359),"000")</f>
        <v>PRODUCT-00211-003</v>
      </c>
      <c r="B359" s="23" t="s">
        <v>772</v>
      </c>
      <c r="C359" s="23" t="str">
        <f>IFERROR(INDEX(Product!$B:$B,MATCH(B359,Product!$A:$A,0)),"NOT FOUND")</f>
        <v>[Mepro] Ống thông tiểu Foley silicon 2 nhánh dài ngày</v>
      </c>
      <c r="D359" s="23"/>
      <c r="E359" s="23" t="str">
        <f t="shared" si="5"/>
        <v>INSERT INTO public.medical_supply_product_variant (additional_desc, code, product_code) VALUES (NULL, 'PRODUCT-00211-003', 'PRODUCT-00211');</v>
      </c>
    </row>
    <row r="360" spans="1:5" x14ac:dyDescent="0.25">
      <c r="A360" s="23" t="str">
        <f>B360&amp;"-"&amp;TEXT(COUNTIF(B$2:B360,B360),"000")</f>
        <v>PRODUCT-00212-001</v>
      </c>
      <c r="B360" s="23" t="s">
        <v>773</v>
      </c>
      <c r="C360" s="23" t="str">
        <f>IFERROR(INDEX(Product!$B:$B,MATCH(B360,Product!$A:$A,0)),"NOT FOUND")</f>
        <v>[Pitr Med] Dụng cụ hỗ trợ đi tiểu nam (bộ chụp tiểu silicon)</v>
      </c>
      <c r="D360" s="23"/>
      <c r="E360" s="23" t="str">
        <f t="shared" si="5"/>
        <v>INSERT INTO public.medical_supply_product_variant (additional_desc, code, product_code) VALUES (NULL, 'PRODUCT-00212-001', 'PRODUCT-00212');</v>
      </c>
    </row>
    <row r="361" spans="1:5" x14ac:dyDescent="0.25">
      <c r="A361" s="23" t="str">
        <f>B361&amp;"-"&amp;TEXT(COUNTIF(B$2:B361,B361),"000")</f>
        <v>PRODUCT-00213-001</v>
      </c>
      <c r="B361" s="23" t="s">
        <v>774</v>
      </c>
      <c r="C361" s="23" t="str">
        <f>IFERROR(INDEX(Product!$B:$B,MATCH(B361,Product!$A:$A,0)),"NOT FOUND")</f>
        <v>[Welford] Túi đựng nước tiểu có van khóa - i-CARE</v>
      </c>
      <c r="D361" s="23"/>
      <c r="E361" s="23" t="str">
        <f t="shared" si="5"/>
        <v>INSERT INTO public.medical_supply_product_variant (additional_desc, code, product_code) VALUES (NULL, 'PRODUCT-00213-001', 'PRODUCT-00213');</v>
      </c>
    </row>
    <row r="362" spans="1:5" ht="45" x14ac:dyDescent="0.25">
      <c r="A362" s="23" t="str">
        <f>B362&amp;"-"&amp;TEXT(COUNTIF(B$2:B362,B362),"000")</f>
        <v>PRODUCT-00214-001</v>
      </c>
      <c r="B362" s="23" t="s">
        <v>775</v>
      </c>
      <c r="C362" s="23" t="str">
        <f>IFERROR(INDEX(Product!$B:$B,MATCH(B362,Product!$A:$A,0)),"NOT FOUND")</f>
        <v>[Yushin] Bộ mở bàng quang qua da - Suprapubic Catheter Set</v>
      </c>
      <c r="D362" s="1" t="s">
        <v>2105</v>
      </c>
      <c r="E362" s="23" t="str">
        <f t="shared" si="5"/>
        <v>INSERT INTO public.medical_supply_product_variant (additional_desc, code, product_code) VALUES ('O.D: 5.4 mm
Dung tích bóng: 5 ml
Chiều dài: 400 mm', 'PRODUCT-00214-001', 'PRODUCT-00214');</v>
      </c>
    </row>
    <row r="363" spans="1:5" ht="30" x14ac:dyDescent="0.25">
      <c r="A363" s="23" t="str">
        <f>B363&amp;"-"&amp;TEXT(COUNTIF(B$2:B363,B363),"000")</f>
        <v>PRODUCT-00214-002</v>
      </c>
      <c r="B363" s="23" t="s">
        <v>775</v>
      </c>
      <c r="C363" s="23" t="str">
        <f>IFERROR(INDEX(Product!$B:$B,MATCH(B363,Product!$A:$A,0)),"NOT FOUND")</f>
        <v>[Yushin] Bộ mở bàng quang qua da - Suprapubic Catheter Set</v>
      </c>
      <c r="D363" s="1" t="s">
        <v>2106</v>
      </c>
      <c r="E363" s="23" t="str">
        <f t="shared" si="5"/>
        <v>INSERT INTO public.medical_supply_product_variant (additional_desc, code, product_code) VALUES ('O.D: 6.1 mm
Dung tích bóng: 5 ml', 'PRODUCT-00214-002', 'PRODUCT-00214');</v>
      </c>
    </row>
    <row r="364" spans="1:5" x14ac:dyDescent="0.25">
      <c r="A364" s="23" t="str">
        <f>B364&amp;"-"&amp;TEXT(COUNTIF(B$2:B364,B364),"000")</f>
        <v>PRODUCT-00215-001</v>
      </c>
      <c r="B364" s="23" t="s">
        <v>776</v>
      </c>
      <c r="C364" s="23" t="str">
        <f>IFERROR(INDEX(Product!$B:$B,MATCH(B364,Product!$A:$A,0)),"NOT FOUND")</f>
        <v>[Yushin] Ống thông tiểu Foley silicon 2 nhánh dài ngày</v>
      </c>
      <c r="D364" s="23"/>
      <c r="E364" s="23" t="str">
        <f t="shared" si="5"/>
        <v>INSERT INTO public.medical_supply_product_variant (additional_desc, code, product_code) VALUES (NULL, 'PRODUCT-00215-001', 'PRODUCT-00215');</v>
      </c>
    </row>
    <row r="365" spans="1:5" x14ac:dyDescent="0.25">
      <c r="A365" s="23" t="str">
        <f>B365&amp;"-"&amp;TEXT(COUNTIF(B$2:B365,B365),"000")</f>
        <v>PRODUCT-00215-002</v>
      </c>
      <c r="B365" s="23" t="s">
        <v>776</v>
      </c>
      <c r="C365" s="23" t="str">
        <f>IFERROR(INDEX(Product!$B:$B,MATCH(B365,Product!$A:$A,0)),"NOT FOUND")</f>
        <v>[Yushin] Ống thông tiểu Foley silicon 2 nhánh dài ngày</v>
      </c>
      <c r="D365" s="23"/>
      <c r="E365" s="23" t="str">
        <f t="shared" si="5"/>
        <v>INSERT INTO public.medical_supply_product_variant (additional_desc, code, product_code) VALUES (NULL, 'PRODUCT-00215-002', 'PRODUCT-00215');</v>
      </c>
    </row>
    <row r="366" spans="1:5" x14ac:dyDescent="0.25">
      <c r="A366" s="23" t="str">
        <f>B366&amp;"-"&amp;TEXT(COUNTIF(B$2:B366,B366),"000")</f>
        <v>PRODUCT-00216-001</v>
      </c>
      <c r="B366" s="23" t="s">
        <v>777</v>
      </c>
      <c r="C366" s="23" t="str">
        <f>IFERROR(INDEX(Product!$B:$B,MATCH(B366,Product!$A:$A,0)),"NOT FOUND")</f>
        <v>[Yushin] Ống thông tiểu ngắt quãng silicon</v>
      </c>
      <c r="D366" s="23"/>
      <c r="E366" s="23" t="str">
        <f t="shared" si="5"/>
        <v>INSERT INTO public.medical_supply_product_variant (additional_desc, code, product_code) VALUES (NULL, 'PRODUCT-00216-001', 'PRODUCT-00216');</v>
      </c>
    </row>
    <row r="367" spans="1:5" x14ac:dyDescent="0.25">
      <c r="A367" s="23" t="str">
        <f>B367&amp;"-"&amp;TEXT(COUNTIF(B$2:B367,B367),"000")</f>
        <v>PRODUCT-00216-002</v>
      </c>
      <c r="B367" s="23" t="s">
        <v>777</v>
      </c>
      <c r="C367" s="23" t="str">
        <f>IFERROR(INDEX(Product!$B:$B,MATCH(B367,Product!$A:$A,0)),"NOT FOUND")</f>
        <v>[Yushin] Ống thông tiểu ngắt quãng silicon</v>
      </c>
      <c r="D367" s="23"/>
      <c r="E367" s="23" t="str">
        <f t="shared" si="5"/>
        <v>INSERT INTO public.medical_supply_product_variant (additional_desc, code, product_code) VALUES (NULL, 'PRODUCT-00216-002', 'PRODUCT-00216');</v>
      </c>
    </row>
    <row r="368" spans="1:5" x14ac:dyDescent="0.25">
      <c r="A368" s="23" t="str">
        <f>B368&amp;"-"&amp;TEXT(COUNTIF(B$2:B368,B368),"000")</f>
        <v>PRODUCT-00217-001</v>
      </c>
      <c r="B368" s="23" t="s">
        <v>778</v>
      </c>
      <c r="C368" s="23" t="str">
        <f>IFERROR(INDEX(Product!$B:$B,MATCH(B368,Product!$A:$A,0)),"NOT FOUND")</f>
        <v>Túi đựng nước tiểu cột chân có van khóa</v>
      </c>
      <c r="D368" s="23"/>
      <c r="E368" s="23" t="str">
        <f t="shared" si="5"/>
        <v>INSERT INTO public.medical_supply_product_variant (additional_desc, code, product_code) VALUES (NULL, 'PRODUCT-00217-001', 'PRODUCT-00217');</v>
      </c>
    </row>
    <row r="369" spans="1:5" x14ac:dyDescent="0.25">
      <c r="A369" s="23" t="str">
        <f>B369&amp;"-"&amp;TEXT(COUNTIF(B$2:B369,B369),"000")</f>
        <v>PRODUCT-00218-001</v>
      </c>
      <c r="B369" s="23" t="s">
        <v>779</v>
      </c>
      <c r="C369" s="23" t="str">
        <f>IFERROR(INDEX(Product!$B:$B,MATCH(B369,Product!$A:$A,0)),"NOT FOUND")</f>
        <v>[Bornsun] Hệ thống dẫn lưu phân</v>
      </c>
      <c r="D369" s="23"/>
      <c r="E369" s="23" t="str">
        <f t="shared" si="5"/>
        <v>INSERT INTO public.medical_supply_product_variant (additional_desc, code, product_code) VALUES (NULL, 'PRODUCT-00218-001', 'PRODUCT-00218');</v>
      </c>
    </row>
    <row r="370" spans="1:5" x14ac:dyDescent="0.25">
      <c r="A370" s="23" t="str">
        <f>B370&amp;"-"&amp;TEXT(COUNTIF(B$2:B370,B370),"000")</f>
        <v>PRODUCT-00219-001</v>
      </c>
      <c r="B370" s="23" t="s">
        <v>780</v>
      </c>
      <c r="C370" s="23" t="str">
        <f>IFERROR(INDEX(Product!$B:$B,MATCH(B370,Product!$A:$A,0)),"NOT FOUND")</f>
        <v>[Covidien] Máy bơm thức ăn - Kangaroo ePump™</v>
      </c>
      <c r="D370" s="23"/>
      <c r="E370" s="23" t="str">
        <f t="shared" si="5"/>
        <v>INSERT INTO public.medical_supply_product_variant (additional_desc, code, product_code) VALUES (NULL, 'PRODUCT-00219-001', 'PRODUCT-00219');</v>
      </c>
    </row>
    <row r="371" spans="1:5" x14ac:dyDescent="0.25">
      <c r="A371" s="23" t="str">
        <f>B371&amp;"-"&amp;TEXT(COUNTIF(B$2:B371,B371),"000")</f>
        <v>PRODUCT-00220-001</v>
      </c>
      <c r="B371" s="23" t="s">
        <v>781</v>
      </c>
      <c r="C371" s="23" t="str">
        <f>IFERROR(INDEX(Product!$B:$B,MATCH(B371,Product!$A:$A,0)),"NOT FOUND")</f>
        <v>[Covidien] Ống thông dạ dày nuôi ăn 29 ngày - Kangaroo</v>
      </c>
      <c r="D371" s="23"/>
      <c r="E371" s="23" t="str">
        <f t="shared" si="5"/>
        <v>INSERT INTO public.medical_supply_product_variant (additional_desc, code, product_code) VALUES (NULL, 'PRODUCT-00220-001', 'PRODUCT-00220');</v>
      </c>
    </row>
    <row r="372" spans="1:5" x14ac:dyDescent="0.25">
      <c r="A372" s="23" t="str">
        <f>B372&amp;"-"&amp;TEXT(COUNTIF(B$2:B372,B372),"000")</f>
        <v>PRODUCT-00221-001</v>
      </c>
      <c r="B372" s="23" t="s">
        <v>782</v>
      </c>
      <c r="C372" s="23" t="str">
        <f>IFERROR(INDEX(Product!$B:$B,MATCH(B372,Product!$A:$A,0)),"NOT FOUND")</f>
        <v>[Create Medic] Bộ mở thông dạ dày qua da - Cliny</v>
      </c>
      <c r="D372" s="23" t="s">
        <v>2107</v>
      </c>
      <c r="E372" s="23" t="str">
        <f t="shared" si="5"/>
        <v>INSERT INTO public.medical_supply_product_variant (additional_desc, code, product_code) VALUES ('Chiều dài: 225 mm', 'PRODUCT-00221-001', 'PRODUCT-00221');</v>
      </c>
    </row>
    <row r="373" spans="1:5" x14ac:dyDescent="0.25">
      <c r="A373" s="23" t="str">
        <f>B373&amp;"-"&amp;TEXT(COUNTIF(B$2:B373,B373),"000")</f>
        <v>PRODUCT-00221-002</v>
      </c>
      <c r="B373" s="23" t="s">
        <v>782</v>
      </c>
      <c r="C373" s="23" t="str">
        <f>IFERROR(INDEX(Product!$B:$B,MATCH(B373,Product!$A:$A,0)),"NOT FOUND")</f>
        <v>[Create Medic] Bộ mở thông dạ dày qua da - Cliny</v>
      </c>
      <c r="D373" s="23" t="s">
        <v>2107</v>
      </c>
      <c r="E373" s="23" t="str">
        <f t="shared" si="5"/>
        <v>INSERT INTO public.medical_supply_product_variant (additional_desc, code, product_code) VALUES ('Chiều dài: 225 mm', 'PRODUCT-00221-002', 'PRODUCT-00221');</v>
      </c>
    </row>
    <row r="374" spans="1:5" x14ac:dyDescent="0.25">
      <c r="A374" s="23" t="str">
        <f>B374&amp;"-"&amp;TEXT(COUNTIF(B$2:B374,B374),"000")</f>
        <v>PRODUCT-00221-003</v>
      </c>
      <c r="B374" s="23" t="s">
        <v>782</v>
      </c>
      <c r="C374" s="23" t="str">
        <f>IFERROR(INDEX(Product!$B:$B,MATCH(B374,Product!$A:$A,0)),"NOT FOUND")</f>
        <v>[Create Medic] Bộ mở thông dạ dày qua da - Cliny</v>
      </c>
      <c r="D374" s="23" t="s">
        <v>2107</v>
      </c>
      <c r="E374" s="23" t="str">
        <f t="shared" si="5"/>
        <v>INSERT INTO public.medical_supply_product_variant (additional_desc, code, product_code) VALUES ('Chiều dài: 225 mm', 'PRODUCT-00221-003', 'PRODUCT-00221');</v>
      </c>
    </row>
    <row r="375" spans="1:5" x14ac:dyDescent="0.25">
      <c r="A375" s="23" t="str">
        <f>B375&amp;"-"&amp;TEXT(COUNTIF(B$2:B375,B375),"000")</f>
        <v>PRODUCT-00221-004</v>
      </c>
      <c r="B375" s="23" t="s">
        <v>782</v>
      </c>
      <c r="C375" s="23" t="str">
        <f>IFERROR(INDEX(Product!$B:$B,MATCH(B375,Product!$A:$A,0)),"NOT FOUND")</f>
        <v>[Create Medic] Bộ mở thông dạ dày qua da - Cliny</v>
      </c>
      <c r="D375" s="23" t="s">
        <v>2107</v>
      </c>
      <c r="E375" s="23" t="str">
        <f t="shared" si="5"/>
        <v>INSERT INTO public.medical_supply_product_variant (additional_desc, code, product_code) VALUES ('Chiều dài: 225 mm', 'PRODUCT-00221-004', 'PRODUCT-00221');</v>
      </c>
    </row>
    <row r="376" spans="1:5" x14ac:dyDescent="0.25">
      <c r="A376" s="23" t="str">
        <f>B376&amp;"-"&amp;TEXT(COUNTIF(B$2:B376,B376),"000")</f>
        <v>PRODUCT-00222-001</v>
      </c>
      <c r="B376" s="23" t="s">
        <v>783</v>
      </c>
      <c r="C376" s="23" t="str">
        <f>IFERROR(INDEX(Product!$B:$B,MATCH(B376,Product!$A:$A,0)),"NOT FOUND")</f>
        <v>[Daesang Wellife] Sữa dinh dưỡng dành cho người tiểu đường - Nucare Glucose Plan (200ml)</v>
      </c>
      <c r="D376" s="23"/>
      <c r="E376" s="23" t="str">
        <f t="shared" si="5"/>
        <v>INSERT INTO public.medical_supply_product_variant (additional_desc, code, product_code) VALUES (NULL, 'PRODUCT-00222-001', 'PRODUCT-00222');</v>
      </c>
    </row>
    <row r="377" spans="1:5" x14ac:dyDescent="0.25">
      <c r="A377" s="23" t="str">
        <f>B377&amp;"-"&amp;TEXT(COUNTIF(B$2:B377,B377),"000")</f>
        <v>PRODUCT-00223-001</v>
      </c>
      <c r="B377" s="23" t="s">
        <v>784</v>
      </c>
      <c r="C377" s="23" t="str">
        <f>IFERROR(INDEX(Product!$B:$B,MATCH(B377,Product!$A:$A,0)),"NOT FOUND")</f>
        <v>[Fortune] Bộ mở thông dạ dày qua da</v>
      </c>
      <c r="D377" s="23"/>
      <c r="E377" s="23" t="str">
        <f t="shared" si="5"/>
        <v>INSERT INTO public.medical_supply_product_variant (additional_desc, code, product_code) VALUES (NULL, 'PRODUCT-00223-001', 'PRODUCT-00223');</v>
      </c>
    </row>
    <row r="378" spans="1:5" x14ac:dyDescent="0.25">
      <c r="A378" s="23" t="str">
        <f>B378&amp;"-"&amp;TEXT(COUNTIF(B$2:B378,B378),"000")</f>
        <v>PRODUCT-00223-002</v>
      </c>
      <c r="B378" s="23" t="s">
        <v>784</v>
      </c>
      <c r="C378" s="23" t="str">
        <f>IFERROR(INDEX(Product!$B:$B,MATCH(B378,Product!$A:$A,0)),"NOT FOUND")</f>
        <v>[Fortune] Bộ mở thông dạ dày qua da</v>
      </c>
      <c r="D378" s="23"/>
      <c r="E378" s="23" t="str">
        <f t="shared" si="5"/>
        <v>INSERT INTO public.medical_supply_product_variant (additional_desc, code, product_code) VALUES (NULL, 'PRODUCT-00223-002', 'PRODUCT-00223');</v>
      </c>
    </row>
    <row r="379" spans="1:5" x14ac:dyDescent="0.25">
      <c r="A379" s="23" t="str">
        <f>B379&amp;"-"&amp;TEXT(COUNTIF(B$2:B379,B379),"000")</f>
        <v>PRODUCT-00223-003</v>
      </c>
      <c r="B379" s="23" t="s">
        <v>784</v>
      </c>
      <c r="C379" s="23" t="str">
        <f>IFERROR(INDEX(Product!$B:$B,MATCH(B379,Product!$A:$A,0)),"NOT FOUND")</f>
        <v>[Fortune] Bộ mở thông dạ dày qua da</v>
      </c>
      <c r="D379" s="23"/>
      <c r="E379" s="23" t="str">
        <f t="shared" si="5"/>
        <v>INSERT INTO public.medical_supply_product_variant (additional_desc, code, product_code) VALUES (NULL, 'PRODUCT-00223-003', 'PRODUCT-00223');</v>
      </c>
    </row>
    <row r="380" spans="1:5" x14ac:dyDescent="0.25">
      <c r="A380" s="23" t="str">
        <f>B380&amp;"-"&amp;TEXT(COUNTIF(B$2:B380,B380),"000")</f>
        <v>PRODUCT-00224-001</v>
      </c>
      <c r="B380" s="23" t="s">
        <v>785</v>
      </c>
      <c r="C380" s="23" t="str">
        <f>IFERROR(INDEX(Product!$B:$B,MATCH(B380,Product!$A:$A,0)),"NOT FOUND")</f>
        <v>[Fortune] Xông nuôi ăn silicone dài ngày</v>
      </c>
      <c r="D380" s="23" t="s">
        <v>2108</v>
      </c>
      <c r="E380" s="23" t="str">
        <f t="shared" si="5"/>
        <v>INSERT INTO public.medical_supply_product_variant (additional_desc, code, product_code) VALUES ('Độ dài: 1200 mm', 'PRODUCT-00224-001', 'PRODUCT-00224');</v>
      </c>
    </row>
    <row r="381" spans="1:5" x14ac:dyDescent="0.25">
      <c r="A381" s="23" t="str">
        <f>B381&amp;"-"&amp;TEXT(COUNTIF(B$2:B381,B381),"000")</f>
        <v>PRODUCT-00224-002</v>
      </c>
      <c r="B381" s="23" t="s">
        <v>785</v>
      </c>
      <c r="C381" s="23" t="str">
        <f>IFERROR(INDEX(Product!$B:$B,MATCH(B381,Product!$A:$A,0)),"NOT FOUND")</f>
        <v>[Fortune] Xông nuôi ăn silicone dài ngày</v>
      </c>
      <c r="D381" s="23"/>
      <c r="E381" s="23" t="str">
        <f t="shared" si="5"/>
        <v>INSERT INTO public.medical_supply_product_variant (additional_desc, code, product_code) VALUES (NULL, 'PRODUCT-00224-002', 'PRODUCT-00224');</v>
      </c>
    </row>
    <row r="382" spans="1:5" x14ac:dyDescent="0.25">
      <c r="A382" s="23" t="str">
        <f>B382&amp;"-"&amp;TEXT(COUNTIF(B$2:B382,B382),"000")</f>
        <v>PRODUCT-00225-001</v>
      </c>
      <c r="B382" s="23" t="s">
        <v>786</v>
      </c>
      <c r="C382" s="23" t="str">
        <f>IFERROR(INDEX(Product!$B:$B,MATCH(B382,Product!$A:$A,0)),"NOT FOUND")</f>
        <v>[Mepro] Dây xông dạ dày nuôi ăn silicone 30 ngày</v>
      </c>
      <c r="D382" s="23" t="s">
        <v>2108</v>
      </c>
      <c r="E382" s="23" t="str">
        <f t="shared" si="5"/>
        <v>INSERT INTO public.medical_supply_product_variant (additional_desc, code, product_code) VALUES ('Độ dài: 1200 mm', 'PRODUCT-00225-001', 'PRODUCT-00225');</v>
      </c>
    </row>
    <row r="383" spans="1:5" x14ac:dyDescent="0.25">
      <c r="A383" s="23" t="str">
        <f>B383&amp;"-"&amp;TEXT(COUNTIF(B$2:B383,B383),"000")</f>
        <v>PRODUCT-00225-002</v>
      </c>
      <c r="B383" s="23" t="s">
        <v>786</v>
      </c>
      <c r="C383" s="23" t="str">
        <f>IFERROR(INDEX(Product!$B:$B,MATCH(B383,Product!$A:$A,0)),"NOT FOUND")</f>
        <v>[Mepro] Dây xông dạ dày nuôi ăn silicone 30 ngày</v>
      </c>
      <c r="D383" s="23"/>
      <c r="E383" s="23" t="str">
        <f t="shared" si="5"/>
        <v>INSERT INTO public.medical_supply_product_variant (additional_desc, code, product_code) VALUES (NULL, 'PRODUCT-00225-002', 'PRODUCT-00225');</v>
      </c>
    </row>
    <row r="384" spans="1:5" x14ac:dyDescent="0.25">
      <c r="A384" s="23" t="str">
        <f>B384&amp;"-"&amp;TEXT(COUNTIF(B$2:B384,B384),"000")</f>
        <v>PRODUCT-00226-001</v>
      </c>
      <c r="B384" s="23" t="s">
        <v>787</v>
      </c>
      <c r="C384" s="23" t="str">
        <f>IFERROR(INDEX(Product!$B:$B,MATCH(B384,Product!$A:$A,0)),"NOT FOUND")</f>
        <v>[Nutricia] Sữa dinh dưỡng - Fortimel Power (335g)</v>
      </c>
      <c r="D384" s="23"/>
      <c r="E384" s="23" t="str">
        <f t="shared" si="5"/>
        <v>INSERT INTO public.medical_supply_product_variant (additional_desc, code, product_code) VALUES (NULL, 'PRODUCT-00226-001', 'PRODUCT-00226');</v>
      </c>
    </row>
    <row r="385" spans="1:5" x14ac:dyDescent="0.25">
      <c r="A385" s="23" t="str">
        <f>B385&amp;"-"&amp;TEXT(COUNTIF(B$2:B385,B385),"000")</f>
        <v>PRODUCT-00227-001</v>
      </c>
      <c r="B385" s="23" t="s">
        <v>788</v>
      </c>
      <c r="C385" s="23" t="str">
        <f>IFERROR(INDEX(Product!$B:$B,MATCH(B385,Product!$A:$A,0)),"NOT FOUND")</f>
        <v>[Nutricia] Sữa dinh dưỡng dành cho bệnh nhân ung thư - Forticare (125ml)</v>
      </c>
      <c r="D385" s="23"/>
      <c r="E385" s="23" t="str">
        <f t="shared" si="5"/>
        <v>INSERT INTO public.medical_supply_product_variant (additional_desc, code, product_code) VALUES (NULL, 'PRODUCT-00227-001', 'PRODUCT-00227');</v>
      </c>
    </row>
    <row r="386" spans="1:5" x14ac:dyDescent="0.25">
      <c r="A386" s="23" t="str">
        <f>B386&amp;"-"&amp;TEXT(COUNTIF(B$2:B386,B386),"000")</f>
        <v>PRODUCT-00228-001</v>
      </c>
      <c r="B386" s="27" t="s">
        <v>789</v>
      </c>
      <c r="C386" s="23" t="str">
        <f>IFERROR(INDEX(Product!$B:$B,MATCH(B386,Product!$A:$A,0)),"NOT FOUND")</f>
        <v>[Nutricia] Sữa dinh dưỡng nuôi ăn qua ống thông - Nutrison (1000ml)</v>
      </c>
      <c r="D386" s="23"/>
      <c r="E386" s="23" t="str">
        <f t="shared" si="5"/>
        <v>INSERT INTO public.medical_supply_product_variant (additional_desc, code, product_code) VALUES (NULL, 'PRODUCT-00228-001', 'PRODUCT-00228');</v>
      </c>
    </row>
    <row r="387" spans="1:5" x14ac:dyDescent="0.25">
      <c r="A387" s="23" t="str">
        <f>B387&amp;"-"&amp;TEXT(COUNTIF(B$2:B387,B387),"000")</f>
        <v>PRODUCT-00229-001</v>
      </c>
      <c r="B387" s="23" t="s">
        <v>790</v>
      </c>
      <c r="C387" s="23" t="str">
        <f>IFERROR(INDEX(Product!$B:$B,MATCH(B387,Product!$A:$A,0)),"NOT FOUND")</f>
        <v>[SeaSight] Bộ mở dạ dày qua da</v>
      </c>
      <c r="D387" s="23"/>
      <c r="E387" s="23" t="str">
        <f t="shared" ref="E387:E412" si="6">"INSERT INTO public.medical_supply_product_variant (additional_desc, code, product_code) VALUES ("&amp;IF(D387="","NULL","'"&amp;SUBSTITUTE(D387,"'","''")&amp;"'")&amp;", '"&amp;A387&amp;"', '"&amp;B387&amp;"');"</f>
        <v>INSERT INTO public.medical_supply_product_variant (additional_desc, code, product_code) VALUES (NULL, 'PRODUCT-00229-001', 'PRODUCT-00229');</v>
      </c>
    </row>
    <row r="388" spans="1:5" x14ac:dyDescent="0.25">
      <c r="A388" s="23" t="str">
        <f>B388&amp;"-"&amp;TEXT(COUNTIF(B$2:B388,B388),"000")</f>
        <v>PRODUCT-00229-002</v>
      </c>
      <c r="B388" s="23" t="s">
        <v>790</v>
      </c>
      <c r="C388" s="23" t="str">
        <f>IFERROR(INDEX(Product!$B:$B,MATCH(B388,Product!$A:$A,0)),"NOT FOUND")</f>
        <v>[SeaSight] Bộ mở dạ dày qua da</v>
      </c>
      <c r="D388" s="23"/>
      <c r="E388" s="23" t="str">
        <f t="shared" si="6"/>
        <v>INSERT INTO public.medical_supply_product_variant (additional_desc, code, product_code) VALUES (NULL, 'PRODUCT-00229-002', 'PRODUCT-00229');</v>
      </c>
    </row>
    <row r="389" spans="1:5" x14ac:dyDescent="0.25">
      <c r="A389" s="23" t="str">
        <f>B389&amp;"-"&amp;TEXT(COUNTIF(B$2:B389,B389),"000")</f>
        <v>PRODUCT-00230-001</v>
      </c>
      <c r="B389" s="23" t="s">
        <v>791</v>
      </c>
      <c r="C389" s="23" t="str">
        <f>IFERROR(INDEX(Product!$B:$B,MATCH(B389,Product!$A:$A,0)),"NOT FOUND")</f>
        <v>[SeaSight] Dây nuôi ăn mũi - dạ dày silicone dài ngày</v>
      </c>
      <c r="D389" s="23"/>
      <c r="E389" s="23" t="str">
        <f t="shared" si="6"/>
        <v>INSERT INTO public.medical_supply_product_variant (additional_desc, code, product_code) VALUES (NULL, 'PRODUCT-00230-001', 'PRODUCT-00230');</v>
      </c>
    </row>
    <row r="390" spans="1:5" x14ac:dyDescent="0.25">
      <c r="A390" s="23" t="str">
        <f>B390&amp;"-"&amp;TEXT(COUNTIF(B$2:B390,B390),"000")</f>
        <v>PRODUCT-00230-002</v>
      </c>
      <c r="B390" s="23" t="s">
        <v>791</v>
      </c>
      <c r="C390" s="23" t="str">
        <f>IFERROR(INDEX(Product!$B:$B,MATCH(B390,Product!$A:$A,0)),"NOT FOUND")</f>
        <v>[SeaSight] Dây nuôi ăn mũi - dạ dày silicone dài ngày</v>
      </c>
      <c r="D390" s="23"/>
      <c r="E390" s="23" t="str">
        <f t="shared" si="6"/>
        <v>INSERT INTO public.medical_supply_product_variant (additional_desc, code, product_code) VALUES (NULL, 'PRODUCT-00230-002', 'PRODUCT-00230');</v>
      </c>
    </row>
    <row r="391" spans="1:5" x14ac:dyDescent="0.25">
      <c r="A391" s="23" t="str">
        <f>B391&amp;"-"&amp;TEXT(COUNTIF(B$2:B391,B391),"000")</f>
        <v>PRODUCT-00231-001</v>
      </c>
      <c r="B391" s="23" t="s">
        <v>792</v>
      </c>
      <c r="C391" s="23" t="str">
        <f>IFERROR(INDEX(Product!$B:$B,MATCH(B391,Product!$A:$A,0)),"NOT FOUND")</f>
        <v>[Teleflex] Ống chẹn thực quản, dạ dày - Sengstaken-Blakemore Tube</v>
      </c>
      <c r="D391" s="23"/>
      <c r="E391" s="23" t="str">
        <f t="shared" si="6"/>
        <v>INSERT INTO public.medical_supply_product_variant (additional_desc, code, product_code) VALUES (NULL, 'PRODUCT-00231-001', 'PRODUCT-00231');</v>
      </c>
    </row>
    <row r="392" spans="1:5" x14ac:dyDescent="0.25">
      <c r="A392" s="23" t="str">
        <f>B392&amp;"-"&amp;TEXT(COUNTIF(B$2:B392,B392),"000")</f>
        <v>PRODUCT-00232-001</v>
      </c>
      <c r="B392" s="23" t="s">
        <v>793</v>
      </c>
      <c r="C392" s="23" t="str">
        <f>IFERROR(INDEX(Product!$B:$B,MATCH(B392,Product!$A:$A,0)),"NOT FOUND")</f>
        <v>[Vinahankook] Bơm tiêm cho ăn sử dụng 1 lần - 50cc (50ml)</v>
      </c>
      <c r="D392" s="23"/>
      <c r="E392" s="23" t="str">
        <f t="shared" si="6"/>
        <v>INSERT INTO public.medical_supply_product_variant (additional_desc, code, product_code) VALUES (NULL, 'PRODUCT-00232-001', 'PRODUCT-00232');</v>
      </c>
    </row>
    <row r="393" spans="1:5" x14ac:dyDescent="0.25">
      <c r="A393" s="23" t="str">
        <f>B393&amp;"-"&amp;TEXT(COUNTIF(B$2:B393,B393),"000")</f>
        <v>PRODUCT-00233-001</v>
      </c>
      <c r="B393" s="23" t="s">
        <v>794</v>
      </c>
      <c r="C393" s="23" t="str">
        <f>IFERROR(INDEX(Product!$B:$B,MATCH(B393,Product!$A:$A,0)),"NOT FOUND")</f>
        <v>Dây nuôi ăn đầu nặng silicon</v>
      </c>
      <c r="D393" s="23"/>
      <c r="E393" s="23" t="str">
        <f t="shared" si="6"/>
        <v>INSERT INTO public.medical_supply_product_variant (additional_desc, code, product_code) VALUES (NULL, 'PRODUCT-00233-001', 'PRODUCT-00233');</v>
      </c>
    </row>
    <row r="394" spans="1:5" x14ac:dyDescent="0.25">
      <c r="A394" s="23" t="str">
        <f>B394&amp;"-"&amp;TEXT(COUNTIF(B$2:B394,B394),"000")</f>
        <v>PRODUCT-00233-002</v>
      </c>
      <c r="B394" s="23" t="s">
        <v>794</v>
      </c>
      <c r="C394" s="23" t="str">
        <f>IFERROR(INDEX(Product!$B:$B,MATCH(B394,Product!$A:$A,0)),"NOT FOUND")</f>
        <v>Dây nuôi ăn đầu nặng silicon</v>
      </c>
      <c r="D394" s="23"/>
      <c r="E394" s="23" t="str">
        <f t="shared" si="6"/>
        <v>INSERT INTO public.medical_supply_product_variant (additional_desc, code, product_code) VALUES (NULL, 'PRODUCT-00233-002', 'PRODUCT-00233');</v>
      </c>
    </row>
    <row r="395" spans="1:5" x14ac:dyDescent="0.25">
      <c r="A395" s="23" t="str">
        <f>B395&amp;"-"&amp;TEXT(COUNTIF(B$2:B395,B395),"000")</f>
        <v>PRODUCT-00234-001</v>
      </c>
      <c r="B395" s="23" t="s">
        <v>795</v>
      </c>
      <c r="C395" s="23" t="str">
        <f>IFERROR(INDEX(Product!$B:$B,MATCH(B395,Product!$A:$A,0)),"NOT FOUND")</f>
        <v>[Lepu Medical] Catheter chạy thận nhân tạo 2 nòng, đầu thẳng</v>
      </c>
      <c r="D395" s="23"/>
      <c r="E395" s="23" t="str">
        <f t="shared" si="6"/>
        <v>INSERT INTO public.medical_supply_product_variant (additional_desc, code, product_code) VALUES (NULL, 'PRODUCT-00234-001', 'PRODUCT-00234');</v>
      </c>
    </row>
    <row r="396" spans="1:5" x14ac:dyDescent="0.25">
      <c r="A396" s="23" t="str">
        <f>B396&amp;"-"&amp;TEXT(COUNTIF(B$2:B396,B396),"000")</f>
        <v>PRODUCT-00235-001</v>
      </c>
      <c r="B396" s="23" t="s">
        <v>796</v>
      </c>
      <c r="C396" s="23" t="str">
        <f>IFERROR(INDEX(Product!$B:$B,MATCH(B396,Product!$A:$A,0)),"NOT FOUND")</f>
        <v>[Lepu Medical] Catheter chạy thận nhân tạo 3 nòng, đầu thẳng</v>
      </c>
      <c r="D396" s="23"/>
      <c r="E396" s="23" t="str">
        <f t="shared" si="6"/>
        <v>INSERT INTO public.medical_supply_product_variant (additional_desc, code, product_code) VALUES (NULL, 'PRODUCT-00235-001', 'PRODUCT-00235');</v>
      </c>
    </row>
    <row r="397" spans="1:5" x14ac:dyDescent="0.25">
      <c r="A397" s="23" t="str">
        <f>B397&amp;"-"&amp;TEXT(COUNTIF(B$2:B397,B397),"000")</f>
        <v>PRODUCT-00236-001</v>
      </c>
      <c r="B397" s="23" t="s">
        <v>797</v>
      </c>
      <c r="C397" s="23" t="str">
        <f>IFERROR(INDEX(Product!$B:$B,MATCH(B397,Product!$A:$A,0)),"NOT FOUND")</f>
        <v>[Medtronic] Bình chứa insulin - MiniMed Reservoir 3.0ml MMT-332A (3ml)</v>
      </c>
      <c r="D397" s="23"/>
      <c r="E397" s="23" t="str">
        <f t="shared" si="6"/>
        <v>INSERT INTO public.medical_supply_product_variant (additional_desc, code, product_code) VALUES (NULL, 'PRODUCT-00236-001', 'PRODUCT-00236');</v>
      </c>
    </row>
    <row r="398" spans="1:5" x14ac:dyDescent="0.25">
      <c r="A398" s="23" t="str">
        <f>B398&amp;"-"&amp;TEXT(COUNTIF(B$2:B398,B398),"000")</f>
        <v>PRODUCT-00237-001</v>
      </c>
      <c r="B398" s="23" t="s">
        <v>798</v>
      </c>
      <c r="C398" s="23" t="str">
        <f>IFERROR(INDEX(Product!$B:$B,MATCH(B398,Product!$A:$A,0)),"NOT FOUND")</f>
        <v>[Medtronic] Bộ dụng cụ gắn cảm biến đo đường huyết liên tục - One-Press Serter</v>
      </c>
      <c r="D398" s="23"/>
      <c r="E398" s="23" t="str">
        <f t="shared" si="6"/>
        <v>INSERT INTO public.medical_supply_product_variant (additional_desc, code, product_code) VALUES (NULL, 'PRODUCT-00237-001', 'PRODUCT-00237');</v>
      </c>
    </row>
    <row r="399" spans="1:5" x14ac:dyDescent="0.25">
      <c r="A399" s="23" t="str">
        <f>B399&amp;"-"&amp;TEXT(COUNTIF(B$2:B399,B399),"000")</f>
        <v>PRODUCT-00238-001</v>
      </c>
      <c r="B399" s="23" t="s">
        <v>799</v>
      </c>
      <c r="C399" s="23" t="str">
        <f>IFERROR(INDEX(Product!$B:$B,MATCH(B399,Product!$A:$A,0)),"NOT FOUND")</f>
        <v>[Medtronic] Bộ dụng cụ gắn cổng tiêm insulin - Quick-Serter</v>
      </c>
      <c r="D399" s="23"/>
      <c r="E399" s="23" t="str">
        <f t="shared" si="6"/>
        <v>INSERT INTO public.medical_supply_product_variant (additional_desc, code, product_code) VALUES (NULL, 'PRODUCT-00238-001', 'PRODUCT-00238');</v>
      </c>
    </row>
    <row r="400" spans="1:5" x14ac:dyDescent="0.25">
      <c r="A400" s="23" t="str">
        <f>B400&amp;"-"&amp;TEXT(COUNTIF(B$2:B400,B400),"000")</f>
        <v>PRODUCT-00239-001</v>
      </c>
      <c r="B400" s="23" t="s">
        <v>800</v>
      </c>
      <c r="C400" s="23" t="str">
        <f>IFERROR(INDEX(Product!$B:$B,MATCH(B400,Product!$A:$A,0)),"NOT FOUND")</f>
        <v>[Medtronic] Dây truyền insulin - Paradigm Quick Set Infusion</v>
      </c>
      <c r="D400" s="23"/>
      <c r="E400" s="23" t="str">
        <f t="shared" si="6"/>
        <v>INSERT INTO public.medical_supply_product_variant (additional_desc, code, product_code) VALUES (NULL, 'PRODUCT-00239-001', 'PRODUCT-00239');</v>
      </c>
    </row>
    <row r="401" spans="1:5" x14ac:dyDescent="0.25">
      <c r="A401" s="23" t="str">
        <f>B401&amp;"-"&amp;TEXT(COUNTIF(B$2:B401,B401),"000")</f>
        <v>PRODUCT-00240-001</v>
      </c>
      <c r="B401" s="23" t="s">
        <v>801</v>
      </c>
      <c r="C401" s="23" t="str">
        <f>IFERROR(INDEX(Product!$B:$B,MATCH(B401,Product!$A:$A,0)),"NOT FOUND")</f>
        <v>[Medtronic] Máy bơm insulin tự động - MiniMed 640G Black MMOL</v>
      </c>
      <c r="D401" s="23"/>
      <c r="E401" s="23" t="str">
        <f t="shared" si="6"/>
        <v>INSERT INTO public.medical_supply_product_variant (additional_desc, code, product_code) VALUES (NULL, 'PRODUCT-00240-001', 'PRODUCT-00240');</v>
      </c>
    </row>
    <row r="402" spans="1:5" x14ac:dyDescent="0.25">
      <c r="A402" s="23" t="str">
        <f>B402&amp;"-"&amp;TEXT(COUNTIF(B$2:B402,B402),"000")</f>
        <v>PRODUCT-00241-001</v>
      </c>
      <c r="B402" s="23" t="s">
        <v>802</v>
      </c>
      <c r="C402" s="23" t="str">
        <f>IFERROR(INDEX(Product!$B:$B,MATCH(B402,Product!$A:$A,0)),"NOT FOUND")</f>
        <v>[Medtronic] Máy bơm insulin tự động - MiniMed Paradigm 715</v>
      </c>
      <c r="D402" s="23"/>
      <c r="E402" s="23" t="str">
        <f t="shared" si="6"/>
        <v>INSERT INTO public.medical_supply_product_variant (additional_desc, code, product_code) VALUES (NULL, 'PRODUCT-00241-001', 'PRODUCT-00241');</v>
      </c>
    </row>
    <row r="403" spans="1:5" x14ac:dyDescent="0.25">
      <c r="A403" s="23" t="str">
        <f>B403&amp;"-"&amp;TEXT(COUNTIF(B$2:B403,B403),"000")</f>
        <v>PRODUCT-00242-001</v>
      </c>
      <c r="B403" s="23" t="s">
        <v>803</v>
      </c>
      <c r="C403" s="23" t="str">
        <f>IFERROR(INDEX(Product!$B:$B,MATCH(B403,Product!$A:$A,0)),"NOT FOUND")</f>
        <v>[Profit Royal] Khẩu trang y tế N95 sợi Nanofiber - Nask</v>
      </c>
      <c r="D403" s="23"/>
      <c r="E403" s="23" t="str">
        <f t="shared" si="6"/>
        <v>INSERT INTO public.medical_supply_product_variant (additional_desc, code, product_code) VALUES (NULL, 'PRODUCT-00242-001', 'PRODUCT-00242');</v>
      </c>
    </row>
    <row r="404" spans="1:5" x14ac:dyDescent="0.25">
      <c r="A404" s="23" t="str">
        <f>B404&amp;"-"&amp;TEXT(COUNTIF(B$2:B404,B404),"000")</f>
        <v>PRODUCT-00243-001</v>
      </c>
      <c r="B404" s="23" t="s">
        <v>804</v>
      </c>
      <c r="C404" s="23" t="str">
        <f>IFERROR(INDEX(Product!$B:$B,MATCH(B404,Product!$A:$A,0)),"NOT FOUND")</f>
        <v>[Roche] Thiết bị lấy máu tích hợp kim - Accu-Chek Safe-T-Pro Uno (Ø0.36mm)</v>
      </c>
      <c r="D404" s="23"/>
      <c r="E404" s="23" t="str">
        <f t="shared" si="6"/>
        <v>INSERT INTO public.medical_supply_product_variant (additional_desc, code, product_code) VALUES (NULL, 'PRODUCT-00243-001', 'PRODUCT-00243');</v>
      </c>
    </row>
    <row r="405" spans="1:5" x14ac:dyDescent="0.25">
      <c r="A405" s="23" t="str">
        <f>B405&amp;"-"&amp;TEXT(COUNTIF(B$2:B405,B405),"000")</f>
        <v>PRODUCT-00244-001</v>
      </c>
      <c r="B405" s="23" t="s">
        <v>805</v>
      </c>
      <c r="C405" s="23" t="str">
        <f>IFERROR(INDEX(Product!$B:$B,MATCH(B405,Product!$A:$A,0)),"NOT FOUND")</f>
        <v>[Sinocare] Kim chích máu - Sinodraw</v>
      </c>
      <c r="D405" s="23"/>
      <c r="E405" s="23" t="str">
        <f t="shared" si="6"/>
        <v>INSERT INTO public.medical_supply_product_variant (additional_desc, code, product_code) VALUES (NULL, 'PRODUCT-00244-001', 'PRODUCT-00244');</v>
      </c>
    </row>
    <row r="406" spans="1:5" x14ac:dyDescent="0.25">
      <c r="A406" s="23" t="str">
        <f>B406&amp;"-"&amp;TEXT(COUNTIF(B$2:B406,B406),"000")</f>
        <v>PRODUCT-00245-001</v>
      </c>
      <c r="B406" s="23" t="s">
        <v>806</v>
      </c>
      <c r="C406" s="23" t="str">
        <f>IFERROR(INDEX(Product!$B:$B,MATCH(B406,Product!$A:$A,0)),"NOT FOUND")</f>
        <v>[SungShim] Bơm tiêm insulin (0.5ml)</v>
      </c>
      <c r="D406" s="23"/>
      <c r="E406" s="23" t="str">
        <f t="shared" si="6"/>
        <v>INSERT INTO public.medical_supply_product_variant (additional_desc, code, product_code) VALUES (NULL, 'PRODUCT-00245-001', 'PRODUCT-00245');</v>
      </c>
    </row>
    <row r="407" spans="1:5" x14ac:dyDescent="0.25">
      <c r="A407" s="23" t="str">
        <f>B407&amp;"-"&amp;TEXT(COUNTIF(B$2:B407,B407),"000")</f>
        <v>PRODUCT-00294-001</v>
      </c>
      <c r="B407" s="23" t="s">
        <v>1569</v>
      </c>
      <c r="C407" s="23" t="str">
        <f>IFERROR(INDEX(Product!$B:$B,MATCH(B407,Product!$A:$A,0)),"NOT FOUND")</f>
        <v>[SungShim] Bơm tiêm insulin (1ml)</v>
      </c>
      <c r="D407" s="23"/>
      <c r="E407" s="23" t="str">
        <f t="shared" si="6"/>
        <v>INSERT INTO public.medical_supply_product_variant (additional_desc, code, product_code) VALUES (NULL, 'PRODUCT-00294-001', 'PRODUCT-00294');</v>
      </c>
    </row>
    <row r="408" spans="1:5" x14ac:dyDescent="0.25">
      <c r="A408" s="23" t="str">
        <f>B408&amp;"-"&amp;TEXT(COUNTIF(B$2:B408,B408),"000")</f>
        <v>PRODUCT-00246-001</v>
      </c>
      <c r="B408" s="23" t="s">
        <v>807</v>
      </c>
      <c r="C408" s="23" t="str">
        <f>IFERROR(INDEX(Product!$B:$B,MATCH(B408,Product!$A:$A,0)),"NOT FOUND")</f>
        <v>[Vinahankook] Bơm tiêm insulin sử dụng 1 lần - 1ml U100</v>
      </c>
      <c r="D408" s="23"/>
      <c r="E408" s="23" t="str">
        <f t="shared" si="6"/>
        <v>INSERT INTO public.medical_supply_product_variant (additional_desc, code, product_code) VALUES (NULL, 'PRODUCT-00246-001', 'PRODUCT-00246');</v>
      </c>
    </row>
    <row r="409" spans="1:5" x14ac:dyDescent="0.25">
      <c r="A409" s="23" t="str">
        <f>B409&amp;"-"&amp;TEXT(COUNTIF(B$2:B409,B409),"000")</f>
        <v>PRODUCT-00247-001</v>
      </c>
      <c r="B409" s="23" t="s">
        <v>808</v>
      </c>
      <c r="C409" s="23" t="str">
        <f>IFERROR(INDEX(Product!$B:$B,MATCH(B409,Product!$A:$A,0)),"NOT FOUND")</f>
        <v>[Welford] Dây truyền dịch đếm giọt - WELCARE IF6006</v>
      </c>
      <c r="D409" s="23"/>
      <c r="E409" s="23" t="str">
        <f t="shared" si="6"/>
        <v>INSERT INTO public.medical_supply_product_variant (additional_desc, code, product_code) VALUES (NULL, 'PRODUCT-00247-001', 'PRODUCT-00247');</v>
      </c>
    </row>
    <row r="410" spans="1:5" x14ac:dyDescent="0.25">
      <c r="A410" s="23" t="str">
        <f>B410&amp;"-"&amp;TEXT(COUNTIF(B$2:B410,B410),"000")</f>
        <v>PRODUCT-00248-001</v>
      </c>
      <c r="B410" s="23" t="s">
        <v>809</v>
      </c>
      <c r="C410" s="23" t="str">
        <f>IFERROR(INDEX(Product!$B:$B,MATCH(B410,Product!$A:$A,0)),"NOT FOUND")</f>
        <v>[Young Chemical Vina] Băng keo cố định kim luồn có gạc - Wound - IV (6cmx7cm)</v>
      </c>
      <c r="D410" s="23"/>
      <c r="E410" s="23" t="str">
        <f t="shared" si="6"/>
        <v>INSERT INTO public.medical_supply_product_variant (additional_desc, code, product_code) VALUES (NULL, 'PRODUCT-00248-001', 'PRODUCT-00248');</v>
      </c>
    </row>
    <row r="411" spans="1:5" x14ac:dyDescent="0.25">
      <c r="A411" s="23" t="str">
        <f>B411&amp;"-"&amp;TEXT(COUNTIF(B$2:B411,B411),"000")</f>
        <v>PRODUCT-00249-001</v>
      </c>
      <c r="B411" s="23" t="s">
        <v>810</v>
      </c>
      <c r="C411" s="23" t="str">
        <f>IFERROR(INDEX(Product!$B:$B,MATCH(B411,Product!$A:$A,0)),"NOT FOUND")</f>
        <v>[Young Chemical Vina] Băng keo cố định kim luồn không thấm nước không gạc - Adflex - IV (5.1cmx6cm)</v>
      </c>
      <c r="D411" s="23"/>
      <c r="E411" s="23" t="str">
        <f t="shared" si="6"/>
        <v>INSERT INTO public.medical_supply_product_variant (additional_desc, code, product_code) VALUES (NULL, 'PRODUCT-00249-001', 'PRODUCT-00249');</v>
      </c>
    </row>
    <row r="412" spans="1:5" x14ac:dyDescent="0.25">
      <c r="A412" s="23" t="str">
        <f>B412&amp;"-"&amp;TEXT(COUNTIF(B$2:B412,B412),"000")</f>
        <v>PRODUCT-00295-001</v>
      </c>
      <c r="B412" s="23" t="s">
        <v>1571</v>
      </c>
      <c r="C412" s="23" t="str">
        <f>IFERROR(INDEX(Product!$B:$B,MATCH(B412,Product!$A:$A,0)),"NOT FOUND")</f>
        <v>[Young Chemical Vina] Băng keo cố định kim luồn không thấm nước không gạc - Adflex - IV (6.7cmx10cm)</v>
      </c>
      <c r="D412" s="23"/>
      <c r="E412" s="23" t="str">
        <f t="shared" si="6"/>
        <v>INSERT INTO public.medical_supply_product_variant (additional_desc, code, product_code) VALUES (NULL, 'PRODUCT-00295-001', 'PRODUCT-00295');</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AACF-4CA3-48FD-ABBB-84937055E560}">
  <dimension ref="A1:O439"/>
  <sheetViews>
    <sheetView workbookViewId="0">
      <pane ySplit="1" topLeftCell="A356" activePane="bottomLeft" state="frozen"/>
      <selection pane="bottomLeft" activeCell="D236" sqref="D236"/>
    </sheetView>
  </sheetViews>
  <sheetFormatPr defaultRowHeight="15" x14ac:dyDescent="0.25"/>
  <cols>
    <col min="1" max="1" width="22.42578125" bestFit="1" customWidth="1"/>
    <col min="2" max="2" width="18.42578125" bestFit="1" customWidth="1"/>
    <col min="3" max="3" width="14.5703125" bestFit="1" customWidth="1"/>
    <col min="4" max="4" width="99" bestFit="1" customWidth="1"/>
    <col min="5" max="5" width="33.140625" bestFit="1" customWidth="1"/>
    <col min="6" max="6" width="11.85546875" bestFit="1" customWidth="1"/>
    <col min="7" max="7" width="30.42578125" bestFit="1" customWidth="1"/>
    <col min="8" max="8" width="15.42578125" bestFit="1" customWidth="1"/>
    <col min="9" max="9" width="12.7109375" customWidth="1"/>
    <col min="10" max="10" width="17.28515625" customWidth="1"/>
    <col min="11" max="11" width="41.85546875" customWidth="1"/>
    <col min="12" max="12" width="16.42578125" customWidth="1"/>
    <col min="13" max="13" width="91.5703125" bestFit="1" customWidth="1"/>
    <col min="14" max="14" width="23.5703125" bestFit="1" customWidth="1"/>
    <col min="15" max="15" width="133.85546875" bestFit="1" customWidth="1"/>
  </cols>
  <sheetData>
    <row r="1" spans="1:15" x14ac:dyDescent="0.25">
      <c r="A1" s="9" t="s">
        <v>1248</v>
      </c>
      <c r="B1" s="9" t="s">
        <v>821</v>
      </c>
      <c r="C1" s="9" t="s">
        <v>811</v>
      </c>
      <c r="D1" s="9" t="s">
        <v>122</v>
      </c>
      <c r="E1" s="9" t="s">
        <v>1249</v>
      </c>
      <c r="F1" s="9" t="s">
        <v>814</v>
      </c>
      <c r="G1" s="9" t="s">
        <v>822</v>
      </c>
      <c r="H1" s="9" t="s">
        <v>1250</v>
      </c>
      <c r="I1" s="9" t="s">
        <v>1288</v>
      </c>
      <c r="J1" s="9" t="s">
        <v>1319</v>
      </c>
      <c r="K1" s="9" t="s">
        <v>1320</v>
      </c>
      <c r="L1" s="9" t="s">
        <v>1321</v>
      </c>
      <c r="M1" s="9" t="s">
        <v>823</v>
      </c>
      <c r="N1" s="9" t="s">
        <v>824</v>
      </c>
      <c r="O1" s="9" t="s">
        <v>2202</v>
      </c>
    </row>
    <row r="2" spans="1:15" x14ac:dyDescent="0.25">
      <c r="A2" s="10" t="str">
        <f>B2&amp;"-"&amp;TEXT(COUNTIF(B$2:B2,B2),"00")</f>
        <v>PRODUCT-00001-001-01</v>
      </c>
      <c r="B2" s="11" t="s">
        <v>1636</v>
      </c>
      <c r="C2" s="10" t="str">
        <f>_xlfn.XLOOKUP(B2,'Product Variant'!$A:$A,'Product Variant'!$B:$B,"NOT FOUND")</f>
        <v>PRODUCT-00001</v>
      </c>
      <c r="D2" s="10" t="str">
        <f>_xlfn.XLOOKUP(B2,'Product Variant'!$A:$A,'Product Variant'!$C:$C,"NOT FOUND")</f>
        <v>[Greetmed] Phao chống loét cao su</v>
      </c>
      <c r="E2" s="10" t="str" cm="1">
        <f t="array" ref="E2">_xlfn.TEXTJOIN(" / ",TRUE,_xlfn.XLOOKUP(B2&amp;"|ATTR-27",'Product Variant Attribute'!$A$2:$A$2000&amp;"|"&amp;'Product Variant Attribute'!$D$2:$D$2000,'Product Variant Attribute'!$F$2:$F$2000,""),_xlfn.XLOOKUP(B2&amp;"|ATTR-24",'Product Variant Attribute'!$A$2:$A$2000&amp;"|"&amp;'Product Variant Attribute'!$D$2:$D$2000,'Product Variant Attribute'!$F$2:$F$2000,""))</f>
        <v/>
      </c>
      <c r="F2" s="11" t="s">
        <v>818</v>
      </c>
      <c r="G2" s="11" t="s">
        <v>927</v>
      </c>
      <c r="H2" s="13">
        <f>IFERROR(--LEFT(G2,FIND(" ",G2&amp;" ")-1),"")</f>
        <v>1</v>
      </c>
      <c r="I2" s="16" t="str">
        <f>_xlfn.XLOOKUP(C2,Product!$A:$A,Product!$G:$G,"NOT FOUND")</f>
        <v>cái</v>
      </c>
      <c r="J2" s="20">
        <v>100000</v>
      </c>
      <c r="K2" s="15" t="s">
        <v>1322</v>
      </c>
      <c r="L2" s="21">
        <v>8</v>
      </c>
      <c r="M2" s="10" t="s">
        <v>825</v>
      </c>
      <c r="N2" s="12">
        <v>448</v>
      </c>
      <c r="O2" t="str">
        <f>"INSERT INTO public.medical_supply_sellable_unit (code, price, quantity, sale_uom, product_variant_code) VALUES ('"&amp;A2&amp;"', "&amp;IF(J2="","NULL",J2)&amp;", "&amp;IF(H2="","NULL",H2)&amp;", "&amp;IF(F2="","NULL","'"&amp;SUBSTITUTE(F2,"'","''")&amp;"'")&amp;", '"&amp;B2&amp;"');"</f>
        <v>INSERT INTO public.medical_supply_sellable_unit (code, price, quantity, sale_uom, product_variant_code) VALUES ('PRODUCT-00001-001-01', 100000, 1, 'Cái', 'PRODUCT-00001-001');</v>
      </c>
    </row>
    <row r="3" spans="1:15" x14ac:dyDescent="0.25">
      <c r="A3" s="10" t="str">
        <f>B3&amp;"-"&amp;TEXT(COUNTIF(B$2:B3,B3),"00")</f>
        <v>PRODUCT-00002-001-01</v>
      </c>
      <c r="B3" s="11" t="s">
        <v>1637</v>
      </c>
      <c r="C3" s="10" t="str">
        <f>_xlfn.XLOOKUP(B3,'Product Variant'!$A:$A,'Product Variant'!$B:$B,"NOT FOUND")</f>
        <v>PRODUCT-00002</v>
      </c>
      <c r="D3" s="10" t="str">
        <f>_xlfn.XLOOKUP(B3,'Product Variant'!$A:$A,'Product Variant'!$C:$C,"NOT FOUND")</f>
        <v>[iMedicare] Đệm hơi chống lở loét - iAM-8P</v>
      </c>
      <c r="E3" s="10" t="str" cm="1">
        <f t="array" ref="E3">_xlfn.TEXTJOIN(" / ",TRUE,_xlfn.XLOOKUP(B3&amp;"|ATTR-27",'Product Variant Attribute'!$A$2:$A$2000&amp;"|"&amp;'Product Variant Attribute'!$D$2:$D$2000,'Product Variant Attribute'!$F$2:$F$2000,""),_xlfn.XLOOKUP(B3&amp;"|ATTR-24",'Product Variant Attribute'!$A$2:$A$2000&amp;"|"&amp;'Product Variant Attribute'!$D$2:$D$2000,'Product Variant Attribute'!$F$2:$F$2000,""))</f>
        <v/>
      </c>
      <c r="F3" s="11" t="s">
        <v>815</v>
      </c>
      <c r="G3" s="11" t="s">
        <v>826</v>
      </c>
      <c r="H3" s="13">
        <f t="shared" ref="H3:H58" si="0">IFERROR(--LEFT(G3,FIND(" ",G3&amp;" ")-1),"")</f>
        <v>1</v>
      </c>
      <c r="I3" s="16" t="str">
        <f>_xlfn.XLOOKUP(C3,Product!$A:$A,Product!$G:$G,"NOT FOUND")</f>
        <v>bộ</v>
      </c>
      <c r="J3" s="20">
        <v>750000</v>
      </c>
      <c r="K3" s="15" t="s">
        <v>1323</v>
      </c>
      <c r="L3" s="21">
        <v>537</v>
      </c>
      <c r="M3" s="10" t="s">
        <v>827</v>
      </c>
      <c r="N3" s="12">
        <v>214</v>
      </c>
      <c r="O3" t="str">
        <f t="shared" ref="O3:O66" si="1">"INSERT INTO public.medical_supply_sellable_unit (code, price, quantity, sale_uom, product_variant_code) VALUES ('"&amp;A3&amp;"', "&amp;IF(J3="","NULL",J3)&amp;", "&amp;IF(H3="","NULL",H3)&amp;", "&amp;IF(F3="","NULL","'"&amp;SUBSTITUTE(F3,"'","''")&amp;"'")&amp;", '"&amp;B3&amp;"');"</f>
        <v>INSERT INTO public.medical_supply_sellable_unit (code, price, quantity, sale_uom, product_variant_code) VALUES ('PRODUCT-00002-001-01', 750000, 1, 'Bộ', 'PRODUCT-00002-001');</v>
      </c>
    </row>
    <row r="4" spans="1:15" x14ac:dyDescent="0.25">
      <c r="A4" s="10" t="str">
        <f>B4&amp;"-"&amp;TEXT(COUNTIF(B$2:B4,B4),"00")</f>
        <v>PRODUCT-00003-001-01</v>
      </c>
      <c r="B4" s="11" t="s">
        <v>1638</v>
      </c>
      <c r="C4" s="10" t="str">
        <f>_xlfn.XLOOKUP(B4,'Product Variant'!$A:$A,'Product Variant'!$B:$B,"NOT FOUND")</f>
        <v>PRODUCT-00003</v>
      </c>
      <c r="D4" s="10" t="str">
        <f>_xlfn.XLOOKUP(B4,'Product Variant'!$A:$A,'Product Variant'!$C:$C,"NOT FOUND")</f>
        <v>[Lucass] Đệm hơi chống lở loét - LC-389</v>
      </c>
      <c r="E4" s="10" t="str" cm="1">
        <f t="array" ref="E4">_xlfn.TEXTJOIN(" / ",TRUE,_xlfn.XLOOKUP(B4&amp;"|ATTR-27",'Product Variant Attribute'!$A$2:$A$2000&amp;"|"&amp;'Product Variant Attribute'!$D$2:$D$2000,'Product Variant Attribute'!$F$2:$F$2000,""),_xlfn.XLOOKUP(B4&amp;"|ATTR-24",'Product Variant Attribute'!$A$2:$A$2000&amp;"|"&amp;'Product Variant Attribute'!$D$2:$D$2000,'Product Variant Attribute'!$F$2:$F$2000,""))</f>
        <v/>
      </c>
      <c r="F4" s="11" t="s">
        <v>815</v>
      </c>
      <c r="G4" s="11" t="s">
        <v>826</v>
      </c>
      <c r="H4" s="13">
        <f t="shared" si="0"/>
        <v>1</v>
      </c>
      <c r="I4" s="16" t="str">
        <f>_xlfn.XLOOKUP(C4,Product!$A:$A,Product!$G:$G,"NOT FOUND")</f>
        <v>bộ</v>
      </c>
      <c r="J4" s="20">
        <v>700000</v>
      </c>
      <c r="K4" s="15" t="s">
        <v>1323</v>
      </c>
      <c r="L4" s="21">
        <v>194</v>
      </c>
      <c r="M4" s="10" t="s">
        <v>828</v>
      </c>
      <c r="N4" s="12">
        <v>215</v>
      </c>
      <c r="O4" t="str">
        <f t="shared" si="1"/>
        <v>INSERT INTO public.medical_supply_sellable_unit (code, price, quantity, sale_uom, product_variant_code) VALUES ('PRODUCT-00003-001-01', 700000, 1, 'Bộ', 'PRODUCT-00003-001');</v>
      </c>
    </row>
    <row r="5" spans="1:15" x14ac:dyDescent="0.25">
      <c r="A5" s="10" t="str">
        <f>B5&amp;"-"&amp;TEXT(COUNTIF(B$2:B5,B5),"00")</f>
        <v>PRODUCT-00004-001-01</v>
      </c>
      <c r="B5" s="11" t="s">
        <v>1639</v>
      </c>
      <c r="C5" s="10" t="str">
        <f>_xlfn.XLOOKUP(B5,'Product Variant'!$A:$A,'Product Variant'!$B:$B,"NOT FOUND")</f>
        <v>PRODUCT-00004</v>
      </c>
      <c r="D5" s="10" t="str">
        <f>_xlfn.XLOOKUP(B5,'Product Variant'!$A:$A,'Product Variant'!$C:$C,"NOT FOUND")</f>
        <v>[Rionet] Máy trợ thính có dây đeo - HA-20DX</v>
      </c>
      <c r="E5" s="10" t="str" cm="1">
        <f t="array" ref="E5">_xlfn.TEXTJOIN(" / ",TRUE,_xlfn.XLOOKUP(B5&amp;"|ATTR-27",'Product Variant Attribute'!$A$2:$A$2000&amp;"|"&amp;'Product Variant Attribute'!$D$2:$D$2000,'Product Variant Attribute'!$F$2:$F$2000,""),_xlfn.XLOOKUP(B5&amp;"|ATTR-24",'Product Variant Attribute'!$A$2:$A$2000&amp;"|"&amp;'Product Variant Attribute'!$D$2:$D$2000,'Product Variant Attribute'!$F$2:$F$2000,""))</f>
        <v/>
      </c>
      <c r="F5" s="11" t="s">
        <v>818</v>
      </c>
      <c r="G5" s="11" t="s">
        <v>927</v>
      </c>
      <c r="H5" s="13">
        <f t="shared" si="0"/>
        <v>1</v>
      </c>
      <c r="I5" s="16" t="str">
        <f>_xlfn.XLOOKUP(C5,Product!$A:$A,Product!$G:$G,"NOT FOUND")</f>
        <v>cái</v>
      </c>
      <c r="J5" s="20">
        <v>1150000</v>
      </c>
      <c r="K5" s="15" t="s">
        <v>1322</v>
      </c>
      <c r="L5" s="21">
        <v>410</v>
      </c>
      <c r="M5" s="10" t="s">
        <v>829</v>
      </c>
      <c r="N5" s="12">
        <v>332</v>
      </c>
      <c r="O5" t="str">
        <f t="shared" si="1"/>
        <v>INSERT INTO public.medical_supply_sellable_unit (code, price, quantity, sale_uom, product_variant_code) VALUES ('PRODUCT-00004-001-01', 1150000, 1, 'Cái', 'PRODUCT-00004-001');</v>
      </c>
    </row>
    <row r="6" spans="1:15" x14ac:dyDescent="0.25">
      <c r="A6" s="10" t="str">
        <f>B6&amp;"-"&amp;TEXT(COUNTIF(B$2:B6,B6),"00")</f>
        <v>PRODUCT-00005-001-01</v>
      </c>
      <c r="B6" s="11" t="s">
        <v>1640</v>
      </c>
      <c r="C6" s="10" t="str">
        <f>_xlfn.XLOOKUP(B6,'Product Variant'!$A:$A,'Product Variant'!$B:$B,"NOT FOUND")</f>
        <v>PRODUCT-00005</v>
      </c>
      <c r="D6" s="10" t="str">
        <f>_xlfn.XLOOKUP(B6,'Product Variant'!$A:$A,'Product Variant'!$C:$C,"NOT FOUND")</f>
        <v>[Rionet] Máy trợ thính không dây - HB-23P</v>
      </c>
      <c r="E6" s="10" t="str" cm="1">
        <f t="array" ref="E6">_xlfn.TEXTJOIN(" / ",TRUE,_xlfn.XLOOKUP(B6&amp;"|ATTR-27",'Product Variant Attribute'!$A$2:$A$2000&amp;"|"&amp;'Product Variant Attribute'!$D$2:$D$2000,'Product Variant Attribute'!$F$2:$F$2000,""),_xlfn.XLOOKUP(B6&amp;"|ATTR-24",'Product Variant Attribute'!$A$2:$A$2000&amp;"|"&amp;'Product Variant Attribute'!$D$2:$D$2000,'Product Variant Attribute'!$F$2:$F$2000,""))</f>
        <v/>
      </c>
      <c r="F6" s="11" t="s">
        <v>818</v>
      </c>
      <c r="G6" s="11" t="s">
        <v>927</v>
      </c>
      <c r="H6" s="13">
        <f t="shared" si="0"/>
        <v>1</v>
      </c>
      <c r="I6" s="16" t="str">
        <f>_xlfn.XLOOKUP(C6,Product!$A:$A,Product!$G:$G,"NOT FOUND")</f>
        <v>cái</v>
      </c>
      <c r="J6" s="20">
        <v>2150000</v>
      </c>
      <c r="K6" s="15" t="s">
        <v>1322</v>
      </c>
      <c r="L6" s="21">
        <v>409</v>
      </c>
      <c r="M6" s="10" t="s">
        <v>830</v>
      </c>
      <c r="N6" s="12">
        <v>333</v>
      </c>
      <c r="O6" t="str">
        <f t="shared" si="1"/>
        <v>INSERT INTO public.medical_supply_sellable_unit (code, price, quantity, sale_uom, product_variant_code) VALUES ('PRODUCT-00005-001-01', 2150000, 1, 'Cái', 'PRODUCT-00005-001');</v>
      </c>
    </row>
    <row r="7" spans="1:15" x14ac:dyDescent="0.25">
      <c r="A7" s="10" t="str">
        <f>B7&amp;"-"&amp;TEXT(COUNTIF(B$2:B7,B7),"00")</f>
        <v>PRODUCT-00006-001-01</v>
      </c>
      <c r="B7" s="11" t="s">
        <v>1641</v>
      </c>
      <c r="C7" s="10" t="str">
        <f>_xlfn.XLOOKUP(B7,'Product Variant'!$A:$A,'Product Variant'!$B:$B,"NOT FOUND")</f>
        <v>PRODUCT-00006</v>
      </c>
      <c r="D7" s="10" t="str">
        <f>_xlfn.XLOOKUP(B7,'Product Variant'!$A:$A,'Product Variant'!$C:$C,"NOT FOUND")</f>
        <v>[Rionet] Máy trợ thính không dây thông minh - HM-06</v>
      </c>
      <c r="E7" s="10" t="str" cm="1">
        <f t="array" ref="E7">_xlfn.TEXTJOIN(" / ",TRUE,_xlfn.XLOOKUP(B7&amp;"|ATTR-27",'Product Variant Attribute'!$A$2:$A$2000&amp;"|"&amp;'Product Variant Attribute'!$D$2:$D$2000,'Product Variant Attribute'!$F$2:$F$2000,""),_xlfn.XLOOKUP(B7&amp;"|ATTR-24",'Product Variant Attribute'!$A$2:$A$2000&amp;"|"&amp;'Product Variant Attribute'!$D$2:$D$2000,'Product Variant Attribute'!$F$2:$F$2000,""))</f>
        <v/>
      </c>
      <c r="F7" s="11" t="s">
        <v>818</v>
      </c>
      <c r="G7" s="11" t="s">
        <v>927</v>
      </c>
      <c r="H7" s="13">
        <f t="shared" si="0"/>
        <v>1</v>
      </c>
      <c r="I7" s="16" t="str">
        <f>_xlfn.XLOOKUP(C7,Product!$A:$A,Product!$G:$G,"NOT FOUND")</f>
        <v>cái</v>
      </c>
      <c r="J7" s="20">
        <v>3900000</v>
      </c>
      <c r="K7" s="15" t="s">
        <v>1322</v>
      </c>
      <c r="L7" s="21">
        <v>408</v>
      </c>
      <c r="M7" s="10" t="s">
        <v>831</v>
      </c>
      <c r="N7" s="12">
        <v>334</v>
      </c>
      <c r="O7" t="str">
        <f t="shared" si="1"/>
        <v>INSERT INTO public.medical_supply_sellable_unit (code, price, quantity, sale_uom, product_variant_code) VALUES ('PRODUCT-00006-001-01', 3900000, 1, 'Cái', 'PRODUCT-00006-001');</v>
      </c>
    </row>
    <row r="8" spans="1:15" x14ac:dyDescent="0.25">
      <c r="A8" s="10" t="str">
        <f>B8&amp;"-"&amp;TEXT(COUNTIF(B$2:B8,B8),"00")</f>
        <v>PRODUCT-00007-001-01</v>
      </c>
      <c r="B8" s="11" t="s">
        <v>1642</v>
      </c>
      <c r="C8" s="10" t="str">
        <f>_xlfn.XLOOKUP(B8,'Product Variant'!$A:$A,'Product Variant'!$B:$B,"NOT FOUND")</f>
        <v>PRODUCT-00007</v>
      </c>
      <c r="D8" s="10" t="str">
        <f>_xlfn.XLOOKUP(B8,'Product Variant'!$A:$A,'Product Variant'!$C:$C,"NOT FOUND")</f>
        <v>[WaterJet] Máy tăm nước - Cordless Maxi</v>
      </c>
      <c r="E8" s="10" t="str" cm="1">
        <f t="array" ref="E8">_xlfn.TEXTJOIN(" / ",TRUE,_xlfn.XLOOKUP(B8&amp;"|ATTR-27",'Product Variant Attribute'!$A$2:$A$2000&amp;"|"&amp;'Product Variant Attribute'!$D$2:$D$2000,'Product Variant Attribute'!$F$2:$F$2000,""),_xlfn.XLOOKUP(B8&amp;"|ATTR-24",'Product Variant Attribute'!$A$2:$A$2000&amp;"|"&amp;'Product Variant Attribute'!$D$2:$D$2000,'Product Variant Attribute'!$F$2:$F$2000,""))</f>
        <v/>
      </c>
      <c r="F8" s="11" t="s">
        <v>818</v>
      </c>
      <c r="G8" s="11" t="s">
        <v>927</v>
      </c>
      <c r="H8" s="13">
        <f t="shared" si="0"/>
        <v>1</v>
      </c>
      <c r="I8" s="16" t="str">
        <f>_xlfn.XLOOKUP(C8,Product!$A:$A,Product!$G:$G,"NOT FOUND")</f>
        <v>cái</v>
      </c>
      <c r="J8" s="20">
        <v>1350000</v>
      </c>
      <c r="K8" s="15" t="s">
        <v>1322</v>
      </c>
      <c r="L8" s="21">
        <v>451</v>
      </c>
      <c r="M8" s="10" t="s">
        <v>832</v>
      </c>
      <c r="N8" s="12">
        <v>327</v>
      </c>
      <c r="O8" t="str">
        <f t="shared" si="1"/>
        <v>INSERT INTO public.medical_supply_sellable_unit (code, price, quantity, sale_uom, product_variant_code) VALUES ('PRODUCT-00007-001-01', 1350000, 1, 'Cái', 'PRODUCT-00007-001');</v>
      </c>
    </row>
    <row r="9" spans="1:15" x14ac:dyDescent="0.25">
      <c r="A9" s="10" t="str">
        <f>B9&amp;"-"&amp;TEXT(COUNTIF(B$2:B9,B9),"00")</f>
        <v>PRODUCT-00008-001-01</v>
      </c>
      <c r="B9" s="11" t="s">
        <v>1643</v>
      </c>
      <c r="C9" s="10" t="str">
        <f>_xlfn.XLOOKUP(B9,'Product Variant'!$A:$A,'Product Variant'!$B:$B,"NOT FOUND")</f>
        <v>PRODUCT-00008</v>
      </c>
      <c r="D9" s="10" t="str">
        <f>_xlfn.XLOOKUP(B9,'Product Variant'!$A:$A,'Product Variant'!$C:$C,"NOT FOUND")</f>
        <v>[Young Chemical Vina] Miếng dán mụn - Somaderm Spot S (32 miếng)</v>
      </c>
      <c r="E9" s="10" t="str" cm="1">
        <f t="array" ref="E9">_xlfn.TEXTJOIN(" / ",TRUE,_xlfn.XLOOKUP(B9&amp;"|ATTR-27",'Product Variant Attribute'!$A$2:$A$2000&amp;"|"&amp;'Product Variant Attribute'!$D$2:$D$2000,'Product Variant Attribute'!$F$2:$F$2000,""),_xlfn.XLOOKUP(B9&amp;"|ATTR-24",'Product Variant Attribute'!$A$2:$A$2000&amp;"|"&amp;'Product Variant Attribute'!$D$2:$D$2000,'Product Variant Attribute'!$F$2:$F$2000,""))</f>
        <v/>
      </c>
      <c r="F9" s="11" t="s">
        <v>816</v>
      </c>
      <c r="G9" s="11" t="s">
        <v>833</v>
      </c>
      <c r="H9" s="13">
        <f t="shared" si="0"/>
        <v>32</v>
      </c>
      <c r="I9" s="16" t="str">
        <f>_xlfn.XLOOKUP(C9,Product!$A:$A,Product!$G:$G,"NOT FOUND")</f>
        <v>miếng</v>
      </c>
      <c r="J9" s="20">
        <v>73000</v>
      </c>
      <c r="K9" s="15" t="s">
        <v>1323</v>
      </c>
      <c r="L9" s="21">
        <v>390</v>
      </c>
      <c r="M9" s="10" t="s">
        <v>834</v>
      </c>
      <c r="N9" s="12">
        <v>346</v>
      </c>
      <c r="O9" t="str">
        <f t="shared" si="1"/>
        <v>INSERT INTO public.medical_supply_sellable_unit (code, price, quantity, sale_uom, product_variant_code) VALUES ('PRODUCT-00008-001-01', 73000, 32, 'Hộp', 'PRODUCT-00008-001');</v>
      </c>
    </row>
    <row r="10" spans="1:15" x14ac:dyDescent="0.25">
      <c r="A10" s="10" t="str">
        <f>B10&amp;"-"&amp;TEXT(COUNTIF(B$2:B10,B10),"00")</f>
        <v>PRODUCT-00250-001-01</v>
      </c>
      <c r="B10" s="11" t="s">
        <v>1644</v>
      </c>
      <c r="C10" s="10" t="str">
        <f>_xlfn.XLOOKUP(B10,'Product Variant'!$A:$A,'Product Variant'!$B:$B,"NOT FOUND")</f>
        <v>PRODUCT-00250</v>
      </c>
      <c r="D10" s="10" t="str">
        <f>_xlfn.XLOOKUP(B10,'Product Variant'!$A:$A,'Product Variant'!$C:$C,"NOT FOUND")</f>
        <v>[Young Chemical Vina] Miếng dán mụn - Somaderm Spot (24 miếng)</v>
      </c>
      <c r="E10" s="10" t="str" cm="1">
        <f t="array" ref="E10">_xlfn.TEXTJOIN(" / ",TRUE,_xlfn.XLOOKUP(B10&amp;"|ATTR-27",'Product Variant Attribute'!$A$2:$A$2000&amp;"|"&amp;'Product Variant Attribute'!$D$2:$D$2000,'Product Variant Attribute'!$F$2:$F$2000,""),_xlfn.XLOOKUP(B10&amp;"|ATTR-24",'Product Variant Attribute'!$A$2:$A$2000&amp;"|"&amp;'Product Variant Attribute'!$D$2:$D$2000,'Product Variant Attribute'!$F$2:$F$2000,""))</f>
        <v/>
      </c>
      <c r="F10" s="11" t="s">
        <v>816</v>
      </c>
      <c r="G10" s="11" t="s">
        <v>835</v>
      </c>
      <c r="H10" s="13">
        <f t="shared" si="0"/>
        <v>24</v>
      </c>
      <c r="I10" s="16" t="str">
        <f>_xlfn.XLOOKUP(C10,Product!$A:$A,Product!$G:$G,"NOT FOUND")</f>
        <v>miếng</v>
      </c>
      <c r="J10" s="20">
        <v>58000</v>
      </c>
      <c r="K10" s="15" t="s">
        <v>1323</v>
      </c>
      <c r="L10" s="21">
        <v>436</v>
      </c>
      <c r="M10" s="10" t="s">
        <v>836</v>
      </c>
      <c r="N10" s="12">
        <v>347</v>
      </c>
      <c r="O10" t="str">
        <f t="shared" si="1"/>
        <v>INSERT INTO public.medical_supply_sellable_unit (code, price, quantity, sale_uom, product_variant_code) VALUES ('PRODUCT-00250-001-01', 58000, 24, 'Hộp', 'PRODUCT-00250-001');</v>
      </c>
    </row>
    <row r="11" spans="1:15" x14ac:dyDescent="0.25">
      <c r="A11" s="10" t="str">
        <f>B11&amp;"-"&amp;TEXT(COUNTIF(B$2:B11,B11),"00")</f>
        <v>PRODUCT-00251-001-01</v>
      </c>
      <c r="B11" s="11" t="s">
        <v>1645</v>
      </c>
      <c r="C11" s="10" t="str">
        <f>_xlfn.XLOOKUP(B11,'Product Variant'!$A:$A,'Product Variant'!$B:$B,"NOT FOUND")</f>
        <v>PRODUCT-00251</v>
      </c>
      <c r="D11" s="10" t="str">
        <f>_xlfn.XLOOKUP(B11,'Product Variant'!$A:$A,'Product Variant'!$C:$C,"NOT FOUND")</f>
        <v>[Young Chemical Vina] Miếng dán mụn - Somaderm Spot (18 miếng)</v>
      </c>
      <c r="E11" s="10" t="str" cm="1">
        <f t="array" ref="E11">_xlfn.TEXTJOIN(" / ",TRUE,_xlfn.XLOOKUP(B11&amp;"|ATTR-27",'Product Variant Attribute'!$A$2:$A$2000&amp;"|"&amp;'Product Variant Attribute'!$D$2:$D$2000,'Product Variant Attribute'!$F$2:$F$2000,""),_xlfn.XLOOKUP(B11&amp;"|ATTR-24",'Product Variant Attribute'!$A$2:$A$2000&amp;"|"&amp;'Product Variant Attribute'!$D$2:$D$2000,'Product Variant Attribute'!$F$2:$F$2000,""))</f>
        <v/>
      </c>
      <c r="F11" s="11" t="s">
        <v>816</v>
      </c>
      <c r="G11" s="11" t="s">
        <v>837</v>
      </c>
      <c r="H11" s="13">
        <f t="shared" si="0"/>
        <v>18</v>
      </c>
      <c r="I11" s="16" t="str">
        <f>_xlfn.XLOOKUP(C11,Product!$A:$A,Product!$G:$G,"NOT FOUND")</f>
        <v>miếng</v>
      </c>
      <c r="J11" s="20">
        <v>45000</v>
      </c>
      <c r="K11" s="15" t="s">
        <v>1323</v>
      </c>
      <c r="L11" s="21">
        <v>391</v>
      </c>
      <c r="M11" s="10" t="s">
        <v>838</v>
      </c>
      <c r="N11" s="12">
        <v>348</v>
      </c>
      <c r="O11" t="str">
        <f t="shared" si="1"/>
        <v>INSERT INTO public.medical_supply_sellable_unit (code, price, quantity, sale_uom, product_variant_code) VALUES ('PRODUCT-00251-001-01', 45000, 18, 'Hộp', 'PRODUCT-00251-001');</v>
      </c>
    </row>
    <row r="12" spans="1:15" x14ac:dyDescent="0.25">
      <c r="A12" s="10" t="str">
        <f>B12&amp;"-"&amp;TEXT(COUNTIF(B$2:B12,B12),"00")</f>
        <v>PRODUCT-00009-001-01</v>
      </c>
      <c r="B12" s="11" t="s">
        <v>1646</v>
      </c>
      <c r="C12" s="10" t="str">
        <f>_xlfn.XLOOKUP(B12,'Product Variant'!$A:$A,'Product Variant'!$B:$B,"NOT FOUND")</f>
        <v>PRODUCT-00009</v>
      </c>
      <c r="D12" s="10" t="str">
        <f>_xlfn.XLOOKUP(B12,'Product Variant'!$A:$A,'Product Variant'!$C:$C,"NOT FOUND")</f>
        <v>[Young Chemical Vina] Miếng dán mụn - Somaderm-Thin (Ø10mm)</v>
      </c>
      <c r="E12" s="10" t="str" cm="1">
        <f t="array" ref="E12">_xlfn.TEXTJOIN(" / ",TRUE,_xlfn.XLOOKUP(B12&amp;"|ATTR-27",'Product Variant Attribute'!$A$2:$A$2000&amp;"|"&amp;'Product Variant Attribute'!$D$2:$D$2000,'Product Variant Attribute'!$F$2:$F$2000,""),_xlfn.XLOOKUP(B12&amp;"|ATTR-24",'Product Variant Attribute'!$A$2:$A$2000&amp;"|"&amp;'Product Variant Attribute'!$D$2:$D$2000,'Product Variant Attribute'!$F$2:$F$2000,""))</f>
        <v/>
      </c>
      <c r="F12" s="11" t="s">
        <v>816</v>
      </c>
      <c r="G12" s="11" t="s">
        <v>2114</v>
      </c>
      <c r="H12" s="13">
        <f t="shared" si="0"/>
        <v>12</v>
      </c>
      <c r="I12" s="16" t="str">
        <f>_xlfn.XLOOKUP(C12,Product!$A:$A,Product!$G:$G,"NOT FOUND")</f>
        <v>miếng</v>
      </c>
      <c r="J12" s="20">
        <v>48000</v>
      </c>
      <c r="K12" s="15" t="s">
        <v>1323</v>
      </c>
      <c r="L12" s="21">
        <v>437</v>
      </c>
      <c r="M12" s="10" t="s">
        <v>839</v>
      </c>
      <c r="N12" s="12">
        <v>345</v>
      </c>
      <c r="O12" t="str">
        <f t="shared" si="1"/>
        <v>INSERT INTO public.medical_supply_sellable_unit (code, price, quantity, sale_uom, product_variant_code) VALUES ('PRODUCT-00009-001-01', 48000, 12, 'Hộp', 'PRODUCT-00009-001');</v>
      </c>
    </row>
    <row r="13" spans="1:15" x14ac:dyDescent="0.25">
      <c r="A13" s="10" t="str">
        <f>B13&amp;"-"&amp;TEXT(COUNTIF(B$2:B13,B13),"00")</f>
        <v>PRODUCT-00009-001-02</v>
      </c>
      <c r="B13" s="11" t="s">
        <v>1646</v>
      </c>
      <c r="C13" s="10" t="str">
        <f>_xlfn.XLOOKUP(B13,'Product Variant'!$A:$A,'Product Variant'!$B:$B,"NOT FOUND")</f>
        <v>PRODUCT-00009</v>
      </c>
      <c r="D13" s="10" t="str">
        <f>_xlfn.XLOOKUP(B13,'Product Variant'!$A:$A,'Product Variant'!$C:$C,"NOT FOUND")</f>
        <v>[Young Chemical Vina] Miếng dán mụn - Somaderm-Thin (Ø10mm)</v>
      </c>
      <c r="E13" s="10" t="str" cm="1">
        <f t="array" ref="E13">_xlfn.TEXTJOIN(" / ",TRUE,_xlfn.XLOOKUP(B13&amp;"|ATTR-27",'Product Variant Attribute'!$A$2:$A$2000&amp;"|"&amp;'Product Variant Attribute'!$D$2:$D$2000,'Product Variant Attribute'!$F$2:$F$2000,""),_xlfn.XLOOKUP(B13&amp;"|ATTR-24",'Product Variant Attribute'!$A$2:$A$2000&amp;"|"&amp;'Product Variant Attribute'!$D$2:$D$2000,'Product Variant Attribute'!$F$2:$F$2000,""))</f>
        <v/>
      </c>
      <c r="F13" s="11" t="s">
        <v>816</v>
      </c>
      <c r="G13" s="11" t="s">
        <v>835</v>
      </c>
      <c r="H13" s="13">
        <f t="shared" si="0"/>
        <v>24</v>
      </c>
      <c r="I13" s="16" t="str">
        <f>_xlfn.XLOOKUP(C13,Product!$A:$A,Product!$G:$G,"NOT FOUND")</f>
        <v>miếng</v>
      </c>
      <c r="J13" s="20">
        <v>84000</v>
      </c>
      <c r="K13" s="15" t="s">
        <v>1323</v>
      </c>
      <c r="L13" s="21">
        <v>389</v>
      </c>
      <c r="M13" s="10" t="s">
        <v>840</v>
      </c>
      <c r="N13" s="12">
        <v>349</v>
      </c>
      <c r="O13" t="str">
        <f t="shared" si="1"/>
        <v>INSERT INTO public.medical_supply_sellable_unit (code, price, quantity, sale_uom, product_variant_code) VALUES ('PRODUCT-00009-001-02', 84000, 24, 'Hộp', 'PRODUCT-00009-001');</v>
      </c>
    </row>
    <row r="14" spans="1:15" x14ac:dyDescent="0.25">
      <c r="A14" s="10" t="str">
        <f>B14&amp;"-"&amp;TEXT(COUNTIF(B$2:B14,B14),"00")</f>
        <v>PRODUCT-00010-001-01</v>
      </c>
      <c r="B14" s="11" t="s">
        <v>1647</v>
      </c>
      <c r="C14" s="10" t="str">
        <f>_xlfn.XLOOKUP(B14,'Product Variant'!$A:$A,'Product Variant'!$B:$B,"NOT FOUND")</f>
        <v>PRODUCT-00010</v>
      </c>
      <c r="D14" s="10" t="str">
        <f>_xlfn.XLOOKUP(B14,'Product Variant'!$A:$A,'Product Variant'!$C:$C,"NOT FOUND")</f>
        <v>Mặt nạ xông hơi mắt ngải cứu - Mugwort Steam Eyes Mask</v>
      </c>
      <c r="E14" s="10" t="str" cm="1">
        <f t="array" ref="E14">_xlfn.TEXTJOIN(" / ",TRUE,_xlfn.XLOOKUP(B14&amp;"|ATTR-27",'Product Variant Attribute'!$A$2:$A$2000&amp;"|"&amp;'Product Variant Attribute'!$D$2:$D$2000,'Product Variant Attribute'!$F$2:$F$2000,""),_xlfn.XLOOKUP(B14&amp;"|ATTR-24",'Product Variant Attribute'!$A$2:$A$2000&amp;"|"&amp;'Product Variant Attribute'!$D$2:$D$2000,'Product Variant Attribute'!$F$2:$F$2000,""))</f>
        <v/>
      </c>
      <c r="F14" s="14" t="s">
        <v>817</v>
      </c>
      <c r="G14" s="14" t="s">
        <v>841</v>
      </c>
      <c r="H14" s="13">
        <v>1</v>
      </c>
      <c r="I14" s="16" t="str">
        <f>_xlfn.XLOOKUP(C14,Product!$A:$A,Product!$G:$G,"NOT FOUND")</f>
        <v>miếng</v>
      </c>
      <c r="J14" s="22">
        <v>15000</v>
      </c>
      <c r="K14" s="15" t="s">
        <v>1324</v>
      </c>
      <c r="L14" s="21" t="s">
        <v>1325</v>
      </c>
      <c r="M14" s="10" t="s">
        <v>842</v>
      </c>
      <c r="N14" s="12" t="s">
        <v>1185</v>
      </c>
      <c r="O14" t="str">
        <f t="shared" si="1"/>
        <v>INSERT INTO public.medical_supply_sellable_unit (code, price, quantity, sale_uom, product_variant_code) VALUES ('PRODUCT-00010-001-01', 15000, 1, 'Túi', 'PRODUCT-00010-001');</v>
      </c>
    </row>
    <row r="15" spans="1:15" x14ac:dyDescent="0.25">
      <c r="A15" s="10" t="str">
        <f>B15&amp;"-"&amp;TEXT(COUNTIF(B$2:B15,B15),"00")</f>
        <v>PRODUCT-00011-001-01</v>
      </c>
      <c r="B15" s="11" t="s">
        <v>1648</v>
      </c>
      <c r="C15" s="10" t="str">
        <f>_xlfn.XLOOKUP(B15,'Product Variant'!$A:$A,'Product Variant'!$B:$B,"NOT FOUND")</f>
        <v>PRODUCT-00011</v>
      </c>
      <c r="D15" s="10" t="str">
        <f>_xlfn.XLOOKUP(B15,'Product Variant'!$A:$A,'Product Variant'!$C:$C,"NOT FOUND")</f>
        <v>[3M™] Bộ gạc xốp phủ vết thương điều trị áp lực âm VAC kèm chức năng rửa - Veraflo™</v>
      </c>
      <c r="E15" s="10" t="str" cm="1">
        <f t="array" ref="E15">_xlfn.TEXTJOIN(" / ",TRUE,_xlfn.XLOOKUP(B15&amp;"|ATTR-27",'Product Variant Attribute'!$A$2:$A$2000&amp;"|"&amp;'Product Variant Attribute'!$D$2:$D$2000,'Product Variant Attribute'!$F$2:$F$2000,""),_xlfn.XLOOKUP(B15&amp;"|ATTR-24",'Product Variant Attribute'!$A$2:$A$2000&amp;"|"&amp;'Product Variant Attribute'!$D$2:$D$2000,'Product Variant Attribute'!$F$2:$F$2000,""))</f>
        <v/>
      </c>
      <c r="F15" s="11" t="s">
        <v>815</v>
      </c>
      <c r="G15" s="11" t="s">
        <v>826</v>
      </c>
      <c r="H15" s="13">
        <f t="shared" si="0"/>
        <v>1</v>
      </c>
      <c r="I15" s="16" t="str">
        <f>_xlfn.XLOOKUP(C15,Product!$A:$A,Product!$G:$G,"NOT FOUND")</f>
        <v>bộ</v>
      </c>
      <c r="J15" s="22"/>
      <c r="K15" s="15" t="s">
        <v>1468</v>
      </c>
      <c r="L15" s="21">
        <v>239</v>
      </c>
      <c r="M15" s="10" t="s">
        <v>843</v>
      </c>
      <c r="N15" s="12">
        <v>92</v>
      </c>
      <c r="O15" t="str">
        <f t="shared" si="1"/>
        <v>INSERT INTO public.medical_supply_sellable_unit (code, price, quantity, sale_uom, product_variant_code) VALUES ('PRODUCT-00011-001-01', NULL, 1, 'Bộ', 'PRODUCT-00011-001');</v>
      </c>
    </row>
    <row r="16" spans="1:15" x14ac:dyDescent="0.25">
      <c r="A16" s="10" t="str">
        <f>B16&amp;"-"&amp;TEXT(COUNTIF(B$2:B16,B16),"00")</f>
        <v>PRODUCT-00012-001-01</v>
      </c>
      <c r="B16" s="11" t="s">
        <v>1649</v>
      </c>
      <c r="C16" s="10" t="str">
        <f>_xlfn.XLOOKUP(B16,'Product Variant'!$A:$A,'Product Variant'!$B:$B,"NOT FOUND")</f>
        <v>PRODUCT-00012</v>
      </c>
      <c r="D16" s="10" t="str">
        <f>_xlfn.XLOOKUP(B16,'Product Variant'!$A:$A,'Product Variant'!$C:$C,"NOT FOUND")</f>
        <v>[3M™] Miếng dán vết thương thay chỉ khâu - STERI-STRIP™ (3mmx75mm)</v>
      </c>
      <c r="E16" s="10" t="str" cm="1">
        <f t="array" ref="E16">_xlfn.TEXTJOIN(" / ",TRUE,_xlfn.XLOOKUP(B16&amp;"|ATTR-27",'Product Variant Attribute'!$A$2:$A$2000&amp;"|"&amp;'Product Variant Attribute'!$D$2:$D$2000,'Product Variant Attribute'!$F$2:$F$2000,""),_xlfn.XLOOKUP(B16&amp;"|ATTR-24",'Product Variant Attribute'!$A$2:$A$2000&amp;"|"&amp;'Product Variant Attribute'!$D$2:$D$2000,'Product Variant Attribute'!$F$2:$F$2000,""))</f>
        <v/>
      </c>
      <c r="F16" s="11" t="s">
        <v>817</v>
      </c>
      <c r="G16" s="11" t="s">
        <v>844</v>
      </c>
      <c r="H16" s="13">
        <f t="shared" si="0"/>
        <v>5</v>
      </c>
      <c r="I16" s="16" t="str">
        <f>_xlfn.XLOOKUP(C16,Product!$A:$A,Product!$G:$G,"NOT FOUND")</f>
        <v>sợi</v>
      </c>
      <c r="J16" s="22">
        <v>27000</v>
      </c>
      <c r="K16" s="15" t="s">
        <v>1465</v>
      </c>
      <c r="L16" s="21" t="s">
        <v>1445</v>
      </c>
      <c r="M16" s="10" t="s">
        <v>845</v>
      </c>
      <c r="N16" s="12" t="s">
        <v>1430</v>
      </c>
      <c r="O16" t="str">
        <f t="shared" si="1"/>
        <v>INSERT INTO public.medical_supply_sellable_unit (code, price, quantity, sale_uom, product_variant_code) VALUES ('PRODUCT-00012-001-01', 27000, 5, 'Túi', 'PRODUCT-00012-001');</v>
      </c>
    </row>
    <row r="17" spans="1:15" x14ac:dyDescent="0.25">
      <c r="A17" s="10" t="str">
        <f>B17&amp;"-"&amp;TEXT(COUNTIF(B$2:B17,B17),"00")</f>
        <v>PRODUCT-00252-001-01</v>
      </c>
      <c r="B17" s="11" t="s">
        <v>1650</v>
      </c>
      <c r="C17" s="10" t="str">
        <f>_xlfn.XLOOKUP(B17,'Product Variant'!$A:$A,'Product Variant'!$B:$B,"NOT FOUND")</f>
        <v>PRODUCT-00252</v>
      </c>
      <c r="D17" s="10" t="str">
        <f>_xlfn.XLOOKUP(B17,'Product Variant'!$A:$A,'Product Variant'!$C:$C,"NOT FOUND")</f>
        <v>[3M™] Miếng dán vết thương thay chỉ khâu - STERI-STRIP™ (6mmx100mm)</v>
      </c>
      <c r="E17" s="10" t="str" cm="1">
        <f t="array" ref="E17">_xlfn.TEXTJOIN(" / ",TRUE,_xlfn.XLOOKUP(B17&amp;"|ATTR-27",'Product Variant Attribute'!$A$2:$A$2000&amp;"|"&amp;'Product Variant Attribute'!$D$2:$D$2000,'Product Variant Attribute'!$F$2:$F$2000,""),_xlfn.XLOOKUP(B17&amp;"|ATTR-24",'Product Variant Attribute'!$A$2:$A$2000&amp;"|"&amp;'Product Variant Attribute'!$D$2:$D$2000,'Product Variant Attribute'!$F$2:$F$2000,""))</f>
        <v/>
      </c>
      <c r="F17" s="11" t="s">
        <v>817</v>
      </c>
      <c r="G17" s="11" t="s">
        <v>846</v>
      </c>
      <c r="H17" s="13">
        <f t="shared" si="0"/>
        <v>10</v>
      </c>
      <c r="I17" s="16" t="str">
        <f>_xlfn.XLOOKUP(C17,Product!$A:$A,Product!$G:$G,"NOT FOUND")</f>
        <v>sợi</v>
      </c>
      <c r="J17" s="22">
        <v>30000</v>
      </c>
      <c r="K17" s="15" t="s">
        <v>1466</v>
      </c>
      <c r="L17" s="21" t="s">
        <v>1446</v>
      </c>
      <c r="M17" s="10" t="s">
        <v>845</v>
      </c>
      <c r="N17" s="12" t="s">
        <v>1431</v>
      </c>
      <c r="O17" t="str">
        <f t="shared" si="1"/>
        <v>INSERT INTO public.medical_supply_sellable_unit (code, price, quantity, sale_uom, product_variant_code) VALUES ('PRODUCT-00252-001-01', 30000, 10, 'Túi', 'PRODUCT-00252-001');</v>
      </c>
    </row>
    <row r="18" spans="1:15" x14ac:dyDescent="0.25">
      <c r="A18" s="10" t="str">
        <f>B18&amp;"-"&amp;TEXT(COUNTIF(B$2:B18,B18),"00")</f>
        <v>PRODUCT-00253-001-01</v>
      </c>
      <c r="B18" s="11" t="s">
        <v>1651</v>
      </c>
      <c r="C18" s="10" t="str">
        <f>_xlfn.XLOOKUP(B18,'Product Variant'!$A:$A,'Product Variant'!$B:$B,"NOT FOUND")</f>
        <v>PRODUCT-00253</v>
      </c>
      <c r="D18" s="10" t="str">
        <f>_xlfn.XLOOKUP(B18,'Product Variant'!$A:$A,'Product Variant'!$C:$C,"NOT FOUND")</f>
        <v>[3M™] Miếng dán vết thương thay chỉ khâu - STERI-STRIP™ (12mmx100mm)</v>
      </c>
      <c r="E18" s="10" t="str" cm="1">
        <f t="array" ref="E18">_xlfn.TEXTJOIN(" / ",TRUE,_xlfn.XLOOKUP(B18&amp;"|ATTR-27",'Product Variant Attribute'!$A$2:$A$2000&amp;"|"&amp;'Product Variant Attribute'!$D$2:$D$2000,'Product Variant Attribute'!$F$2:$F$2000,""),_xlfn.XLOOKUP(B18&amp;"|ATTR-24",'Product Variant Attribute'!$A$2:$A$2000&amp;"|"&amp;'Product Variant Attribute'!$D$2:$D$2000,'Product Variant Attribute'!$F$2:$F$2000,""))</f>
        <v/>
      </c>
      <c r="F18" s="11" t="s">
        <v>817</v>
      </c>
      <c r="G18" s="11" t="s">
        <v>847</v>
      </c>
      <c r="H18" s="13">
        <f t="shared" si="0"/>
        <v>6</v>
      </c>
      <c r="I18" s="16" t="str">
        <f>_xlfn.XLOOKUP(C18,Product!$A:$A,Product!$G:$G,"NOT FOUND")</f>
        <v>sợi</v>
      </c>
      <c r="J18" s="22">
        <v>38000</v>
      </c>
      <c r="K18" s="15" t="s">
        <v>1467</v>
      </c>
      <c r="L18" s="21" t="s">
        <v>1447</v>
      </c>
      <c r="M18" s="10" t="s">
        <v>845</v>
      </c>
      <c r="N18" s="12" t="s">
        <v>1432</v>
      </c>
      <c r="O18" t="str">
        <f t="shared" si="1"/>
        <v>INSERT INTO public.medical_supply_sellable_unit (code, price, quantity, sale_uom, product_variant_code) VALUES ('PRODUCT-00253-001-01', 38000, 6, 'Túi', 'PRODUCT-00253-001');</v>
      </c>
    </row>
    <row r="19" spans="1:15" x14ac:dyDescent="0.25">
      <c r="A19" s="10" t="str">
        <f>B19&amp;"-"&amp;TEXT(COUNTIF(B$2:B19,B19),"00")</f>
        <v>PRODUCT-00013-001-01</v>
      </c>
      <c r="B19" s="11" t="s">
        <v>1652</v>
      </c>
      <c r="C19" s="10" t="str">
        <f>_xlfn.XLOOKUP(B19,'Product Variant'!$A:$A,'Product Variant'!$B:$B,"NOT FOUND")</f>
        <v>PRODUCT-00013</v>
      </c>
      <c r="D19" s="10" t="str">
        <f>_xlfn.XLOOKUP(B19,'Product Variant'!$A:$A,'Product Variant'!$C:$C,"NOT FOUND")</f>
        <v>[3M™] Xịt bảo vệ chống hăm loét da - Cavilon (28ml)</v>
      </c>
      <c r="E19" s="10" t="str" cm="1">
        <f t="array" ref="E19">_xlfn.TEXTJOIN(" / ",TRUE,_xlfn.XLOOKUP(B19&amp;"|ATTR-27",'Product Variant Attribute'!$A$2:$A$2000&amp;"|"&amp;'Product Variant Attribute'!$D$2:$D$2000,'Product Variant Attribute'!$F$2:$F$2000,""),_xlfn.XLOOKUP(B19&amp;"|ATTR-24",'Product Variant Attribute'!$A$2:$A$2000&amp;"|"&amp;'Product Variant Attribute'!$D$2:$D$2000,'Product Variant Attribute'!$F$2:$F$2000,""))</f>
        <v/>
      </c>
      <c r="F19" s="14" t="s">
        <v>816</v>
      </c>
      <c r="G19" s="14" t="s">
        <v>1421</v>
      </c>
      <c r="H19" s="13">
        <v>1</v>
      </c>
      <c r="I19" s="16" t="str">
        <f>_xlfn.XLOOKUP(C19,Product!$A:$A,Product!$G:$G,"NOT FOUND")</f>
        <v>chai</v>
      </c>
      <c r="J19" s="20">
        <v>240000</v>
      </c>
      <c r="K19" s="15" t="s">
        <v>1323</v>
      </c>
      <c r="L19" s="21">
        <v>195</v>
      </c>
      <c r="M19" s="10" t="s">
        <v>848</v>
      </c>
      <c r="N19" s="12">
        <v>551</v>
      </c>
      <c r="O19" t="str">
        <f t="shared" si="1"/>
        <v>INSERT INTO public.medical_supply_sellable_unit (code, price, quantity, sale_uom, product_variant_code) VALUES ('PRODUCT-00013-001-01', 240000, 1, 'Hộp', 'PRODUCT-00013-001');</v>
      </c>
    </row>
    <row r="20" spans="1:15" x14ac:dyDescent="0.25">
      <c r="A20" s="10" t="str">
        <f>B20&amp;"-"&amp;TEXT(COUNTIF(B$2:B20,B20),"00")</f>
        <v>PRODUCT-00014-001-01</v>
      </c>
      <c r="B20" s="11" t="s">
        <v>1653</v>
      </c>
      <c r="C20" s="10" t="str">
        <f>_xlfn.XLOOKUP(B20,'Product Variant'!$A:$A,'Product Variant'!$B:$B,"NOT FOUND")</f>
        <v>PRODUCT-00014</v>
      </c>
      <c r="D20" s="10" t="str">
        <f>_xlfn.XLOOKUP(B20,'Product Variant'!$A:$A,'Product Variant'!$C:$C,"NOT FOUND")</f>
        <v>[ConvaTec] Băng dán vết thương - DuoDerm Extra Thin (10cmx10cm)</v>
      </c>
      <c r="E20" s="10" t="str" cm="1">
        <f t="array" ref="E20">_xlfn.TEXTJOIN(" / ",TRUE,_xlfn.XLOOKUP(B20&amp;"|ATTR-27",'Product Variant Attribute'!$A$2:$A$2000&amp;"|"&amp;'Product Variant Attribute'!$D$2:$D$2000,'Product Variant Attribute'!$F$2:$F$2000,""),_xlfn.XLOOKUP(B20&amp;"|ATTR-24",'Product Variant Attribute'!$A$2:$A$2000&amp;"|"&amp;'Product Variant Attribute'!$D$2:$D$2000,'Product Variant Attribute'!$F$2:$F$2000,""))</f>
        <v/>
      </c>
      <c r="F20" s="11" t="s">
        <v>817</v>
      </c>
      <c r="G20" s="11" t="s">
        <v>841</v>
      </c>
      <c r="H20" s="13">
        <f t="shared" si="0"/>
        <v>1</v>
      </c>
      <c r="I20" s="16" t="str">
        <f>_xlfn.XLOOKUP(C20,Product!$A:$A,Product!$G:$G,"NOT FOUND")</f>
        <v>miếng</v>
      </c>
      <c r="J20" s="20">
        <v>69000</v>
      </c>
      <c r="K20" s="15" t="s">
        <v>1327</v>
      </c>
      <c r="L20" s="21">
        <v>118</v>
      </c>
      <c r="M20" s="10" t="s">
        <v>849</v>
      </c>
      <c r="N20" s="12">
        <v>2</v>
      </c>
      <c r="O20" t="str">
        <f t="shared" si="1"/>
        <v>INSERT INTO public.medical_supply_sellable_unit (code, price, quantity, sale_uom, product_variant_code) VALUES ('PRODUCT-00014-001-01', 69000, 1, 'Túi', 'PRODUCT-00014-001');</v>
      </c>
    </row>
    <row r="21" spans="1:15" x14ac:dyDescent="0.25">
      <c r="A21" s="10" t="str">
        <f>B21&amp;"-"&amp;TEXT(COUNTIF(B$2:B21,B21),"00")</f>
        <v>PRODUCT-00254-001-01</v>
      </c>
      <c r="B21" s="11" t="s">
        <v>1654</v>
      </c>
      <c r="C21" s="10" t="str">
        <f>_xlfn.XLOOKUP(B21,'Product Variant'!$A:$A,'Product Variant'!$B:$B,"NOT FOUND")</f>
        <v>PRODUCT-00254</v>
      </c>
      <c r="D21" s="10" t="str">
        <f>_xlfn.XLOOKUP(B21,'Product Variant'!$A:$A,'Product Variant'!$C:$C,"NOT FOUND")</f>
        <v>[ConvaTec] Băng dán vết thương - DuoDerm Extra Thin (5cmx20cm)</v>
      </c>
      <c r="E21" s="10" t="str" cm="1">
        <f t="array" ref="E21">_xlfn.TEXTJOIN(" / ",TRUE,_xlfn.XLOOKUP(B21&amp;"|ATTR-27",'Product Variant Attribute'!$A$2:$A$2000&amp;"|"&amp;'Product Variant Attribute'!$D$2:$D$2000,'Product Variant Attribute'!$F$2:$F$2000,""),_xlfn.XLOOKUP(B21&amp;"|ATTR-24",'Product Variant Attribute'!$A$2:$A$2000&amp;"|"&amp;'Product Variant Attribute'!$D$2:$D$2000,'Product Variant Attribute'!$F$2:$F$2000,""))</f>
        <v/>
      </c>
      <c r="F21" s="11" t="s">
        <v>817</v>
      </c>
      <c r="G21" s="11" t="s">
        <v>841</v>
      </c>
      <c r="H21" s="13">
        <f t="shared" si="0"/>
        <v>1</v>
      </c>
      <c r="I21" s="16" t="str">
        <f>_xlfn.XLOOKUP(C21,Product!$A:$A,Product!$G:$G,"NOT FOUND")</f>
        <v>miếng</v>
      </c>
      <c r="J21" s="20">
        <v>83000</v>
      </c>
      <c r="K21" s="15" t="s">
        <v>1327</v>
      </c>
      <c r="L21" s="21">
        <v>119</v>
      </c>
      <c r="M21" s="10" t="s">
        <v>849</v>
      </c>
      <c r="N21" s="12">
        <v>3</v>
      </c>
      <c r="O21" t="str">
        <f t="shared" si="1"/>
        <v>INSERT INTO public.medical_supply_sellable_unit (code, price, quantity, sale_uom, product_variant_code) VALUES ('PRODUCT-00254-001-01', 83000, 1, 'Túi', 'PRODUCT-00254-001');</v>
      </c>
    </row>
    <row r="22" spans="1:15" x14ac:dyDescent="0.25">
      <c r="A22" s="10" t="str">
        <f>B22&amp;"-"&amp;TEXT(COUNTIF(B$2:B22,B22),"00")</f>
        <v>PRODUCT-00255-001-01</v>
      </c>
      <c r="B22" s="11" t="s">
        <v>1655</v>
      </c>
      <c r="C22" s="10" t="str">
        <f>_xlfn.XLOOKUP(B22,'Product Variant'!$A:$A,'Product Variant'!$B:$B,"NOT FOUND")</f>
        <v>PRODUCT-00255</v>
      </c>
      <c r="D22" s="10" t="str">
        <f>_xlfn.XLOOKUP(B22,'Product Variant'!$A:$A,'Product Variant'!$C:$C,"NOT FOUND")</f>
        <v>[ConvaTec] Băng dán vết thương - DuoDerm Extra Thin (5cmx10cm)</v>
      </c>
      <c r="E22" s="10" t="str" cm="1">
        <f t="array" ref="E22">_xlfn.TEXTJOIN(" / ",TRUE,_xlfn.XLOOKUP(B22&amp;"|ATTR-27",'Product Variant Attribute'!$A$2:$A$2000&amp;"|"&amp;'Product Variant Attribute'!$D$2:$D$2000,'Product Variant Attribute'!$F$2:$F$2000,""),_xlfn.XLOOKUP(B22&amp;"|ATTR-24",'Product Variant Attribute'!$A$2:$A$2000&amp;"|"&amp;'Product Variant Attribute'!$D$2:$D$2000,'Product Variant Attribute'!$F$2:$F$2000,""))</f>
        <v/>
      </c>
      <c r="F22" s="11" t="s">
        <v>817</v>
      </c>
      <c r="G22" s="11" t="s">
        <v>841</v>
      </c>
      <c r="H22" s="13">
        <f t="shared" si="0"/>
        <v>1</v>
      </c>
      <c r="I22" s="16" t="str">
        <f>_xlfn.XLOOKUP(C22,Product!$A:$A,Product!$G:$G,"NOT FOUND")</f>
        <v>miếng</v>
      </c>
      <c r="J22" s="20">
        <v>50000</v>
      </c>
      <c r="K22" s="15" t="s">
        <v>1327</v>
      </c>
      <c r="L22" s="21">
        <v>120</v>
      </c>
      <c r="M22" s="10" t="s">
        <v>849</v>
      </c>
      <c r="N22" s="12">
        <v>4</v>
      </c>
      <c r="O22" t="str">
        <f t="shared" si="1"/>
        <v>INSERT INTO public.medical_supply_sellable_unit (code, price, quantity, sale_uom, product_variant_code) VALUES ('PRODUCT-00255-001-01', 50000, 1, 'Túi', 'PRODUCT-00255-001');</v>
      </c>
    </row>
    <row r="23" spans="1:15" x14ac:dyDescent="0.25">
      <c r="A23" s="10" t="str">
        <f>B23&amp;"-"&amp;TEXT(COUNTIF(B$2:B23,B23),"00")</f>
        <v>PRODUCT-00015-001-01</v>
      </c>
      <c r="B23" s="11" t="s">
        <v>1656</v>
      </c>
      <c r="C23" s="10" t="str">
        <f>_xlfn.XLOOKUP(B23,'Product Variant'!$A:$A,'Product Variant'!$B:$B,"NOT FOUND")</f>
        <v>PRODUCT-00015</v>
      </c>
      <c r="D23" s="10" t="str">
        <f>_xlfn.XLOOKUP(B23,'Product Variant'!$A:$A,'Product Variant'!$C:$C,"NOT FOUND")</f>
        <v>[Dr.Muller Pharma] Gel bôi vết thương hở - Okuskin (10g)</v>
      </c>
      <c r="E23" s="10" t="str" cm="1">
        <f t="array" ref="E23">_xlfn.TEXTJOIN(" / ",TRUE,_xlfn.XLOOKUP(B23&amp;"|ATTR-27",'Product Variant Attribute'!$A$2:$A$2000&amp;"|"&amp;'Product Variant Attribute'!$D$2:$D$2000,'Product Variant Attribute'!$F$2:$F$2000,""),_xlfn.XLOOKUP(B23&amp;"|ATTR-24",'Product Variant Attribute'!$A$2:$A$2000&amp;"|"&amp;'Product Variant Attribute'!$D$2:$D$2000,'Product Variant Attribute'!$F$2:$F$2000,""))</f>
        <v/>
      </c>
      <c r="F23" s="11" t="s">
        <v>816</v>
      </c>
      <c r="G23" s="11" t="s">
        <v>850</v>
      </c>
      <c r="H23" s="13">
        <f t="shared" si="0"/>
        <v>1</v>
      </c>
      <c r="I23" s="16" t="str">
        <f>_xlfn.XLOOKUP(C23,Product!$A:$A,Product!$G:$G,"NOT FOUND")</f>
        <v>tuýp</v>
      </c>
      <c r="J23" s="20">
        <v>180000</v>
      </c>
      <c r="K23" s="15" t="s">
        <v>1323</v>
      </c>
      <c r="L23" s="21">
        <v>154</v>
      </c>
      <c r="M23" s="10" t="s">
        <v>851</v>
      </c>
      <c r="N23" s="12">
        <v>260</v>
      </c>
      <c r="O23" t="str">
        <f t="shared" si="1"/>
        <v>INSERT INTO public.medical_supply_sellable_unit (code, price, quantity, sale_uom, product_variant_code) VALUES ('PRODUCT-00015-001-01', 180000, 1, 'Hộp', 'PRODUCT-00015-001');</v>
      </c>
    </row>
    <row r="24" spans="1:15" x14ac:dyDescent="0.25">
      <c r="A24" s="10" t="str">
        <f>B24&amp;"-"&amp;TEXT(COUNTIF(B$2:B24,B24),"00")</f>
        <v>PRODUCT-00256-001-01</v>
      </c>
      <c r="B24" s="11" t="s">
        <v>1657</v>
      </c>
      <c r="C24" s="10" t="str">
        <f>_xlfn.XLOOKUP(B24,'Product Variant'!$A:$A,'Product Variant'!$B:$B,"NOT FOUND")</f>
        <v>PRODUCT-00256</v>
      </c>
      <c r="D24" s="10" t="str">
        <f>_xlfn.XLOOKUP(B24,'Product Variant'!$A:$A,'Product Variant'!$C:$C,"NOT FOUND")</f>
        <v>[Dr.Muller Pharma] Gel bôi vết thương hở - Okuskin (30g)</v>
      </c>
      <c r="E24" s="10" t="str" cm="1">
        <f t="array" ref="E24">_xlfn.TEXTJOIN(" / ",TRUE,_xlfn.XLOOKUP(B24&amp;"|ATTR-27",'Product Variant Attribute'!$A$2:$A$2000&amp;"|"&amp;'Product Variant Attribute'!$D$2:$D$2000,'Product Variant Attribute'!$F$2:$F$2000,""),_xlfn.XLOOKUP(B24&amp;"|ATTR-24",'Product Variant Attribute'!$A$2:$A$2000&amp;"|"&amp;'Product Variant Attribute'!$D$2:$D$2000,'Product Variant Attribute'!$F$2:$F$2000,""))</f>
        <v/>
      </c>
      <c r="F24" s="11" t="s">
        <v>816</v>
      </c>
      <c r="G24" s="11" t="s">
        <v>852</v>
      </c>
      <c r="H24" s="13">
        <f t="shared" si="0"/>
        <v>1</v>
      </c>
      <c r="I24" s="16" t="str">
        <f>_xlfn.XLOOKUP(C24,Product!$A:$A,Product!$G:$G,"NOT FOUND")</f>
        <v>tuýp</v>
      </c>
      <c r="J24" s="20">
        <v>380000</v>
      </c>
      <c r="K24" s="15" t="s">
        <v>1323</v>
      </c>
      <c r="L24" s="21">
        <v>167</v>
      </c>
      <c r="M24" s="10" t="s">
        <v>853</v>
      </c>
      <c r="N24" s="12">
        <v>261</v>
      </c>
      <c r="O24" t="str">
        <f t="shared" si="1"/>
        <v>INSERT INTO public.medical_supply_sellable_unit (code, price, quantity, sale_uom, product_variant_code) VALUES ('PRODUCT-00256-001-01', 380000, 1, 'Hộp', 'PRODUCT-00256-001');</v>
      </c>
    </row>
    <row r="25" spans="1:15" x14ac:dyDescent="0.25">
      <c r="A25" s="10" t="str">
        <f>B25&amp;"-"&amp;TEXT(COUNTIF(B$2:B25,B25),"00")</f>
        <v>PRODUCT-00016-001-01</v>
      </c>
      <c r="B25" s="11" t="s">
        <v>1658</v>
      </c>
      <c r="C25" s="10" t="str">
        <f>_xlfn.XLOOKUP(B25,'Product Variant'!$A:$A,'Product Variant'!$B:$B,"NOT FOUND")</f>
        <v>PRODUCT-00016</v>
      </c>
      <c r="D25" s="10" t="str">
        <f>_xlfn.XLOOKUP(B25,'Product Variant'!$A:$A,'Product Variant'!$C:$C,"NOT FOUND")</f>
        <v>[ICM] Dung dịch sát khuẩn rửa vết thương - Berbemed (150ml)</v>
      </c>
      <c r="E25" s="10" t="str" cm="1">
        <f t="array" ref="E25">_xlfn.TEXTJOIN(" / ",TRUE,_xlfn.XLOOKUP(B25&amp;"|ATTR-27",'Product Variant Attribute'!$A$2:$A$2000&amp;"|"&amp;'Product Variant Attribute'!$D$2:$D$2000,'Product Variant Attribute'!$F$2:$F$2000,""),_xlfn.XLOOKUP(B25&amp;"|ATTR-24",'Product Variant Attribute'!$A$2:$A$2000&amp;"|"&amp;'Product Variant Attribute'!$D$2:$D$2000,'Product Variant Attribute'!$F$2:$F$2000,""))</f>
        <v/>
      </c>
      <c r="F25" s="11" t="s">
        <v>816</v>
      </c>
      <c r="G25" s="11" t="s">
        <v>854</v>
      </c>
      <c r="H25" s="13">
        <f t="shared" si="0"/>
        <v>1</v>
      </c>
      <c r="I25" s="16" t="str">
        <f>_xlfn.XLOOKUP(C25,Product!$A:$A,Product!$G:$G,"NOT FOUND")</f>
        <v>chai</v>
      </c>
      <c r="J25" s="20">
        <v>120000</v>
      </c>
      <c r="K25" s="15" t="s">
        <v>1323</v>
      </c>
      <c r="L25" s="21">
        <v>166</v>
      </c>
      <c r="M25" s="10" t="s">
        <v>855</v>
      </c>
      <c r="N25" s="12">
        <v>225</v>
      </c>
      <c r="O25" t="str">
        <f t="shared" si="1"/>
        <v>INSERT INTO public.medical_supply_sellable_unit (code, price, quantity, sale_uom, product_variant_code) VALUES ('PRODUCT-00016-001-01', 120000, 1, 'Hộp', 'PRODUCT-00016-001');</v>
      </c>
    </row>
    <row r="26" spans="1:15" x14ac:dyDescent="0.25">
      <c r="A26" s="10" t="str">
        <f>B26&amp;"-"&amp;TEXT(COUNTIF(B$2:B26,B26),"00")</f>
        <v>PRODUCT-00017-001-01</v>
      </c>
      <c r="B26" s="11" t="s">
        <v>1659</v>
      </c>
      <c r="C26" s="10" t="str">
        <f>_xlfn.XLOOKUP(B26,'Product Variant'!$A:$A,'Product Variant'!$B:$B,"NOT FOUND")</f>
        <v>PRODUCT-00017</v>
      </c>
      <c r="D26" s="10" t="str">
        <f>_xlfn.XLOOKUP(B26,'Product Variant'!$A:$A,'Product Variant'!$C:$C,"NOT FOUND")</f>
        <v>[Mepro] Bông tẩm cồn sát trùng - Alcohol Swab</v>
      </c>
      <c r="E26" s="10" t="str" cm="1">
        <f t="array" ref="E26">_xlfn.TEXTJOIN(" / ",TRUE,_xlfn.XLOOKUP(B26&amp;"|ATTR-27",'Product Variant Attribute'!$A$2:$A$2000&amp;"|"&amp;'Product Variant Attribute'!$D$2:$D$2000,'Product Variant Attribute'!$F$2:$F$2000,""),_xlfn.XLOOKUP(B26&amp;"|ATTR-24",'Product Variant Attribute'!$A$2:$A$2000&amp;"|"&amp;'Product Variant Attribute'!$D$2:$D$2000,'Product Variant Attribute'!$F$2:$F$2000,""))</f>
        <v/>
      </c>
      <c r="F26" s="11" t="s">
        <v>816</v>
      </c>
      <c r="G26" s="11" t="s">
        <v>856</v>
      </c>
      <c r="H26" s="13">
        <f t="shared" si="0"/>
        <v>100</v>
      </c>
      <c r="I26" s="16" t="str">
        <f>_xlfn.XLOOKUP(C26,Product!$A:$A,Product!$G:$G,"NOT FOUND")</f>
        <v>miếng</v>
      </c>
      <c r="J26" s="20">
        <v>16000</v>
      </c>
      <c r="K26" s="15" t="s">
        <v>1323</v>
      </c>
      <c r="L26" s="21">
        <v>346</v>
      </c>
      <c r="M26" s="10" t="s">
        <v>857</v>
      </c>
      <c r="N26" s="12">
        <v>125</v>
      </c>
      <c r="O26" t="str">
        <f t="shared" si="1"/>
        <v>INSERT INTO public.medical_supply_sellable_unit (code, price, quantity, sale_uom, product_variant_code) VALUES ('PRODUCT-00017-001-01', 16000, 100, 'Hộp', 'PRODUCT-00017-001');</v>
      </c>
    </row>
    <row r="27" spans="1:15" x14ac:dyDescent="0.25">
      <c r="A27" s="10" t="str">
        <f>B27&amp;"-"&amp;TEXT(COUNTIF(B$2:B27,B27),"00")</f>
        <v>PRODUCT-00018-001-01</v>
      </c>
      <c r="B27" s="11" t="s">
        <v>1660</v>
      </c>
      <c r="C27" s="10" t="str">
        <f>_xlfn.XLOOKUP(B27,'Product Variant'!$A:$A,'Product Variant'!$B:$B,"NOT FOUND")</f>
        <v>PRODUCT-00018</v>
      </c>
      <c r="D27" s="10" t="str">
        <f>_xlfn.XLOOKUP(B27,'Product Variant'!$A:$A,'Product Variant'!$C:$C,"NOT FOUND")</f>
        <v>[SeaSight] Gạc xốp hút dịch chống loét có viền dính silicone (18.5cmx24cm)</v>
      </c>
      <c r="E27" s="10" t="str" cm="1">
        <f t="array" ref="E27">_xlfn.TEXTJOIN(" / ",TRUE,_xlfn.XLOOKUP(B27&amp;"|ATTR-27",'Product Variant Attribute'!$A$2:$A$2000&amp;"|"&amp;'Product Variant Attribute'!$D$2:$D$2000,'Product Variant Attribute'!$F$2:$F$2000,""),_xlfn.XLOOKUP(B27&amp;"|ATTR-24",'Product Variant Attribute'!$A$2:$A$2000&amp;"|"&amp;'Product Variant Attribute'!$D$2:$D$2000,'Product Variant Attribute'!$F$2:$F$2000,""))</f>
        <v/>
      </c>
      <c r="F27" s="11" t="s">
        <v>817</v>
      </c>
      <c r="G27" s="11" t="s">
        <v>841</v>
      </c>
      <c r="H27" s="13">
        <f t="shared" si="0"/>
        <v>1</v>
      </c>
      <c r="I27" s="16" t="str">
        <f>_xlfn.XLOOKUP(C27,Product!$A:$A,Product!$G:$G,"NOT FOUND")</f>
        <v>miếng</v>
      </c>
      <c r="J27" s="20">
        <v>150000</v>
      </c>
      <c r="K27" s="15" t="s">
        <v>1323</v>
      </c>
      <c r="L27" s="21">
        <v>153</v>
      </c>
      <c r="M27" s="10" t="s">
        <v>858</v>
      </c>
      <c r="N27" s="12">
        <v>235</v>
      </c>
      <c r="O27" t="str">
        <f t="shared" si="1"/>
        <v>INSERT INTO public.medical_supply_sellable_unit (code, price, quantity, sale_uom, product_variant_code) VALUES ('PRODUCT-00018-001-01', 150000, 1, 'Túi', 'PRODUCT-00018-001');</v>
      </c>
    </row>
    <row r="28" spans="1:15" x14ac:dyDescent="0.25">
      <c r="A28" s="10" t="str">
        <f>B28&amp;"-"&amp;TEXT(COUNTIF(B$2:B28,B28),"00")</f>
        <v>PRODUCT-00019-001-01</v>
      </c>
      <c r="B28" s="11" t="s">
        <v>1661</v>
      </c>
      <c r="C28" s="10" t="str">
        <f>_xlfn.XLOOKUP(B28,'Product Variant'!$A:$A,'Product Variant'!$B:$B,"NOT FOUND")</f>
        <v>PRODUCT-00019</v>
      </c>
      <c r="D28" s="10" t="str">
        <f>_xlfn.XLOOKUP(B28,'Product Variant'!$A:$A,'Product Variant'!$C:$C,"NOT FOUND")</f>
        <v>[SeaSight] Miếng dán vết thương thay chỉ khâu (3mmx75mm)</v>
      </c>
      <c r="E28" s="10" t="str" cm="1">
        <f t="array" ref="E28">_xlfn.TEXTJOIN(" / ",TRUE,_xlfn.XLOOKUP(B28&amp;"|ATTR-27",'Product Variant Attribute'!$A$2:$A$2000&amp;"|"&amp;'Product Variant Attribute'!$D$2:$D$2000,'Product Variant Attribute'!$F$2:$F$2000,""),_xlfn.XLOOKUP(B28&amp;"|ATTR-24",'Product Variant Attribute'!$A$2:$A$2000&amp;"|"&amp;'Product Variant Attribute'!$D$2:$D$2000,'Product Variant Attribute'!$F$2:$F$2000,""))</f>
        <v/>
      </c>
      <c r="F28" s="11" t="s">
        <v>817</v>
      </c>
      <c r="G28" s="11" t="s">
        <v>844</v>
      </c>
      <c r="H28" s="13">
        <f t="shared" si="0"/>
        <v>5</v>
      </c>
      <c r="I28" s="16" t="str">
        <f>_xlfn.XLOOKUP(C28,Product!$A:$A,Product!$G:$G,"NOT FOUND")</f>
        <v>sợi</v>
      </c>
      <c r="J28" s="20">
        <v>20000</v>
      </c>
      <c r="K28" s="15" t="s">
        <v>1327</v>
      </c>
      <c r="L28" s="21" t="s">
        <v>1448</v>
      </c>
      <c r="M28" s="10" t="s">
        <v>859</v>
      </c>
      <c r="N28" s="12" t="s">
        <v>1433</v>
      </c>
      <c r="O28" t="str">
        <f t="shared" si="1"/>
        <v>INSERT INTO public.medical_supply_sellable_unit (code, price, quantity, sale_uom, product_variant_code) VALUES ('PRODUCT-00019-001-01', 20000, 5, 'Túi', 'PRODUCT-00019-001');</v>
      </c>
    </row>
    <row r="29" spans="1:15" x14ac:dyDescent="0.25">
      <c r="A29" s="10" t="str">
        <f>B29&amp;"-"&amp;TEXT(COUNTIF(B$2:B29,B29),"00")</f>
        <v>PRODUCT-00257-001-01</v>
      </c>
      <c r="B29" s="11" t="s">
        <v>1662</v>
      </c>
      <c r="C29" s="10" t="str">
        <f>_xlfn.XLOOKUP(B29,'Product Variant'!$A:$A,'Product Variant'!$B:$B,"NOT FOUND")</f>
        <v>PRODUCT-00257</v>
      </c>
      <c r="D29" s="10" t="str">
        <f>_xlfn.XLOOKUP(B29,'Product Variant'!$A:$A,'Product Variant'!$C:$C,"NOT FOUND")</f>
        <v>[SeaSight] Miếng dán vết thương thay chỉ khâu (6mmx38mm)</v>
      </c>
      <c r="E29" s="10" t="str" cm="1">
        <f t="array" ref="E29">_xlfn.TEXTJOIN(" / ",TRUE,_xlfn.XLOOKUP(B29&amp;"|ATTR-27",'Product Variant Attribute'!$A$2:$A$2000&amp;"|"&amp;'Product Variant Attribute'!$D$2:$D$2000,'Product Variant Attribute'!$F$2:$F$2000,""),_xlfn.XLOOKUP(B29&amp;"|ATTR-24",'Product Variant Attribute'!$A$2:$A$2000&amp;"|"&amp;'Product Variant Attribute'!$D$2:$D$2000,'Product Variant Attribute'!$F$2:$F$2000,""))</f>
        <v/>
      </c>
      <c r="F29" s="11" t="s">
        <v>817</v>
      </c>
      <c r="G29" s="11" t="s">
        <v>847</v>
      </c>
      <c r="H29" s="13">
        <f t="shared" si="0"/>
        <v>6</v>
      </c>
      <c r="I29" s="16" t="str">
        <f>_xlfn.XLOOKUP(C29,Product!$A:$A,Product!$G:$G,"NOT FOUND")</f>
        <v>sợi</v>
      </c>
      <c r="J29" s="20">
        <v>20000</v>
      </c>
      <c r="K29" s="15" t="s">
        <v>1327</v>
      </c>
      <c r="L29" s="21" t="s">
        <v>1449</v>
      </c>
      <c r="M29" s="10" t="s">
        <v>859</v>
      </c>
      <c r="N29" s="12" t="s">
        <v>1434</v>
      </c>
      <c r="O29" t="str">
        <f t="shared" si="1"/>
        <v>INSERT INTO public.medical_supply_sellable_unit (code, price, quantity, sale_uom, product_variant_code) VALUES ('PRODUCT-00257-001-01', 20000, 6, 'Túi', 'PRODUCT-00257-001');</v>
      </c>
    </row>
    <row r="30" spans="1:15" x14ac:dyDescent="0.25">
      <c r="A30" s="10" t="str">
        <f>B30&amp;"-"&amp;TEXT(COUNTIF(B$2:B30,B30),"00")</f>
        <v>PRODUCT-00258-001-01</v>
      </c>
      <c r="B30" s="11" t="s">
        <v>1663</v>
      </c>
      <c r="C30" s="10" t="str">
        <f>_xlfn.XLOOKUP(B30,'Product Variant'!$A:$A,'Product Variant'!$B:$B,"NOT FOUND")</f>
        <v>PRODUCT-00258</v>
      </c>
      <c r="D30" s="10" t="str">
        <f>_xlfn.XLOOKUP(B30,'Product Variant'!$A:$A,'Product Variant'!$C:$C,"NOT FOUND")</f>
        <v>[SeaSight] Miếng dán vết thương thay chỉ khâu (6mmx100mm)</v>
      </c>
      <c r="E30" s="10" t="str" cm="1">
        <f t="array" ref="E30">_xlfn.TEXTJOIN(" / ",TRUE,_xlfn.XLOOKUP(B30&amp;"|ATTR-27",'Product Variant Attribute'!$A$2:$A$2000&amp;"|"&amp;'Product Variant Attribute'!$D$2:$D$2000,'Product Variant Attribute'!$F$2:$F$2000,""),_xlfn.XLOOKUP(B30&amp;"|ATTR-24",'Product Variant Attribute'!$A$2:$A$2000&amp;"|"&amp;'Product Variant Attribute'!$D$2:$D$2000,'Product Variant Attribute'!$F$2:$F$2000,""))</f>
        <v/>
      </c>
      <c r="F30" s="11" t="s">
        <v>817</v>
      </c>
      <c r="G30" s="11" t="s">
        <v>844</v>
      </c>
      <c r="H30" s="13">
        <f t="shared" si="0"/>
        <v>5</v>
      </c>
      <c r="I30" s="16" t="str">
        <f>_xlfn.XLOOKUP(C30,Product!$A:$A,Product!$G:$G,"NOT FOUND")</f>
        <v>sợi</v>
      </c>
      <c r="J30" s="20">
        <v>25000</v>
      </c>
      <c r="K30" s="15" t="s">
        <v>1327</v>
      </c>
      <c r="L30" s="21" t="s">
        <v>1450</v>
      </c>
      <c r="M30" s="10" t="s">
        <v>859</v>
      </c>
      <c r="N30" s="12" t="s">
        <v>1435</v>
      </c>
      <c r="O30" t="str">
        <f t="shared" si="1"/>
        <v>INSERT INTO public.medical_supply_sellable_unit (code, price, quantity, sale_uom, product_variant_code) VALUES ('PRODUCT-00258-001-01', 25000, 5, 'Túi', 'PRODUCT-00258-001');</v>
      </c>
    </row>
    <row r="31" spans="1:15" x14ac:dyDescent="0.25">
      <c r="A31" s="10" t="str">
        <f>B31&amp;"-"&amp;TEXT(COUNTIF(B$2:B31,B31),"00")</f>
        <v>PRODUCT-00259-001-01</v>
      </c>
      <c r="B31" s="11" t="s">
        <v>1664</v>
      </c>
      <c r="C31" s="10" t="str">
        <f>_xlfn.XLOOKUP(B31,'Product Variant'!$A:$A,'Product Variant'!$B:$B,"NOT FOUND")</f>
        <v>PRODUCT-00259</v>
      </c>
      <c r="D31" s="10" t="str">
        <f>_xlfn.XLOOKUP(B31,'Product Variant'!$A:$A,'Product Variant'!$C:$C,"NOT FOUND")</f>
        <v>[SeaSight] Miếng dán vết thương thay chỉ khâu (12mmx100mm)</v>
      </c>
      <c r="E31" s="10" t="str" cm="1">
        <f t="array" ref="E31">_xlfn.TEXTJOIN(" / ",TRUE,_xlfn.XLOOKUP(B31&amp;"|ATTR-27",'Product Variant Attribute'!$A$2:$A$2000&amp;"|"&amp;'Product Variant Attribute'!$D$2:$D$2000,'Product Variant Attribute'!$F$2:$F$2000,""),_xlfn.XLOOKUP(B31&amp;"|ATTR-24",'Product Variant Attribute'!$A$2:$A$2000&amp;"|"&amp;'Product Variant Attribute'!$D$2:$D$2000,'Product Variant Attribute'!$F$2:$F$2000,""))</f>
        <v/>
      </c>
      <c r="F31" s="11" t="s">
        <v>817</v>
      </c>
      <c r="G31" s="11" t="s">
        <v>860</v>
      </c>
      <c r="H31" s="13">
        <f t="shared" si="0"/>
        <v>3</v>
      </c>
      <c r="I31" s="16" t="str">
        <f>_xlfn.XLOOKUP(C31,Product!$A:$A,Product!$G:$G,"NOT FOUND")</f>
        <v>sợi</v>
      </c>
      <c r="J31" s="20">
        <v>27000</v>
      </c>
      <c r="K31" s="15" t="s">
        <v>1327</v>
      </c>
      <c r="L31" s="21" t="s">
        <v>1451</v>
      </c>
      <c r="M31" s="10" t="s">
        <v>859</v>
      </c>
      <c r="N31" s="12" t="s">
        <v>1436</v>
      </c>
      <c r="O31" t="str">
        <f t="shared" si="1"/>
        <v>INSERT INTO public.medical_supply_sellable_unit (code, price, quantity, sale_uom, product_variant_code) VALUES ('PRODUCT-00259-001-01', 27000, 3, 'Túi', 'PRODUCT-00259-001');</v>
      </c>
    </row>
    <row r="32" spans="1:15" x14ac:dyDescent="0.25">
      <c r="A32" s="10" t="str">
        <f>B32&amp;"-"&amp;TEXT(COUNTIF(B$2:B32,B32),"00")</f>
        <v>PRODUCT-00020-001-01</v>
      </c>
      <c r="B32" s="11" t="s">
        <v>1665</v>
      </c>
      <c r="C32" s="10" t="str">
        <f>_xlfn.XLOOKUP(B32,'Product Variant'!$A:$A,'Product Variant'!$B:$B,"NOT FOUND")</f>
        <v>PRODUCT-00020</v>
      </c>
      <c r="D32" s="10" t="str">
        <f>_xlfn.XLOOKUP(B32,'Product Variant'!$A:$A,'Product Variant'!$C:$C,"NOT FOUND")</f>
        <v>[Tanaphar] Bông tẩm cồn tiệt trùng - Alcohol Swab</v>
      </c>
      <c r="E32" s="10" t="str" cm="1">
        <f t="array" ref="E32">_xlfn.TEXTJOIN(" / ",TRUE,_xlfn.XLOOKUP(B32&amp;"|ATTR-27",'Product Variant Attribute'!$A$2:$A$2000&amp;"|"&amp;'Product Variant Attribute'!$D$2:$D$2000,'Product Variant Attribute'!$F$2:$F$2000,""),_xlfn.XLOOKUP(B32&amp;"|ATTR-24",'Product Variant Attribute'!$A$2:$A$2000&amp;"|"&amp;'Product Variant Attribute'!$D$2:$D$2000,'Product Variant Attribute'!$F$2:$F$2000,""))</f>
        <v/>
      </c>
      <c r="F32" s="11" t="s">
        <v>816</v>
      </c>
      <c r="G32" s="11" t="s">
        <v>856</v>
      </c>
      <c r="H32" s="13">
        <f t="shared" si="0"/>
        <v>100</v>
      </c>
      <c r="I32" s="16" t="str">
        <f>_xlfn.XLOOKUP(C32,Product!$A:$A,Product!$G:$G,"NOT FOUND")</f>
        <v>miếng</v>
      </c>
      <c r="J32" s="20">
        <v>20000</v>
      </c>
      <c r="K32" s="15" t="s">
        <v>1323</v>
      </c>
      <c r="L32" s="21">
        <v>345</v>
      </c>
      <c r="M32" s="10" t="s">
        <v>861</v>
      </c>
      <c r="N32" s="12">
        <v>126</v>
      </c>
      <c r="O32" t="str">
        <f t="shared" si="1"/>
        <v>INSERT INTO public.medical_supply_sellable_unit (code, price, quantity, sale_uom, product_variant_code) VALUES ('PRODUCT-00020-001-01', 20000, 100, 'Hộp', 'PRODUCT-00020-001');</v>
      </c>
    </row>
    <row r="33" spans="1:15" x14ac:dyDescent="0.25">
      <c r="A33" s="10" t="str">
        <f>B33&amp;"-"&amp;TEXT(COUNTIF(B$2:B33,B33),"00")</f>
        <v>PRODUCT-00021-001-01</v>
      </c>
      <c r="B33" s="11" t="s">
        <v>1666</v>
      </c>
      <c r="C33" s="10" t="str">
        <f>_xlfn.XLOOKUP(B33,'Product Variant'!$A:$A,'Product Variant'!$B:$B,"NOT FOUND")</f>
        <v>PRODUCT-00021</v>
      </c>
      <c r="D33" s="10" t="str">
        <f>_xlfn.XLOOKUP(B33,'Product Variant'!$A:$A,'Product Variant'!$C:$C,"NOT FOUND")</f>
        <v>[Terrapharm] Dung dịch kháng khuẩn rửa vết thương - Dizigone (300ml)</v>
      </c>
      <c r="E33" s="10" t="str" cm="1">
        <f t="array" ref="E33">_xlfn.TEXTJOIN(" / ",TRUE,_xlfn.XLOOKUP(B33&amp;"|ATTR-27",'Product Variant Attribute'!$A$2:$A$2000&amp;"|"&amp;'Product Variant Attribute'!$D$2:$D$2000,'Product Variant Attribute'!$F$2:$F$2000,""),_xlfn.XLOOKUP(B33&amp;"|ATTR-24",'Product Variant Attribute'!$A$2:$A$2000&amp;"|"&amp;'Product Variant Attribute'!$D$2:$D$2000,'Product Variant Attribute'!$F$2:$F$2000,""))</f>
        <v/>
      </c>
      <c r="F33" s="11" t="s">
        <v>816</v>
      </c>
      <c r="G33" s="11" t="s">
        <v>854</v>
      </c>
      <c r="H33" s="13">
        <f t="shared" si="0"/>
        <v>1</v>
      </c>
      <c r="I33" s="16" t="str">
        <f>_xlfn.XLOOKUP(C33,Product!$A:$A,Product!$G:$G,"NOT FOUND")</f>
        <v>chai</v>
      </c>
      <c r="J33" s="22"/>
      <c r="K33" s="15" t="s">
        <v>1468</v>
      </c>
      <c r="L33" s="21">
        <v>244</v>
      </c>
      <c r="M33" s="10" t="s">
        <v>862</v>
      </c>
      <c r="N33" s="12">
        <v>224</v>
      </c>
      <c r="O33" t="str">
        <f t="shared" si="1"/>
        <v>INSERT INTO public.medical_supply_sellable_unit (code, price, quantity, sale_uom, product_variant_code) VALUES ('PRODUCT-00021-001-01', NULL, 1, 'Hộp', 'PRODUCT-00021-001');</v>
      </c>
    </row>
    <row r="34" spans="1:15" x14ac:dyDescent="0.25">
      <c r="A34" s="10" t="str">
        <f>B34&amp;"-"&amp;TEXT(COUNTIF(B$2:B34,B34),"00")</f>
        <v>PRODUCT-00022-001-01</v>
      </c>
      <c r="B34" s="11" t="s">
        <v>1667</v>
      </c>
      <c r="C34" s="10" t="str">
        <f>_xlfn.XLOOKUP(B34,'Product Variant'!$A:$A,'Product Variant'!$B:$B,"NOT FOUND")</f>
        <v>PRODUCT-00022</v>
      </c>
      <c r="D34" s="10" t="str">
        <f>_xlfn.XLOOKUP(B34,'Product Variant'!$A:$A,'Product Variant'!$C:$C,"NOT FOUND")</f>
        <v>[Terrapharm] Xịt kháng khuẩn - Dizigone Spray (100ml)</v>
      </c>
      <c r="E34" s="10" t="str" cm="1">
        <f t="array" ref="E34">_xlfn.TEXTJOIN(" / ",TRUE,_xlfn.XLOOKUP(B34&amp;"|ATTR-27",'Product Variant Attribute'!$A$2:$A$2000&amp;"|"&amp;'Product Variant Attribute'!$D$2:$D$2000,'Product Variant Attribute'!$F$2:$F$2000,""),_xlfn.XLOOKUP(B34&amp;"|ATTR-24",'Product Variant Attribute'!$A$2:$A$2000&amp;"|"&amp;'Product Variant Attribute'!$D$2:$D$2000,'Product Variant Attribute'!$F$2:$F$2000,""))</f>
        <v/>
      </c>
      <c r="F34" s="11" t="s">
        <v>816</v>
      </c>
      <c r="G34" s="11" t="s">
        <v>854</v>
      </c>
      <c r="H34" s="13">
        <f t="shared" si="0"/>
        <v>1</v>
      </c>
      <c r="I34" s="16" t="str">
        <f>_xlfn.XLOOKUP(C34,Product!$A:$A,Product!$G:$G,"NOT FOUND")</f>
        <v>chai</v>
      </c>
      <c r="J34" s="20">
        <v>65000</v>
      </c>
      <c r="K34" s="15" t="s">
        <v>1323</v>
      </c>
      <c r="L34" s="21">
        <v>245</v>
      </c>
      <c r="M34" s="10" t="s">
        <v>863</v>
      </c>
      <c r="N34" s="12">
        <v>552</v>
      </c>
      <c r="O34" t="str">
        <f t="shared" si="1"/>
        <v>INSERT INTO public.medical_supply_sellable_unit (code, price, quantity, sale_uom, product_variant_code) VALUES ('PRODUCT-00022-001-01', 65000, 1, 'Hộp', 'PRODUCT-00022-001');</v>
      </c>
    </row>
    <row r="35" spans="1:15" x14ac:dyDescent="0.25">
      <c r="A35" s="10" t="str">
        <f>B35&amp;"-"&amp;TEXT(COUNTIF(B$2:B35,B35),"00")</f>
        <v>PRODUCT-00023-001-01</v>
      </c>
      <c r="B35" s="11" t="s">
        <v>1668</v>
      </c>
      <c r="C35" s="10" t="str">
        <f>_xlfn.XLOOKUP(B35,'Product Variant'!$A:$A,'Product Variant'!$B:$B,"NOT FOUND")</f>
        <v>PRODUCT-00023</v>
      </c>
      <c r="D35" s="10" t="str">
        <f>_xlfn.XLOOKUP(B35,'Product Variant'!$A:$A,'Product Variant'!$C:$C,"NOT FOUND")</f>
        <v>[Urgo] Gạc lưới chống dính - UrgoTul (10cmx10cm)</v>
      </c>
      <c r="E35" s="10" t="str" cm="1">
        <f t="array" ref="E35">_xlfn.TEXTJOIN(" / ",TRUE,_xlfn.XLOOKUP(B35&amp;"|ATTR-27",'Product Variant Attribute'!$A$2:$A$2000&amp;"|"&amp;'Product Variant Attribute'!$D$2:$D$2000,'Product Variant Attribute'!$F$2:$F$2000,""),_xlfn.XLOOKUP(B35&amp;"|ATTR-24",'Product Variant Attribute'!$A$2:$A$2000&amp;"|"&amp;'Product Variant Attribute'!$D$2:$D$2000,'Product Variant Attribute'!$F$2:$F$2000,""))</f>
        <v/>
      </c>
      <c r="F35" s="11" t="s">
        <v>817</v>
      </c>
      <c r="G35" s="11" t="s">
        <v>841</v>
      </c>
      <c r="H35" s="13">
        <f t="shared" si="0"/>
        <v>1</v>
      </c>
      <c r="I35" s="16" t="str">
        <f>_xlfn.XLOOKUP(C35,Product!$A:$A,Product!$G:$G,"NOT FOUND")</f>
        <v>miếng</v>
      </c>
      <c r="J35" s="20">
        <v>60000</v>
      </c>
      <c r="K35" s="15" t="s">
        <v>1323</v>
      </c>
      <c r="L35" s="21">
        <v>385</v>
      </c>
      <c r="M35" s="10" t="s">
        <v>864</v>
      </c>
      <c r="N35" s="12">
        <v>227</v>
      </c>
      <c r="O35" t="str">
        <f t="shared" si="1"/>
        <v>INSERT INTO public.medical_supply_sellable_unit (code, price, quantity, sale_uom, product_variant_code) VALUES ('PRODUCT-00023-001-01', 60000, 1, 'Túi', 'PRODUCT-00023-001');</v>
      </c>
    </row>
    <row r="36" spans="1:15" x14ac:dyDescent="0.25">
      <c r="A36" s="10" t="str">
        <f>B36&amp;"-"&amp;TEXT(COUNTIF(B$2:B36,B36),"00")</f>
        <v>PRODUCT-00260-001-01</v>
      </c>
      <c r="B36" s="11" t="s">
        <v>1669</v>
      </c>
      <c r="C36" s="10" t="str">
        <f>_xlfn.XLOOKUP(B36,'Product Variant'!$A:$A,'Product Variant'!$B:$B,"NOT FOUND")</f>
        <v>PRODUCT-00260</v>
      </c>
      <c r="D36" s="10" t="str">
        <f>_xlfn.XLOOKUP(B36,'Product Variant'!$A:$A,'Product Variant'!$C:$C,"NOT FOUND")</f>
        <v>[Urgo] Gạc lưới chống dính - UrgoTul (15cmx20cm)</v>
      </c>
      <c r="E36" s="10" t="str" cm="1">
        <f t="array" ref="E36">_xlfn.TEXTJOIN(" / ",TRUE,_xlfn.XLOOKUP(B36&amp;"|ATTR-27",'Product Variant Attribute'!$A$2:$A$2000&amp;"|"&amp;'Product Variant Attribute'!$D$2:$D$2000,'Product Variant Attribute'!$F$2:$F$2000,""),_xlfn.XLOOKUP(B36&amp;"|ATTR-24",'Product Variant Attribute'!$A$2:$A$2000&amp;"|"&amp;'Product Variant Attribute'!$D$2:$D$2000,'Product Variant Attribute'!$F$2:$F$2000,""))</f>
        <v/>
      </c>
      <c r="F36" s="11" t="s">
        <v>817</v>
      </c>
      <c r="G36" s="11" t="s">
        <v>841</v>
      </c>
      <c r="H36" s="13">
        <f t="shared" si="0"/>
        <v>1</v>
      </c>
      <c r="I36" s="16" t="str">
        <f>_xlfn.XLOOKUP(C36,Product!$A:$A,Product!$G:$G,"NOT FOUND")</f>
        <v>miếng</v>
      </c>
      <c r="J36" s="20">
        <v>85000</v>
      </c>
      <c r="K36" s="15" t="s">
        <v>1323</v>
      </c>
      <c r="L36" s="21">
        <v>383</v>
      </c>
      <c r="M36" s="10" t="s">
        <v>865</v>
      </c>
      <c r="N36" s="12">
        <v>230</v>
      </c>
      <c r="O36" t="str">
        <f t="shared" si="1"/>
        <v>INSERT INTO public.medical_supply_sellable_unit (code, price, quantity, sale_uom, product_variant_code) VALUES ('PRODUCT-00260-001-01', 85000, 1, 'Túi', 'PRODUCT-00260-001');</v>
      </c>
    </row>
    <row r="37" spans="1:15" x14ac:dyDescent="0.25">
      <c r="A37" s="10" t="str">
        <f>B37&amp;"-"&amp;TEXT(COUNTIF(B$2:B37,B37),"00")</f>
        <v>PRODUCT-00261-001-01</v>
      </c>
      <c r="B37" s="11" t="s">
        <v>1670</v>
      </c>
      <c r="C37" s="10" t="str">
        <f>_xlfn.XLOOKUP(B37,'Product Variant'!$A:$A,'Product Variant'!$B:$B,"NOT FOUND")</f>
        <v>PRODUCT-00261</v>
      </c>
      <c r="D37" s="10" t="str">
        <f>_xlfn.XLOOKUP(B37,'Product Variant'!$A:$A,'Product Variant'!$C:$C,"NOT FOUND")</f>
        <v>[Urgo] Gạc lưới chống dính - UrgoTul (5cmx5cm)</v>
      </c>
      <c r="E37" s="10" t="str" cm="1">
        <f t="array" ref="E37">_xlfn.TEXTJOIN(" / ",TRUE,_xlfn.XLOOKUP(B37&amp;"|ATTR-27",'Product Variant Attribute'!$A$2:$A$2000&amp;"|"&amp;'Product Variant Attribute'!$D$2:$D$2000,'Product Variant Attribute'!$F$2:$F$2000,""),_xlfn.XLOOKUP(B37&amp;"|ATTR-24",'Product Variant Attribute'!$A$2:$A$2000&amp;"|"&amp;'Product Variant Attribute'!$D$2:$D$2000,'Product Variant Attribute'!$F$2:$F$2000,""))</f>
        <v/>
      </c>
      <c r="F37" s="11" t="s">
        <v>817</v>
      </c>
      <c r="G37" s="11" t="s">
        <v>841</v>
      </c>
      <c r="H37" s="13">
        <f t="shared" si="0"/>
        <v>1</v>
      </c>
      <c r="I37" s="16" t="str">
        <f>_xlfn.XLOOKUP(C37,Product!$A:$A,Product!$G:$G,"NOT FOUND")</f>
        <v>miếng</v>
      </c>
      <c r="J37" s="20">
        <v>23000</v>
      </c>
      <c r="K37" s="15" t="s">
        <v>1323</v>
      </c>
      <c r="L37" s="21">
        <v>384</v>
      </c>
      <c r="M37" s="10" t="s">
        <v>866</v>
      </c>
      <c r="N37" s="12">
        <v>231</v>
      </c>
      <c r="O37" t="str">
        <f t="shared" si="1"/>
        <v>INSERT INTO public.medical_supply_sellable_unit (code, price, quantity, sale_uom, product_variant_code) VALUES ('PRODUCT-00261-001-01', 23000, 1, 'Túi', 'PRODUCT-00261-001');</v>
      </c>
    </row>
    <row r="38" spans="1:15" x14ac:dyDescent="0.25">
      <c r="A38" s="10" t="str">
        <f>B38&amp;"-"&amp;TEXT(COUNTIF(B$2:B38,B38),"00")</f>
        <v>PRODUCT-00024-001-01</v>
      </c>
      <c r="B38" s="11" t="s">
        <v>1671</v>
      </c>
      <c r="C38" s="10" t="str">
        <f>_xlfn.XLOOKUP(B38,'Product Variant'!$A:$A,'Product Variant'!$B:$B,"NOT FOUND")</f>
        <v>PRODUCT-00024</v>
      </c>
      <c r="D38" s="10" t="str">
        <f>_xlfn.XLOOKUP(B38,'Product Variant'!$A:$A,'Product Variant'!$C:$C,"NOT FOUND")</f>
        <v>[Urgo] Gạc lưới tẩm bạc chống dính - UrgoTul Ag/Silver (10cmx12cm)</v>
      </c>
      <c r="E38" s="10" t="str" cm="1">
        <f t="array" ref="E38">_xlfn.TEXTJOIN(" / ",TRUE,_xlfn.XLOOKUP(B38&amp;"|ATTR-27",'Product Variant Attribute'!$A$2:$A$2000&amp;"|"&amp;'Product Variant Attribute'!$D$2:$D$2000,'Product Variant Attribute'!$F$2:$F$2000,""),_xlfn.XLOOKUP(B38&amp;"|ATTR-24",'Product Variant Attribute'!$A$2:$A$2000&amp;"|"&amp;'Product Variant Attribute'!$D$2:$D$2000,'Product Variant Attribute'!$F$2:$F$2000,""))</f>
        <v/>
      </c>
      <c r="F38" s="11" t="s">
        <v>817</v>
      </c>
      <c r="G38" s="11" t="s">
        <v>841</v>
      </c>
      <c r="H38" s="13">
        <f t="shared" si="0"/>
        <v>1</v>
      </c>
      <c r="I38" s="16" t="str">
        <f>_xlfn.XLOOKUP(C38,Product!$A:$A,Product!$G:$G,"NOT FOUND")</f>
        <v>miếng</v>
      </c>
      <c r="J38" s="20">
        <v>85000</v>
      </c>
      <c r="K38" s="15" t="s">
        <v>1323</v>
      </c>
      <c r="L38" s="21">
        <v>382</v>
      </c>
      <c r="M38" s="10" t="s">
        <v>867</v>
      </c>
      <c r="N38" s="12">
        <v>226</v>
      </c>
      <c r="O38" t="str">
        <f t="shared" si="1"/>
        <v>INSERT INTO public.medical_supply_sellable_unit (code, price, quantity, sale_uom, product_variant_code) VALUES ('PRODUCT-00024-001-01', 85000, 1, 'Túi', 'PRODUCT-00024-001');</v>
      </c>
    </row>
    <row r="39" spans="1:15" x14ac:dyDescent="0.25">
      <c r="A39" s="10" t="str">
        <f>B39&amp;"-"&amp;TEXT(COUNTIF(B$2:B39,B39),"00")</f>
        <v>PRODUCT-00262-001-01</v>
      </c>
      <c r="B39" s="11" t="s">
        <v>1672</v>
      </c>
      <c r="C39" s="10" t="str">
        <f>_xlfn.XLOOKUP(B39,'Product Variant'!$A:$A,'Product Variant'!$B:$B,"NOT FOUND")</f>
        <v>PRODUCT-00262</v>
      </c>
      <c r="D39" s="10" t="str">
        <f>_xlfn.XLOOKUP(B39,'Product Variant'!$A:$A,'Product Variant'!$C:$C,"NOT FOUND")</f>
        <v>[Urgo] Gạc lưới tẩm bạc chống dính - UrgoTul Ag/Silver (15cmx20cm)</v>
      </c>
      <c r="E39" s="10" t="str" cm="1">
        <f t="array" ref="E39">_xlfn.TEXTJOIN(" / ",TRUE,_xlfn.XLOOKUP(B39&amp;"|ATTR-27",'Product Variant Attribute'!$A$2:$A$2000&amp;"|"&amp;'Product Variant Attribute'!$D$2:$D$2000,'Product Variant Attribute'!$F$2:$F$2000,""),_xlfn.XLOOKUP(B39&amp;"|ATTR-24",'Product Variant Attribute'!$A$2:$A$2000&amp;"|"&amp;'Product Variant Attribute'!$D$2:$D$2000,'Product Variant Attribute'!$F$2:$F$2000,""))</f>
        <v/>
      </c>
      <c r="F39" s="11" t="s">
        <v>817</v>
      </c>
      <c r="G39" s="11" t="s">
        <v>841</v>
      </c>
      <c r="H39" s="13">
        <f t="shared" si="0"/>
        <v>1</v>
      </c>
      <c r="I39" s="16" t="str">
        <f>_xlfn.XLOOKUP(C39,Product!$A:$A,Product!$G:$G,"NOT FOUND")</f>
        <v>miếng</v>
      </c>
      <c r="J39" s="20">
        <v>130000</v>
      </c>
      <c r="K39" s="15" t="s">
        <v>1323</v>
      </c>
      <c r="L39" s="21">
        <v>380</v>
      </c>
      <c r="M39" s="10" t="s">
        <v>868</v>
      </c>
      <c r="N39" s="12">
        <v>228</v>
      </c>
      <c r="O39" t="str">
        <f t="shared" si="1"/>
        <v>INSERT INTO public.medical_supply_sellable_unit (code, price, quantity, sale_uom, product_variant_code) VALUES ('PRODUCT-00262-001-01', 130000, 1, 'Túi', 'PRODUCT-00262-001');</v>
      </c>
    </row>
    <row r="40" spans="1:15" x14ac:dyDescent="0.25">
      <c r="A40" s="10" t="str">
        <f>B40&amp;"-"&amp;TEXT(COUNTIF(B$2:B40,B40),"00")</f>
        <v>PRODUCT-00263-001-01</v>
      </c>
      <c r="B40" s="11" t="s">
        <v>1673</v>
      </c>
      <c r="C40" s="10" t="str">
        <f>_xlfn.XLOOKUP(B40,'Product Variant'!$A:$A,'Product Variant'!$B:$B,"NOT FOUND")</f>
        <v>PRODUCT-00263</v>
      </c>
      <c r="D40" s="10" t="str">
        <f>_xlfn.XLOOKUP(B40,'Product Variant'!$A:$A,'Product Variant'!$C:$C,"NOT FOUND")</f>
        <v>[Urgo] Gạc lưới tẩm bạc chống dính - UrgoTul Ag/Silver (5cmx5cm)</v>
      </c>
      <c r="E40" s="10" t="str" cm="1">
        <f t="array" ref="E40">_xlfn.TEXTJOIN(" / ",TRUE,_xlfn.XLOOKUP(B40&amp;"|ATTR-27",'Product Variant Attribute'!$A$2:$A$2000&amp;"|"&amp;'Product Variant Attribute'!$D$2:$D$2000,'Product Variant Attribute'!$F$2:$F$2000,""),_xlfn.XLOOKUP(B40&amp;"|ATTR-24",'Product Variant Attribute'!$A$2:$A$2000&amp;"|"&amp;'Product Variant Attribute'!$D$2:$D$2000,'Product Variant Attribute'!$F$2:$F$2000,""))</f>
        <v/>
      </c>
      <c r="F40" s="11" t="s">
        <v>817</v>
      </c>
      <c r="G40" s="11" t="s">
        <v>841</v>
      </c>
      <c r="H40" s="13">
        <f t="shared" si="0"/>
        <v>1</v>
      </c>
      <c r="I40" s="16" t="str">
        <f>_xlfn.XLOOKUP(C40,Product!$A:$A,Product!$G:$G,"NOT FOUND")</f>
        <v>miếng</v>
      </c>
      <c r="J40" s="20">
        <v>30000</v>
      </c>
      <c r="K40" s="15" t="s">
        <v>1323</v>
      </c>
      <c r="L40" s="21">
        <v>381</v>
      </c>
      <c r="M40" s="10" t="s">
        <v>869</v>
      </c>
      <c r="N40" s="12">
        <v>229</v>
      </c>
      <c r="O40" t="str">
        <f t="shared" si="1"/>
        <v>INSERT INTO public.medical_supply_sellable_unit (code, price, quantity, sale_uom, product_variant_code) VALUES ('PRODUCT-00263-001-01', 30000, 1, 'Túi', 'PRODUCT-00263-001');</v>
      </c>
    </row>
    <row r="41" spans="1:15" x14ac:dyDescent="0.25">
      <c r="A41" s="10" t="str">
        <f>B41&amp;"-"&amp;TEXT(COUNTIF(B$2:B41,B41),"00")</f>
        <v>PRODUCT-00025-001-01</v>
      </c>
      <c r="B41" s="11" t="s">
        <v>1674</v>
      </c>
      <c r="C41" s="10" t="str">
        <f>_xlfn.XLOOKUP(B41,'Product Variant'!$A:$A,'Product Variant'!$B:$B,"NOT FOUND")</f>
        <v>PRODUCT-00025</v>
      </c>
      <c r="D41" s="10" t="str">
        <f>_xlfn.XLOOKUP(B41,'Product Variant'!$A:$A,'Product Variant'!$C:$C,"NOT FOUND")</f>
        <v>[VH Pharma] Gel trị vết thương hở - Healit (5g)</v>
      </c>
      <c r="E41" s="10" t="str" cm="1">
        <f t="array" ref="E41">_xlfn.TEXTJOIN(" / ",TRUE,_xlfn.XLOOKUP(B41&amp;"|ATTR-27",'Product Variant Attribute'!$A$2:$A$2000&amp;"|"&amp;'Product Variant Attribute'!$D$2:$D$2000,'Product Variant Attribute'!$F$2:$F$2000,""),_xlfn.XLOOKUP(B41&amp;"|ATTR-24",'Product Variant Attribute'!$A$2:$A$2000&amp;"|"&amp;'Product Variant Attribute'!$D$2:$D$2000,'Product Variant Attribute'!$F$2:$F$2000,""))</f>
        <v/>
      </c>
      <c r="F41" s="11" t="s">
        <v>816</v>
      </c>
      <c r="G41" s="11" t="s">
        <v>870</v>
      </c>
      <c r="H41" s="13">
        <f t="shared" si="0"/>
        <v>1</v>
      </c>
      <c r="I41" s="16" t="str">
        <f>_xlfn.XLOOKUP(C41,Product!$A:$A,Product!$G:$G,"NOT FOUND")</f>
        <v>tuýp</v>
      </c>
      <c r="J41" s="20">
        <v>309000</v>
      </c>
      <c r="K41" s="15" t="s">
        <v>1323</v>
      </c>
      <c r="L41" s="21">
        <v>250</v>
      </c>
      <c r="M41" s="10" t="s">
        <v>871</v>
      </c>
      <c r="N41" s="12">
        <v>265</v>
      </c>
      <c r="O41" t="str">
        <f t="shared" si="1"/>
        <v>INSERT INTO public.medical_supply_sellable_unit (code, price, quantity, sale_uom, product_variant_code) VALUES ('PRODUCT-00025-001-01', 309000, 1, 'Hộp', 'PRODUCT-00025-001');</v>
      </c>
    </row>
    <row r="42" spans="1:15" x14ac:dyDescent="0.25">
      <c r="A42" s="10" t="str">
        <f>B42&amp;"-"&amp;TEXT(COUNTIF(B$2:B42,B42),"00")</f>
        <v>PRODUCT-00026-001-01</v>
      </c>
      <c r="B42" s="11" t="s">
        <v>1675</v>
      </c>
      <c r="C42" s="10" t="str">
        <f>_xlfn.XLOOKUP(B42,'Product Variant'!$A:$A,'Product Variant'!$B:$B,"NOT FOUND")</f>
        <v>PRODUCT-00026</v>
      </c>
      <c r="D42" s="10" t="str">
        <f>_xlfn.XLOOKUP(B42,'Product Variant'!$A:$A,'Product Variant'!$C:$C,"NOT FOUND")</f>
        <v>[Wonbiogen] Băng dán vết thương Hydrocolloid - Renoderm (10cmx10cm)</v>
      </c>
      <c r="E42" s="10" t="str" cm="1">
        <f t="array" ref="E42">_xlfn.TEXTJOIN(" / ",TRUE,_xlfn.XLOOKUP(B42&amp;"|ATTR-27",'Product Variant Attribute'!$A$2:$A$2000&amp;"|"&amp;'Product Variant Attribute'!$D$2:$D$2000,'Product Variant Attribute'!$F$2:$F$2000,""),_xlfn.XLOOKUP(B42&amp;"|ATTR-24",'Product Variant Attribute'!$A$2:$A$2000&amp;"|"&amp;'Product Variant Attribute'!$D$2:$D$2000,'Product Variant Attribute'!$F$2:$F$2000,""))</f>
        <v/>
      </c>
      <c r="F42" s="11" t="s">
        <v>817</v>
      </c>
      <c r="G42" s="11" t="s">
        <v>841</v>
      </c>
      <c r="H42" s="13">
        <f t="shared" si="0"/>
        <v>1</v>
      </c>
      <c r="I42" s="16" t="str">
        <f>_xlfn.XLOOKUP(C42,Product!$A:$A,Product!$G:$G,"NOT FOUND")</f>
        <v>miếng</v>
      </c>
      <c r="J42" s="20">
        <v>50000</v>
      </c>
      <c r="K42" s="15" t="s">
        <v>1323</v>
      </c>
      <c r="L42" s="21">
        <v>465</v>
      </c>
      <c r="M42" s="10" t="s">
        <v>872</v>
      </c>
      <c r="N42" s="12">
        <v>5</v>
      </c>
      <c r="O42" t="str">
        <f t="shared" si="1"/>
        <v>INSERT INTO public.medical_supply_sellable_unit (code, price, quantity, sale_uom, product_variant_code) VALUES ('PRODUCT-00026-001-01', 50000, 1, 'Túi', 'PRODUCT-00026-001');</v>
      </c>
    </row>
    <row r="43" spans="1:15" x14ac:dyDescent="0.25">
      <c r="A43" s="10" t="str">
        <f>B43&amp;"-"&amp;TEXT(COUNTIF(B$2:B43,B43),"00")</f>
        <v>PRODUCT-00027-001-01</v>
      </c>
      <c r="B43" s="11" t="s">
        <v>1676</v>
      </c>
      <c r="C43" s="10" t="str">
        <f>_xlfn.XLOOKUP(B43,'Product Variant'!$A:$A,'Product Variant'!$B:$B,"NOT FOUND")</f>
        <v>PRODUCT-00027</v>
      </c>
      <c r="D43" s="10" t="str">
        <f>_xlfn.XLOOKUP(B43,'Product Variant'!$A:$A,'Product Variant'!$C:$C,"NOT FOUND")</f>
        <v>[Wonbiogen] Băng gạc xốp không dính vết thương - Therasorb Algi Plus Adhesive (7.5cmx7.5cm)</v>
      </c>
      <c r="E43" s="10" t="str" cm="1">
        <f t="array" ref="E43">_xlfn.TEXTJOIN(" / ",TRUE,_xlfn.XLOOKUP(B43&amp;"|ATTR-27",'Product Variant Attribute'!$A$2:$A$2000&amp;"|"&amp;'Product Variant Attribute'!$D$2:$D$2000,'Product Variant Attribute'!$F$2:$F$2000,""),_xlfn.XLOOKUP(B43&amp;"|ATTR-24",'Product Variant Attribute'!$A$2:$A$2000&amp;"|"&amp;'Product Variant Attribute'!$D$2:$D$2000,'Product Variant Attribute'!$F$2:$F$2000,""))</f>
        <v/>
      </c>
      <c r="F43" s="11" t="s">
        <v>817</v>
      </c>
      <c r="G43" s="11" t="s">
        <v>841</v>
      </c>
      <c r="H43" s="13">
        <f t="shared" si="0"/>
        <v>1</v>
      </c>
      <c r="I43" s="16" t="str">
        <f>_xlfn.XLOOKUP(C43,Product!$A:$A,Product!$G:$G,"NOT FOUND")</f>
        <v>miếng</v>
      </c>
      <c r="J43" s="20">
        <v>68000</v>
      </c>
      <c r="K43" s="15" t="s">
        <v>1323</v>
      </c>
      <c r="L43" s="21">
        <v>333</v>
      </c>
      <c r="M43" s="10" t="s">
        <v>873</v>
      </c>
      <c r="N43" s="12">
        <v>42</v>
      </c>
      <c r="O43" t="str">
        <f t="shared" si="1"/>
        <v>INSERT INTO public.medical_supply_sellable_unit (code, price, quantity, sale_uom, product_variant_code) VALUES ('PRODUCT-00027-001-01', 68000, 1, 'Túi', 'PRODUCT-00027-001');</v>
      </c>
    </row>
    <row r="44" spans="1:15" x14ac:dyDescent="0.25">
      <c r="A44" s="10" t="str">
        <f>B44&amp;"-"&amp;TEXT(COUNTIF(B$2:B44,B44),"00")</f>
        <v>PRODUCT-00264-001-01</v>
      </c>
      <c r="B44" s="11" t="s">
        <v>1677</v>
      </c>
      <c r="C44" s="10" t="str">
        <f>_xlfn.XLOOKUP(B44,'Product Variant'!$A:$A,'Product Variant'!$B:$B,"NOT FOUND")</f>
        <v>PRODUCT-00264</v>
      </c>
      <c r="D44" s="10" t="str">
        <f>_xlfn.XLOOKUP(B44,'Product Variant'!$A:$A,'Product Variant'!$C:$C,"NOT FOUND")</f>
        <v>[Wonbiogen] Băng gạc xốp không dính vết thương - Therasorb Algi Plus Adhesive (9cmx15cm)</v>
      </c>
      <c r="E44" s="10" t="str" cm="1">
        <f t="array" ref="E44">_xlfn.TEXTJOIN(" / ",TRUE,_xlfn.XLOOKUP(B44&amp;"|ATTR-27",'Product Variant Attribute'!$A$2:$A$2000&amp;"|"&amp;'Product Variant Attribute'!$D$2:$D$2000,'Product Variant Attribute'!$F$2:$F$2000,""),_xlfn.XLOOKUP(B44&amp;"|ATTR-24",'Product Variant Attribute'!$A$2:$A$2000&amp;"|"&amp;'Product Variant Attribute'!$D$2:$D$2000,'Product Variant Attribute'!$F$2:$F$2000,""))</f>
        <v/>
      </c>
      <c r="F44" s="11" t="s">
        <v>817</v>
      </c>
      <c r="G44" s="11" t="s">
        <v>841</v>
      </c>
      <c r="H44" s="13">
        <f t="shared" si="0"/>
        <v>1</v>
      </c>
      <c r="I44" s="16" t="str">
        <f>_xlfn.XLOOKUP(C44,Product!$A:$A,Product!$G:$G,"NOT FOUND")</f>
        <v>miếng</v>
      </c>
      <c r="J44" s="20">
        <v>86000</v>
      </c>
      <c r="K44" s="15" t="s">
        <v>1323</v>
      </c>
      <c r="L44" s="21">
        <v>363</v>
      </c>
      <c r="M44" s="10" t="s">
        <v>874</v>
      </c>
      <c r="N44" s="12">
        <v>43</v>
      </c>
      <c r="O44" t="str">
        <f t="shared" si="1"/>
        <v>INSERT INTO public.medical_supply_sellable_unit (code, price, quantity, sale_uom, product_variant_code) VALUES ('PRODUCT-00264-001-01', 86000, 1, 'Túi', 'PRODUCT-00264-001');</v>
      </c>
    </row>
    <row r="45" spans="1:15" x14ac:dyDescent="0.25">
      <c r="A45" s="10" t="str">
        <f>B45&amp;"-"&amp;TEXT(COUNTIF(B$2:B45,B45),"00")</f>
        <v>PRODUCT-00265-001-01</v>
      </c>
      <c r="B45" s="11" t="s">
        <v>1678</v>
      </c>
      <c r="C45" s="10" t="str">
        <f>_xlfn.XLOOKUP(B45,'Product Variant'!$A:$A,'Product Variant'!$B:$B,"NOT FOUND")</f>
        <v>PRODUCT-00265</v>
      </c>
      <c r="D45" s="10" t="str">
        <f>_xlfn.XLOOKUP(B45,'Product Variant'!$A:$A,'Product Variant'!$C:$C,"NOT FOUND")</f>
        <v>[Wonbiogen] Băng gạc xốp không dính vết thương - Therasorb Algi Plus Adhesive (9cmx20cm)</v>
      </c>
      <c r="E45" s="10" t="str" cm="1">
        <f t="array" ref="E45">_xlfn.TEXTJOIN(" / ",TRUE,_xlfn.XLOOKUP(B45&amp;"|ATTR-27",'Product Variant Attribute'!$A$2:$A$2000&amp;"|"&amp;'Product Variant Attribute'!$D$2:$D$2000,'Product Variant Attribute'!$F$2:$F$2000,""),_xlfn.XLOOKUP(B45&amp;"|ATTR-24",'Product Variant Attribute'!$A$2:$A$2000&amp;"|"&amp;'Product Variant Attribute'!$D$2:$D$2000,'Product Variant Attribute'!$F$2:$F$2000,""))</f>
        <v/>
      </c>
      <c r="F45" s="11" t="s">
        <v>817</v>
      </c>
      <c r="G45" s="11" t="s">
        <v>841</v>
      </c>
      <c r="H45" s="13">
        <f t="shared" si="0"/>
        <v>1</v>
      </c>
      <c r="I45" s="16" t="str">
        <f>_xlfn.XLOOKUP(C45,Product!$A:$A,Product!$G:$G,"NOT FOUND")</f>
        <v>miếng</v>
      </c>
      <c r="J45" s="20">
        <v>102000</v>
      </c>
      <c r="K45" s="15" t="s">
        <v>1323</v>
      </c>
      <c r="L45" s="21">
        <v>358</v>
      </c>
      <c r="M45" s="10" t="s">
        <v>875</v>
      </c>
      <c r="N45" s="12">
        <v>44</v>
      </c>
      <c r="O45" t="str">
        <f t="shared" si="1"/>
        <v>INSERT INTO public.medical_supply_sellable_unit (code, price, quantity, sale_uom, product_variant_code) VALUES ('PRODUCT-00265-001-01', 102000, 1, 'Túi', 'PRODUCT-00265-001');</v>
      </c>
    </row>
    <row r="46" spans="1:15" x14ac:dyDescent="0.25">
      <c r="A46" s="10" t="str">
        <f>B46&amp;"-"&amp;TEXT(COUNTIF(B$2:B46,B46),"00")</f>
        <v>PRODUCT-00028-001-01</v>
      </c>
      <c r="B46" s="11" t="s">
        <v>1679</v>
      </c>
      <c r="C46" s="10" t="str">
        <f>_xlfn.XLOOKUP(B46,'Product Variant'!$A:$A,'Product Variant'!$B:$B,"NOT FOUND")</f>
        <v>PRODUCT-00028</v>
      </c>
      <c r="D46" s="10" t="str">
        <f>_xlfn.XLOOKUP(B46,'Product Variant'!$A:$A,'Product Variant'!$C:$C,"NOT FOUND")</f>
        <v>[Wonbiogen] Gạc xốp siêu thấm hút dịch tiết vết thương - Therasorb Algi Plus Hydrophilic (10cmx10cmx0.5cm)</v>
      </c>
      <c r="E46" s="10" t="str" cm="1">
        <f t="array" ref="E46">_xlfn.TEXTJOIN(" / ",TRUE,_xlfn.XLOOKUP(B46&amp;"|ATTR-27",'Product Variant Attribute'!$A$2:$A$2000&amp;"|"&amp;'Product Variant Attribute'!$D$2:$D$2000,'Product Variant Attribute'!$F$2:$F$2000,""),_xlfn.XLOOKUP(B46&amp;"|ATTR-24",'Product Variant Attribute'!$A$2:$A$2000&amp;"|"&amp;'Product Variant Attribute'!$D$2:$D$2000,'Product Variant Attribute'!$F$2:$F$2000,""))</f>
        <v/>
      </c>
      <c r="F46" s="11" t="s">
        <v>816</v>
      </c>
      <c r="G46" s="11" t="s">
        <v>876</v>
      </c>
      <c r="H46" s="13">
        <f t="shared" si="0"/>
        <v>10</v>
      </c>
      <c r="I46" s="16" t="str">
        <f>_xlfn.XLOOKUP(C46,Product!$A:$A,Product!$G:$G,"NOT FOUND")</f>
        <v>miếng</v>
      </c>
      <c r="J46" s="20">
        <v>1150000</v>
      </c>
      <c r="K46" s="15" t="s">
        <v>1327</v>
      </c>
      <c r="L46" s="21">
        <v>84</v>
      </c>
      <c r="M46" s="10" t="s">
        <v>877</v>
      </c>
      <c r="N46" s="12">
        <v>237</v>
      </c>
      <c r="O46" t="str">
        <f t="shared" si="1"/>
        <v>INSERT INTO public.medical_supply_sellable_unit (code, price, quantity, sale_uom, product_variant_code) VALUES ('PRODUCT-00028-001-01', 1150000, 10, 'Hộp', 'PRODUCT-00028-001');</v>
      </c>
    </row>
    <row r="47" spans="1:15" x14ac:dyDescent="0.25">
      <c r="A47" s="10" t="str">
        <f>B47&amp;"-"&amp;TEXT(COUNTIF(B$2:B47,B47),"00")</f>
        <v>PRODUCT-00028-001-02</v>
      </c>
      <c r="B47" s="11" t="s">
        <v>1679</v>
      </c>
      <c r="C47" s="10" t="str">
        <f>_xlfn.XLOOKUP(B47,'Product Variant'!$A:$A,'Product Variant'!$B:$B,"NOT FOUND")</f>
        <v>PRODUCT-00028</v>
      </c>
      <c r="D47" s="10" t="str">
        <f>_xlfn.XLOOKUP(B47,'Product Variant'!$A:$A,'Product Variant'!$C:$C,"NOT FOUND")</f>
        <v>[Wonbiogen] Gạc xốp siêu thấm hút dịch tiết vết thương - Therasorb Algi Plus Hydrophilic (10cmx10cmx0.5cm)</v>
      </c>
      <c r="E47" s="10" t="str" cm="1">
        <f t="array" ref="E47">_xlfn.TEXTJOIN(" / ",TRUE,_xlfn.XLOOKUP(B47&amp;"|ATTR-27",'Product Variant Attribute'!$A$2:$A$2000&amp;"|"&amp;'Product Variant Attribute'!$D$2:$D$2000,'Product Variant Attribute'!$F$2:$F$2000,""),_xlfn.XLOOKUP(B47&amp;"|ATTR-24",'Product Variant Attribute'!$A$2:$A$2000&amp;"|"&amp;'Product Variant Attribute'!$D$2:$D$2000,'Product Variant Attribute'!$F$2:$F$2000,""))</f>
        <v/>
      </c>
      <c r="F47" s="11" t="s">
        <v>817</v>
      </c>
      <c r="G47" s="11" t="s">
        <v>841</v>
      </c>
      <c r="H47" s="13">
        <f t="shared" si="0"/>
        <v>1</v>
      </c>
      <c r="I47" s="16" t="str">
        <f>_xlfn.XLOOKUP(C47,Product!$A:$A,Product!$G:$G,"NOT FOUND")</f>
        <v>miếng</v>
      </c>
      <c r="J47" s="20">
        <v>115000</v>
      </c>
      <c r="K47" s="15" t="s">
        <v>1327</v>
      </c>
      <c r="L47" s="21">
        <v>466</v>
      </c>
      <c r="M47" s="10" t="s">
        <v>882</v>
      </c>
      <c r="N47" s="12">
        <v>245</v>
      </c>
      <c r="O47" t="str">
        <f t="shared" si="1"/>
        <v>INSERT INTO public.medical_supply_sellable_unit (code, price, quantity, sale_uom, product_variant_code) VALUES ('PRODUCT-00028-001-02', 115000, 1, 'Túi', 'PRODUCT-00028-001');</v>
      </c>
    </row>
    <row r="48" spans="1:15" x14ac:dyDescent="0.25">
      <c r="A48" s="10" t="str">
        <f>B48&amp;"-"&amp;TEXT(COUNTIF(B$2:B48,B48),"00")</f>
        <v>PRODUCT-00266-001-01</v>
      </c>
      <c r="B48" s="11" t="s">
        <v>1680</v>
      </c>
      <c r="C48" s="10" t="str">
        <f>_xlfn.XLOOKUP(B48,'Product Variant'!$A:$A,'Product Variant'!$B:$B,"NOT FOUND")</f>
        <v>PRODUCT-00266</v>
      </c>
      <c r="D48" s="10" t="str">
        <f>_xlfn.XLOOKUP(B48,'Product Variant'!$A:$A,'Product Variant'!$C:$C,"NOT FOUND")</f>
        <v>[Wonbiogen] Gạc xốp siêu thấm hút dịch tiết vết thương - Therasorb Algi Plus Hydrophilic (20cmx20cmx0.5cm)</v>
      </c>
      <c r="E48" s="10" t="str" cm="1">
        <f t="array" ref="E48">_xlfn.TEXTJOIN(" / ",TRUE,_xlfn.XLOOKUP(B48&amp;"|ATTR-27",'Product Variant Attribute'!$A$2:$A$2000&amp;"|"&amp;'Product Variant Attribute'!$D$2:$D$2000,'Product Variant Attribute'!$F$2:$F$2000,""),_xlfn.XLOOKUP(B48&amp;"|ATTR-24",'Product Variant Attribute'!$A$2:$A$2000&amp;"|"&amp;'Product Variant Attribute'!$D$2:$D$2000,'Product Variant Attribute'!$F$2:$F$2000,""))</f>
        <v/>
      </c>
      <c r="F48" s="11" t="s">
        <v>816</v>
      </c>
      <c r="G48" s="11" t="s">
        <v>876</v>
      </c>
      <c r="H48" s="13">
        <f t="shared" si="0"/>
        <v>10</v>
      </c>
      <c r="I48" s="16" t="str">
        <f>_xlfn.XLOOKUP(C48,Product!$A:$A,Product!$G:$G,"NOT FOUND")</f>
        <v>miếng</v>
      </c>
      <c r="J48" s="20">
        <v>3900000</v>
      </c>
      <c r="K48" s="15" t="s">
        <v>1327</v>
      </c>
      <c r="L48" s="21">
        <v>85</v>
      </c>
      <c r="M48" s="10" t="s">
        <v>877</v>
      </c>
      <c r="N48" s="12">
        <v>238</v>
      </c>
      <c r="O48" t="str">
        <f t="shared" si="1"/>
        <v>INSERT INTO public.medical_supply_sellable_unit (code, price, quantity, sale_uom, product_variant_code) VALUES ('PRODUCT-00266-001-01', 3900000, 10, 'Hộp', 'PRODUCT-00266-001');</v>
      </c>
    </row>
    <row r="49" spans="1:15" x14ac:dyDescent="0.25">
      <c r="A49" s="10" t="str">
        <f>B49&amp;"-"&amp;TEXT(COUNTIF(B$2:B49,B49),"00")</f>
        <v>PRODUCT-00266-001-02</v>
      </c>
      <c r="B49" s="11" t="s">
        <v>1680</v>
      </c>
      <c r="C49" s="10" t="str">
        <f>_xlfn.XLOOKUP(B49,'Product Variant'!$A:$A,'Product Variant'!$B:$B,"NOT FOUND")</f>
        <v>PRODUCT-00266</v>
      </c>
      <c r="D49" s="10" t="str">
        <f>_xlfn.XLOOKUP(B49,'Product Variant'!$A:$A,'Product Variant'!$C:$C,"NOT FOUND")</f>
        <v>[Wonbiogen] Gạc xốp siêu thấm hút dịch tiết vết thương - Therasorb Algi Plus Hydrophilic (20cmx20cmx0.5cm)</v>
      </c>
      <c r="E49" s="10" t="str" cm="1">
        <f t="array" ref="E49">_xlfn.TEXTJOIN(" / ",TRUE,_xlfn.XLOOKUP(B49&amp;"|ATTR-27",'Product Variant Attribute'!$A$2:$A$2000&amp;"|"&amp;'Product Variant Attribute'!$D$2:$D$2000,'Product Variant Attribute'!$F$2:$F$2000,""),_xlfn.XLOOKUP(B49&amp;"|ATTR-24",'Product Variant Attribute'!$A$2:$A$2000&amp;"|"&amp;'Product Variant Attribute'!$D$2:$D$2000,'Product Variant Attribute'!$F$2:$F$2000,""))</f>
        <v/>
      </c>
      <c r="F49" s="11" t="s">
        <v>817</v>
      </c>
      <c r="G49" s="11" t="s">
        <v>841</v>
      </c>
      <c r="H49" s="13">
        <f t="shared" si="0"/>
        <v>1</v>
      </c>
      <c r="I49" s="16" t="str">
        <f>_xlfn.XLOOKUP(C49,Product!$A:$A,Product!$G:$G,"NOT FOUND")</f>
        <v>miếng</v>
      </c>
      <c r="J49" s="20">
        <v>390000</v>
      </c>
      <c r="K49" s="15" t="s">
        <v>1327</v>
      </c>
      <c r="L49" s="21">
        <v>467</v>
      </c>
      <c r="M49" s="10" t="s">
        <v>882</v>
      </c>
      <c r="N49" s="12">
        <v>246</v>
      </c>
      <c r="O49" t="str">
        <f t="shared" si="1"/>
        <v>INSERT INTO public.medical_supply_sellable_unit (code, price, quantity, sale_uom, product_variant_code) VALUES ('PRODUCT-00266-001-02', 390000, 1, 'Túi', 'PRODUCT-00266-001');</v>
      </c>
    </row>
    <row r="50" spans="1:15" x14ac:dyDescent="0.25">
      <c r="A50" s="10" t="str">
        <f>B50&amp;"-"&amp;TEXT(COUNTIF(B$2:B50,B50),"00")</f>
        <v>PRODUCT-00267-001-01</v>
      </c>
      <c r="B50" s="11" t="s">
        <v>1681</v>
      </c>
      <c r="C50" s="10" t="str">
        <f>_xlfn.XLOOKUP(B50,'Product Variant'!$A:$A,'Product Variant'!$B:$B,"NOT FOUND")</f>
        <v>PRODUCT-00267</v>
      </c>
      <c r="D50" s="10" t="str">
        <f>_xlfn.XLOOKUP(B50,'Product Variant'!$A:$A,'Product Variant'!$C:$C,"NOT FOUND")</f>
        <v>[Wonbiogen] Gạc xốp siêu thấm hút dịch tiết vết thương - Therasorb Algi Plus Hydrophilic (35cmx50cmx0.5cm)</v>
      </c>
      <c r="E50" s="10" t="str" cm="1">
        <f t="array" ref="E50">_xlfn.TEXTJOIN(" / ",TRUE,_xlfn.XLOOKUP(B50&amp;"|ATTR-27",'Product Variant Attribute'!$A$2:$A$2000&amp;"|"&amp;'Product Variant Attribute'!$D$2:$D$2000,'Product Variant Attribute'!$F$2:$F$2000,""),_xlfn.XLOOKUP(B50&amp;"|ATTR-24",'Product Variant Attribute'!$A$2:$A$2000&amp;"|"&amp;'Product Variant Attribute'!$D$2:$D$2000,'Product Variant Attribute'!$F$2:$F$2000,""))</f>
        <v/>
      </c>
      <c r="F50" s="11" t="s">
        <v>816</v>
      </c>
      <c r="G50" s="11" t="s">
        <v>876</v>
      </c>
      <c r="H50" s="13">
        <f t="shared" si="0"/>
        <v>10</v>
      </c>
      <c r="I50" s="16" t="str">
        <f>_xlfn.XLOOKUP(C50,Product!$A:$A,Product!$G:$G,"NOT FOUND")</f>
        <v>miếng</v>
      </c>
      <c r="J50" s="20">
        <v>1150000</v>
      </c>
      <c r="K50" s="15" t="s">
        <v>1322</v>
      </c>
      <c r="L50" s="21">
        <v>86</v>
      </c>
      <c r="M50" s="10" t="s">
        <v>877</v>
      </c>
      <c r="N50" s="12">
        <v>239</v>
      </c>
      <c r="O50" t="str">
        <f t="shared" si="1"/>
        <v>INSERT INTO public.medical_supply_sellable_unit (code, price, quantity, sale_uom, product_variant_code) VALUES ('PRODUCT-00267-001-01', 1150000, 10, 'Hộp', 'PRODUCT-00267-001');</v>
      </c>
    </row>
    <row r="51" spans="1:15" x14ac:dyDescent="0.25">
      <c r="A51" s="10" t="str">
        <f>B51&amp;"-"&amp;TEXT(COUNTIF(B$2:B51,B51),"00")</f>
        <v>PRODUCT-00267-001-02</v>
      </c>
      <c r="B51" s="11" t="s">
        <v>1681</v>
      </c>
      <c r="C51" s="10" t="str">
        <f>_xlfn.XLOOKUP(B51,'Product Variant'!$A:$A,'Product Variant'!$B:$B,"NOT FOUND")</f>
        <v>PRODUCT-00267</v>
      </c>
      <c r="D51" s="10" t="str">
        <f>_xlfn.XLOOKUP(B51,'Product Variant'!$A:$A,'Product Variant'!$C:$C,"NOT FOUND")</f>
        <v>[Wonbiogen] Gạc xốp siêu thấm hút dịch tiết vết thương - Therasorb Algi Plus Hydrophilic (35cmx50cmx0.5cm)</v>
      </c>
      <c r="E51" s="10" t="str" cm="1">
        <f t="array" ref="E51">_xlfn.TEXTJOIN(" / ",TRUE,_xlfn.XLOOKUP(B51&amp;"|ATTR-27",'Product Variant Attribute'!$A$2:$A$2000&amp;"|"&amp;'Product Variant Attribute'!$D$2:$D$2000,'Product Variant Attribute'!$F$2:$F$2000,""),_xlfn.XLOOKUP(B51&amp;"|ATTR-24",'Product Variant Attribute'!$A$2:$A$2000&amp;"|"&amp;'Product Variant Attribute'!$D$2:$D$2000,'Product Variant Attribute'!$F$2:$F$2000,""))</f>
        <v/>
      </c>
      <c r="F51" s="11" t="s">
        <v>817</v>
      </c>
      <c r="G51" s="11" t="s">
        <v>841</v>
      </c>
      <c r="H51" s="13">
        <f t="shared" si="0"/>
        <v>1</v>
      </c>
      <c r="I51" s="16" t="str">
        <f>_xlfn.XLOOKUP(C51,Product!$A:$A,Product!$G:$G,"NOT FOUND")</f>
        <v>miếng</v>
      </c>
      <c r="J51" s="20">
        <v>1300000</v>
      </c>
      <c r="K51" s="15" t="s">
        <v>1327</v>
      </c>
      <c r="L51" s="21">
        <v>468</v>
      </c>
      <c r="M51" s="10" t="s">
        <v>882</v>
      </c>
      <c r="N51" s="12">
        <v>247</v>
      </c>
      <c r="O51" t="str">
        <f t="shared" si="1"/>
        <v>INSERT INTO public.medical_supply_sellable_unit (code, price, quantity, sale_uom, product_variant_code) VALUES ('PRODUCT-00267-001-02', 1300000, 1, 'Túi', 'PRODUCT-00267-001');</v>
      </c>
    </row>
    <row r="52" spans="1:15" x14ac:dyDescent="0.25">
      <c r="A52" s="10" t="str">
        <f>B52&amp;"-"&amp;TEXT(COUNTIF(B$2:B52,B52),"00")</f>
        <v>PRODUCT-00268-001-01</v>
      </c>
      <c r="B52" s="11" t="s">
        <v>1682</v>
      </c>
      <c r="C52" s="10" t="str">
        <f>_xlfn.XLOOKUP(B52,'Product Variant'!$A:$A,'Product Variant'!$B:$B,"NOT FOUND")</f>
        <v>PRODUCT-00268</v>
      </c>
      <c r="D52" s="10" t="str">
        <f>_xlfn.XLOOKUP(B52,'Product Variant'!$A:$A,'Product Variant'!$C:$C,"NOT FOUND")</f>
        <v>[Wonbiogen] Gạc xốp siêu thấm hút dịch tiết vết thương - Therasorb Algi Plus Hydrophilic (30cmx100cmx0.5cm)</v>
      </c>
      <c r="E52" s="10" t="str" cm="1">
        <f t="array" ref="E52">_xlfn.TEXTJOIN(" / ",TRUE,_xlfn.XLOOKUP(B52&amp;"|ATTR-27",'Product Variant Attribute'!$A$2:$A$2000&amp;"|"&amp;'Product Variant Attribute'!$D$2:$D$2000,'Product Variant Attribute'!$F$2:$F$2000,""),_xlfn.XLOOKUP(B52&amp;"|ATTR-24",'Product Variant Attribute'!$A$2:$A$2000&amp;"|"&amp;'Product Variant Attribute'!$D$2:$D$2000,'Product Variant Attribute'!$F$2:$F$2000,""))</f>
        <v/>
      </c>
      <c r="F52" s="11" t="s">
        <v>816</v>
      </c>
      <c r="G52" s="11" t="s">
        <v>876</v>
      </c>
      <c r="H52" s="13">
        <f t="shared" si="0"/>
        <v>10</v>
      </c>
      <c r="I52" s="16" t="str">
        <f>_xlfn.XLOOKUP(C52,Product!$A:$A,Product!$G:$G,"NOT FOUND")</f>
        <v>miếng</v>
      </c>
      <c r="J52" s="20">
        <v>1150000</v>
      </c>
      <c r="K52" s="15" t="s">
        <v>1322</v>
      </c>
      <c r="L52" s="21">
        <v>87</v>
      </c>
      <c r="M52" s="10" t="s">
        <v>877</v>
      </c>
      <c r="N52" s="12">
        <v>240</v>
      </c>
      <c r="O52" t="str">
        <f t="shared" si="1"/>
        <v>INSERT INTO public.medical_supply_sellable_unit (code, price, quantity, sale_uom, product_variant_code) VALUES ('PRODUCT-00268-001-01', 1150000, 10, 'Hộp', 'PRODUCT-00268-001');</v>
      </c>
    </row>
    <row r="53" spans="1:15" x14ac:dyDescent="0.25">
      <c r="A53" s="10" t="str">
        <f>B53&amp;"-"&amp;TEXT(COUNTIF(B$2:B53,B53),"00")</f>
        <v>PRODUCT-00268-001-02</v>
      </c>
      <c r="B53" s="11" t="s">
        <v>1682</v>
      </c>
      <c r="C53" s="10" t="str">
        <f>_xlfn.XLOOKUP(B53,'Product Variant'!$A:$A,'Product Variant'!$B:$B,"NOT FOUND")</f>
        <v>PRODUCT-00268</v>
      </c>
      <c r="D53" s="10" t="str">
        <f>_xlfn.XLOOKUP(B53,'Product Variant'!$A:$A,'Product Variant'!$C:$C,"NOT FOUND")</f>
        <v>[Wonbiogen] Gạc xốp siêu thấm hút dịch tiết vết thương - Therasorb Algi Plus Hydrophilic (30cmx100cmx0.5cm)</v>
      </c>
      <c r="E53" s="10" t="str" cm="1">
        <f t="array" ref="E53">_xlfn.TEXTJOIN(" / ",TRUE,_xlfn.XLOOKUP(B53&amp;"|ATTR-27",'Product Variant Attribute'!$A$2:$A$2000&amp;"|"&amp;'Product Variant Attribute'!$D$2:$D$2000,'Product Variant Attribute'!$F$2:$F$2000,""),_xlfn.XLOOKUP(B53&amp;"|ATTR-24",'Product Variant Attribute'!$A$2:$A$2000&amp;"|"&amp;'Product Variant Attribute'!$D$2:$D$2000,'Product Variant Attribute'!$F$2:$F$2000,""))</f>
        <v/>
      </c>
      <c r="F53" s="11" t="s">
        <v>817</v>
      </c>
      <c r="G53" s="11" t="s">
        <v>841</v>
      </c>
      <c r="H53" s="13">
        <f t="shared" si="0"/>
        <v>1</v>
      </c>
      <c r="I53" s="16" t="str">
        <f>_xlfn.XLOOKUP(C53,Product!$A:$A,Product!$G:$G,"NOT FOUND")</f>
        <v>miếng</v>
      </c>
      <c r="J53" s="20">
        <v>1900000</v>
      </c>
      <c r="K53" s="15" t="s">
        <v>1327</v>
      </c>
      <c r="L53" s="21">
        <v>469</v>
      </c>
      <c r="M53" s="10" t="s">
        <v>882</v>
      </c>
      <c r="N53" s="12">
        <v>248</v>
      </c>
      <c r="O53" t="str">
        <f t="shared" si="1"/>
        <v>INSERT INTO public.medical_supply_sellable_unit (code, price, quantity, sale_uom, product_variant_code) VALUES ('PRODUCT-00268-001-02', 1900000, 1, 'Túi', 'PRODUCT-00268-001');</v>
      </c>
    </row>
    <row r="54" spans="1:15" x14ac:dyDescent="0.25">
      <c r="A54" s="10" t="str">
        <f>B54&amp;"-"&amp;TEXT(COUNTIF(B$2:B54,B54),"00")</f>
        <v>PRODUCT-00269-001-01</v>
      </c>
      <c r="B54" s="11" t="s">
        <v>1683</v>
      </c>
      <c r="C54" s="10" t="str">
        <f>_xlfn.XLOOKUP(B54,'Product Variant'!$A:$A,'Product Variant'!$B:$B,"NOT FOUND")</f>
        <v>PRODUCT-00269</v>
      </c>
      <c r="D54" s="10" t="str">
        <f>_xlfn.XLOOKUP(B54,'Product Variant'!$A:$A,'Product Variant'!$C:$C,"NOT FOUND")</f>
        <v>[Wonbiogen] Gạc xốp siêu thấm hút dịch tiết vết thương - Therasorb Algi Plus Hydrophilic (10cmx10cm)</v>
      </c>
      <c r="E54" s="10" t="str" cm="1">
        <f t="array" ref="E54">_xlfn.TEXTJOIN(" / ",TRUE,_xlfn.XLOOKUP(B54&amp;"|ATTR-27",'Product Variant Attribute'!$A$2:$A$2000&amp;"|"&amp;'Product Variant Attribute'!$D$2:$D$2000,'Product Variant Attribute'!$F$2:$F$2000,""),_xlfn.XLOOKUP(B54&amp;"|ATTR-24",'Product Variant Attribute'!$A$2:$A$2000&amp;"|"&amp;'Product Variant Attribute'!$D$2:$D$2000,'Product Variant Attribute'!$F$2:$F$2000,""))</f>
        <v/>
      </c>
      <c r="F54" s="11" t="s">
        <v>817</v>
      </c>
      <c r="G54" s="11" t="s">
        <v>841</v>
      </c>
      <c r="H54" s="13">
        <f t="shared" si="0"/>
        <v>1</v>
      </c>
      <c r="I54" s="16" t="str">
        <f>_xlfn.XLOOKUP(C54,Product!$A:$A,Product!$G:$G,"NOT FOUND")</f>
        <v>miếng</v>
      </c>
      <c r="J54" s="20">
        <v>115000</v>
      </c>
      <c r="K54" s="15" t="s">
        <v>1323</v>
      </c>
      <c r="L54" s="21">
        <v>89</v>
      </c>
      <c r="M54" s="10" t="s">
        <v>878</v>
      </c>
      <c r="N54" s="12">
        <v>241</v>
      </c>
      <c r="O54" t="str">
        <f t="shared" si="1"/>
        <v>INSERT INTO public.medical_supply_sellable_unit (code, price, quantity, sale_uom, product_variant_code) VALUES ('PRODUCT-00269-001-01', 115000, 1, 'Túi', 'PRODUCT-00269-001');</v>
      </c>
    </row>
    <row r="55" spans="1:15" x14ac:dyDescent="0.25">
      <c r="A55" s="10" t="str">
        <f>B55&amp;"-"&amp;TEXT(COUNTIF(B$2:B55,B55),"00")</f>
        <v>PRODUCT-00269-001-02</v>
      </c>
      <c r="B55" s="11" t="s">
        <v>1683</v>
      </c>
      <c r="C55" s="10" t="str">
        <f>_xlfn.XLOOKUP(B55,'Product Variant'!$A:$A,'Product Variant'!$B:$B,"NOT FOUND")</f>
        <v>PRODUCT-00269</v>
      </c>
      <c r="D55" s="10" t="str">
        <f>_xlfn.XLOOKUP(B55,'Product Variant'!$A:$A,'Product Variant'!$C:$C,"NOT FOUND")</f>
        <v>[Wonbiogen] Gạc xốp siêu thấm hút dịch tiết vết thương - Therasorb Algi Plus Hydrophilic (10cmx10cm)</v>
      </c>
      <c r="E55" s="10" t="str" cm="1">
        <f t="array" ref="E55">_xlfn.TEXTJOIN(" / ",TRUE,_xlfn.XLOOKUP(B55&amp;"|ATTR-27",'Product Variant Attribute'!$A$2:$A$2000&amp;"|"&amp;'Product Variant Attribute'!$D$2:$D$2000,'Product Variant Attribute'!$F$2:$F$2000,""),_xlfn.XLOOKUP(B55&amp;"|ATTR-24",'Product Variant Attribute'!$A$2:$A$2000&amp;"|"&amp;'Product Variant Attribute'!$D$2:$D$2000,'Product Variant Attribute'!$F$2:$F$2000,""))</f>
        <v/>
      </c>
      <c r="F55" s="11" t="s">
        <v>816</v>
      </c>
      <c r="G55" s="11" t="s">
        <v>876</v>
      </c>
      <c r="H55" s="13">
        <f t="shared" si="0"/>
        <v>10</v>
      </c>
      <c r="I55" s="16" t="str">
        <f>_xlfn.XLOOKUP(C55,Product!$A:$A,Product!$G:$G,"NOT FOUND")</f>
        <v>miếng</v>
      </c>
      <c r="J55" s="20">
        <v>1150000</v>
      </c>
      <c r="K55" s="15" t="s">
        <v>1323</v>
      </c>
      <c r="L55" s="21">
        <v>88</v>
      </c>
      <c r="M55" s="10" t="s">
        <v>879</v>
      </c>
      <c r="N55" s="12">
        <v>242</v>
      </c>
      <c r="O55" t="str">
        <f t="shared" si="1"/>
        <v>INSERT INTO public.medical_supply_sellable_unit (code, price, quantity, sale_uom, product_variant_code) VALUES ('PRODUCT-00269-001-02', 1150000, 10, 'Hộp', 'PRODUCT-00269-001');</v>
      </c>
    </row>
    <row r="56" spans="1:15" x14ac:dyDescent="0.25">
      <c r="A56" s="10" t="str">
        <f>B56&amp;"-"&amp;TEXT(COUNTIF(B$2:B56,B56),"00")</f>
        <v>PRODUCT-00270-001-01</v>
      </c>
      <c r="B56" s="11" t="s">
        <v>1684</v>
      </c>
      <c r="C56" s="10" t="str">
        <f>_xlfn.XLOOKUP(B56,'Product Variant'!$A:$A,'Product Variant'!$B:$B,"NOT FOUND")</f>
        <v>PRODUCT-00270</v>
      </c>
      <c r="D56" s="10" t="str">
        <f>_xlfn.XLOOKUP(B56,'Product Variant'!$A:$A,'Product Variant'!$C:$C,"NOT FOUND")</f>
        <v>[Wonbiogen] Gạc xốp siêu thấm hút dịch tiết vết thương - Therasorb Algi Plus Hydrophilic (20cmx20cm)</v>
      </c>
      <c r="E56" s="10" t="str" cm="1">
        <f t="array" ref="E56">_xlfn.TEXTJOIN(" / ",TRUE,_xlfn.XLOOKUP(B56&amp;"|ATTR-27",'Product Variant Attribute'!$A$2:$A$2000&amp;"|"&amp;'Product Variant Attribute'!$D$2:$D$2000,'Product Variant Attribute'!$F$2:$F$2000,""),_xlfn.XLOOKUP(B56&amp;"|ATTR-24",'Product Variant Attribute'!$A$2:$A$2000&amp;"|"&amp;'Product Variant Attribute'!$D$2:$D$2000,'Product Variant Attribute'!$F$2:$F$2000,""))</f>
        <v/>
      </c>
      <c r="F56" s="11" t="s">
        <v>817</v>
      </c>
      <c r="G56" s="11" t="s">
        <v>841</v>
      </c>
      <c r="H56" s="13">
        <f t="shared" si="0"/>
        <v>1</v>
      </c>
      <c r="I56" s="16" t="str">
        <f>_xlfn.XLOOKUP(C56,Product!$A:$A,Product!$G:$G,"NOT FOUND")</f>
        <v>miếng</v>
      </c>
      <c r="J56" s="20">
        <v>390000</v>
      </c>
      <c r="K56" s="15" t="s">
        <v>1323</v>
      </c>
      <c r="L56" s="21">
        <v>433</v>
      </c>
      <c r="M56" s="10" t="s">
        <v>880</v>
      </c>
      <c r="N56" s="12">
        <v>243</v>
      </c>
      <c r="O56" t="str">
        <f t="shared" si="1"/>
        <v>INSERT INTO public.medical_supply_sellable_unit (code, price, quantity, sale_uom, product_variant_code) VALUES ('PRODUCT-00270-001-01', 390000, 1, 'Túi', 'PRODUCT-00270-001');</v>
      </c>
    </row>
    <row r="57" spans="1:15" x14ac:dyDescent="0.25">
      <c r="A57" s="10" t="str">
        <f>B57&amp;"-"&amp;TEXT(COUNTIF(B$2:B57,B57),"00")</f>
        <v>PRODUCT-00271-001-01</v>
      </c>
      <c r="B57" s="11" t="s">
        <v>1685</v>
      </c>
      <c r="C57" s="10" t="str">
        <f>_xlfn.XLOOKUP(B57,'Product Variant'!$A:$A,'Product Variant'!$B:$B,"NOT FOUND")</f>
        <v>PRODUCT-00271</v>
      </c>
      <c r="D57" s="10" t="str">
        <f>_xlfn.XLOOKUP(B57,'Product Variant'!$A:$A,'Product Variant'!$C:$C,"NOT FOUND")</f>
        <v>[Wonbiogen] Gạc xốp siêu thấm hút dịch tiết vết thương - Therasorb Algi Plus Hydrophilic (35cmx50cm)</v>
      </c>
      <c r="E57" s="10" t="str" cm="1">
        <f t="array" ref="E57">_xlfn.TEXTJOIN(" / ",TRUE,_xlfn.XLOOKUP(B57&amp;"|ATTR-27",'Product Variant Attribute'!$A$2:$A$2000&amp;"|"&amp;'Product Variant Attribute'!$D$2:$D$2000,'Product Variant Attribute'!$F$2:$F$2000,""),_xlfn.XLOOKUP(B57&amp;"|ATTR-24",'Product Variant Attribute'!$A$2:$A$2000&amp;"|"&amp;'Product Variant Attribute'!$D$2:$D$2000,'Product Variant Attribute'!$F$2:$F$2000,""))</f>
        <v/>
      </c>
      <c r="F57" s="11" t="s">
        <v>817</v>
      </c>
      <c r="G57" s="11" t="s">
        <v>841</v>
      </c>
      <c r="H57" s="13">
        <f t="shared" si="0"/>
        <v>1</v>
      </c>
      <c r="I57" s="16" t="str">
        <f>_xlfn.XLOOKUP(C57,Product!$A:$A,Product!$G:$G,"NOT FOUND")</f>
        <v>miếng</v>
      </c>
      <c r="J57" s="22"/>
      <c r="K57" s="15" t="s">
        <v>1468</v>
      </c>
      <c r="L57" s="21">
        <v>406</v>
      </c>
      <c r="M57" s="10" t="s">
        <v>881</v>
      </c>
      <c r="N57" s="12">
        <v>244</v>
      </c>
      <c r="O57" t="str">
        <f t="shared" si="1"/>
        <v>INSERT INTO public.medical_supply_sellable_unit (code, price, quantity, sale_uom, product_variant_code) VALUES ('PRODUCT-00271-001-01', NULL, 1, 'Túi', 'PRODUCT-00271-001');</v>
      </c>
    </row>
    <row r="58" spans="1:15" x14ac:dyDescent="0.25">
      <c r="A58" s="10" t="str">
        <f>B58&amp;"-"&amp;TEXT(COUNTIF(B$2:B58,B58),"00")</f>
        <v>PRODUCT-00029-001-01</v>
      </c>
      <c r="B58" s="11" t="s">
        <v>1686</v>
      </c>
      <c r="C58" s="10" t="str">
        <f>_xlfn.XLOOKUP(B58,'Product Variant'!$A:$A,'Product Variant'!$B:$B,"NOT FOUND")</f>
        <v>PRODUCT-00029</v>
      </c>
      <c r="D58" s="10" t="str">
        <f>_xlfn.XLOOKUP(B58,'Product Variant'!$A:$A,'Product Variant'!$C:$C,"NOT FOUND")</f>
        <v>[Wonbiogen] Gạc xốp tẩm bạc kháng khuẩn - Therasorb® Ag Plus (10cmx10cm)</v>
      </c>
      <c r="E58" s="10" t="str" cm="1">
        <f t="array" ref="E58">_xlfn.TEXTJOIN(" / ",TRUE,_xlfn.XLOOKUP(B58&amp;"|ATTR-27",'Product Variant Attribute'!$A$2:$A$2000&amp;"|"&amp;'Product Variant Attribute'!$D$2:$D$2000,'Product Variant Attribute'!$F$2:$F$2000,""),_xlfn.XLOOKUP(B58&amp;"|ATTR-24",'Product Variant Attribute'!$A$2:$A$2000&amp;"|"&amp;'Product Variant Attribute'!$D$2:$D$2000,'Product Variant Attribute'!$F$2:$F$2000,""))</f>
        <v/>
      </c>
      <c r="F58" s="11" t="s">
        <v>817</v>
      </c>
      <c r="G58" s="11" t="s">
        <v>841</v>
      </c>
      <c r="H58" s="13">
        <f t="shared" si="0"/>
        <v>1</v>
      </c>
      <c r="I58" s="16" t="str">
        <f>_xlfn.XLOOKUP(C58,Product!$A:$A,Product!$G:$G,"NOT FOUND")</f>
        <v>miếng</v>
      </c>
      <c r="J58" s="20">
        <v>188000</v>
      </c>
      <c r="K58" s="15" t="s">
        <v>1323</v>
      </c>
      <c r="L58" s="21" t="s">
        <v>1328</v>
      </c>
      <c r="M58" s="10" t="s">
        <v>883</v>
      </c>
      <c r="N58" s="12" t="s">
        <v>1251</v>
      </c>
      <c r="O58" t="str">
        <f t="shared" si="1"/>
        <v>INSERT INTO public.medical_supply_sellable_unit (code, price, quantity, sale_uom, product_variant_code) VALUES ('PRODUCT-00029-001-01', 188000, 1, 'Túi', 'PRODUCT-00029-001');</v>
      </c>
    </row>
    <row r="59" spans="1:15" x14ac:dyDescent="0.25">
      <c r="A59" s="10" t="str">
        <f>B59&amp;"-"&amp;TEXT(COUNTIF(B$2:B59,B59),"00")</f>
        <v>PRODUCT-00029-001-02</v>
      </c>
      <c r="B59" s="11" t="s">
        <v>1686</v>
      </c>
      <c r="C59" s="10" t="str">
        <f>_xlfn.XLOOKUP(B59,'Product Variant'!$A:$A,'Product Variant'!$B:$B,"NOT FOUND")</f>
        <v>PRODUCT-00029</v>
      </c>
      <c r="D59" s="10" t="str">
        <f>_xlfn.XLOOKUP(B59,'Product Variant'!$A:$A,'Product Variant'!$C:$C,"NOT FOUND")</f>
        <v>[Wonbiogen] Gạc xốp tẩm bạc kháng khuẩn - Therasorb® Ag Plus (10cmx10cm)</v>
      </c>
      <c r="E59" s="10" t="str" cm="1">
        <f t="array" ref="E59">_xlfn.TEXTJOIN(" / ",TRUE,_xlfn.XLOOKUP(B59&amp;"|ATTR-27",'Product Variant Attribute'!$A$2:$A$2000&amp;"|"&amp;'Product Variant Attribute'!$D$2:$D$2000,'Product Variant Attribute'!$F$2:$F$2000,""),_xlfn.XLOOKUP(B59&amp;"|ATTR-24",'Product Variant Attribute'!$A$2:$A$2000&amp;"|"&amp;'Product Variant Attribute'!$D$2:$D$2000,'Product Variant Attribute'!$F$2:$F$2000,""))</f>
        <v/>
      </c>
      <c r="F59" s="11" t="s">
        <v>816</v>
      </c>
      <c r="G59" s="11" t="s">
        <v>876</v>
      </c>
      <c r="H59" s="13">
        <f t="shared" ref="H59:H111" si="2">IFERROR(--LEFT(G59,FIND(" ",G59&amp;" ")-1),"")</f>
        <v>10</v>
      </c>
      <c r="I59" s="16" t="str">
        <f>_xlfn.XLOOKUP(C59,Product!$A:$A,Product!$G:$G,"NOT FOUND")</f>
        <v>miếng</v>
      </c>
      <c r="J59" s="20">
        <v>1880000</v>
      </c>
      <c r="K59" s="15" t="s">
        <v>1323</v>
      </c>
      <c r="L59" s="21" t="s">
        <v>1329</v>
      </c>
      <c r="M59" s="10" t="s">
        <v>884</v>
      </c>
      <c r="N59" s="12" t="s">
        <v>1252</v>
      </c>
      <c r="O59" t="str">
        <f t="shared" si="1"/>
        <v>INSERT INTO public.medical_supply_sellable_unit (code, price, quantity, sale_uom, product_variant_code) VALUES ('PRODUCT-00029-001-02', 1880000, 10, 'Hộp', 'PRODUCT-00029-001');</v>
      </c>
    </row>
    <row r="60" spans="1:15" x14ac:dyDescent="0.25">
      <c r="A60" s="10" t="str">
        <f>B60&amp;"-"&amp;TEXT(COUNTIF(B$2:B60,B60),"00")</f>
        <v>PRODUCT-00272-001-01</v>
      </c>
      <c r="B60" s="11" t="s">
        <v>1687</v>
      </c>
      <c r="C60" s="10" t="str">
        <f>_xlfn.XLOOKUP(B60,'Product Variant'!$A:$A,'Product Variant'!$B:$B,"NOT FOUND")</f>
        <v>PRODUCT-00272</v>
      </c>
      <c r="D60" s="10" t="str">
        <f>_xlfn.XLOOKUP(B60,'Product Variant'!$A:$A,'Product Variant'!$C:$C,"NOT FOUND")</f>
        <v>[Wonbiogen] Gạc xốp tẩm bạc kháng khuẩn - Therasorb® Ag Plus (20cmx20cm)</v>
      </c>
      <c r="E60" s="10" t="str" cm="1">
        <f t="array" ref="E60">_xlfn.TEXTJOIN(" / ",TRUE,_xlfn.XLOOKUP(B60&amp;"|ATTR-27",'Product Variant Attribute'!$A$2:$A$2000&amp;"|"&amp;'Product Variant Attribute'!$D$2:$D$2000,'Product Variant Attribute'!$F$2:$F$2000,""),_xlfn.XLOOKUP(B60&amp;"|ATTR-24",'Product Variant Attribute'!$A$2:$A$2000&amp;"|"&amp;'Product Variant Attribute'!$D$2:$D$2000,'Product Variant Attribute'!$F$2:$F$2000,""))</f>
        <v/>
      </c>
      <c r="F60" s="11" t="s">
        <v>817</v>
      </c>
      <c r="G60" s="11" t="s">
        <v>841</v>
      </c>
      <c r="H60" s="13">
        <f t="shared" si="2"/>
        <v>1</v>
      </c>
      <c r="I60" s="16" t="str">
        <f>_xlfn.XLOOKUP(C60,Product!$A:$A,Product!$G:$G,"NOT FOUND")</f>
        <v>miếng</v>
      </c>
      <c r="J60" s="20">
        <v>750000</v>
      </c>
      <c r="K60" s="15" t="s">
        <v>1323</v>
      </c>
      <c r="L60" s="21" t="s">
        <v>1330</v>
      </c>
      <c r="M60" s="10" t="s">
        <v>885</v>
      </c>
      <c r="N60" s="12" t="s">
        <v>1253</v>
      </c>
      <c r="O60" t="str">
        <f t="shared" si="1"/>
        <v>INSERT INTO public.medical_supply_sellable_unit (code, price, quantity, sale_uom, product_variant_code) VALUES ('PRODUCT-00272-001-01', 750000, 1, 'Túi', 'PRODUCT-00272-001');</v>
      </c>
    </row>
    <row r="61" spans="1:15" x14ac:dyDescent="0.25">
      <c r="A61" s="10" t="str">
        <f>B61&amp;"-"&amp;TEXT(COUNTIF(B$2:B61,B61),"00")</f>
        <v>PRODUCT-00272-001-02</v>
      </c>
      <c r="B61" s="11" t="s">
        <v>1687</v>
      </c>
      <c r="C61" s="10" t="str">
        <f>_xlfn.XLOOKUP(B61,'Product Variant'!$A:$A,'Product Variant'!$B:$B,"NOT FOUND")</f>
        <v>PRODUCT-00272</v>
      </c>
      <c r="D61" s="10" t="str">
        <f>_xlfn.XLOOKUP(B61,'Product Variant'!$A:$A,'Product Variant'!$C:$C,"NOT FOUND")</f>
        <v>[Wonbiogen] Gạc xốp tẩm bạc kháng khuẩn - Therasorb® Ag Plus (20cmx20cm)</v>
      </c>
      <c r="E61" s="10" t="str" cm="1">
        <f t="array" ref="E61">_xlfn.TEXTJOIN(" / ",TRUE,_xlfn.XLOOKUP(B61&amp;"|ATTR-27",'Product Variant Attribute'!$A$2:$A$2000&amp;"|"&amp;'Product Variant Attribute'!$D$2:$D$2000,'Product Variant Attribute'!$F$2:$F$2000,""),_xlfn.XLOOKUP(B61&amp;"|ATTR-24",'Product Variant Attribute'!$A$2:$A$2000&amp;"|"&amp;'Product Variant Attribute'!$D$2:$D$2000,'Product Variant Attribute'!$F$2:$F$2000,""))</f>
        <v/>
      </c>
      <c r="F61" s="11" t="s">
        <v>816</v>
      </c>
      <c r="G61" s="11" t="s">
        <v>876</v>
      </c>
      <c r="H61" s="13">
        <f t="shared" si="2"/>
        <v>10</v>
      </c>
      <c r="I61" s="16" t="str">
        <f>_xlfn.XLOOKUP(C61,Product!$A:$A,Product!$G:$G,"NOT FOUND")</f>
        <v>miếng</v>
      </c>
      <c r="J61" s="20">
        <v>1880000</v>
      </c>
      <c r="K61" s="15" t="s">
        <v>1322</v>
      </c>
      <c r="L61" s="21">
        <v>75</v>
      </c>
      <c r="M61" s="10" t="s">
        <v>886</v>
      </c>
      <c r="N61" s="12">
        <v>255</v>
      </c>
      <c r="O61" t="str">
        <f t="shared" si="1"/>
        <v>INSERT INTO public.medical_supply_sellable_unit (code, price, quantity, sale_uom, product_variant_code) VALUES ('PRODUCT-00272-001-02', 1880000, 10, 'Hộp', 'PRODUCT-00272-001');</v>
      </c>
    </row>
    <row r="62" spans="1:15" x14ac:dyDescent="0.25">
      <c r="A62" s="10" t="str">
        <f>B62&amp;"-"&amp;TEXT(COUNTIF(B$2:B62,B62),"00")</f>
        <v>PRODUCT-00030-001-01</v>
      </c>
      <c r="B62" s="11" t="s">
        <v>1688</v>
      </c>
      <c r="C62" s="10" t="str">
        <f>_xlfn.XLOOKUP(B62,'Product Variant'!$A:$A,'Product Variant'!$B:$B,"NOT FOUND")</f>
        <v>PRODUCT-00030</v>
      </c>
      <c r="D62" s="10" t="str">
        <f>_xlfn.XLOOKUP(B62,'Product Variant'!$A:$A,'Product Variant'!$C:$C,"NOT FOUND")</f>
        <v>[Wonbiogen] Gel kháng khuẩn vết thương - SurgiGel</v>
      </c>
      <c r="E62" s="10" t="str" cm="1">
        <f t="array" ref="E62">_xlfn.TEXTJOIN(" / ",TRUE,_xlfn.XLOOKUP(B62&amp;"|ATTR-27",'Product Variant Attribute'!$A$2:$A$2000&amp;"|"&amp;'Product Variant Attribute'!$D$2:$D$2000,'Product Variant Attribute'!$F$2:$F$2000,""),_xlfn.XLOOKUP(B62&amp;"|ATTR-24",'Product Variant Attribute'!$A$2:$A$2000&amp;"|"&amp;'Product Variant Attribute'!$D$2:$D$2000,'Product Variant Attribute'!$F$2:$F$2000,""))</f>
        <v/>
      </c>
      <c r="F62" s="11" t="s">
        <v>816</v>
      </c>
      <c r="G62" s="11" t="s">
        <v>870</v>
      </c>
      <c r="H62" s="13">
        <f t="shared" si="2"/>
        <v>1</v>
      </c>
      <c r="I62" s="16" t="str">
        <f>_xlfn.XLOOKUP(C62,Product!$A:$A,Product!$G:$G,"NOT FOUND")</f>
        <v>tuýp</v>
      </c>
      <c r="J62" s="20">
        <v>380000</v>
      </c>
      <c r="K62" s="15" t="s">
        <v>1323</v>
      </c>
      <c r="L62" s="21">
        <v>165</v>
      </c>
      <c r="M62" s="10" t="s">
        <v>887</v>
      </c>
      <c r="N62" s="12">
        <v>264</v>
      </c>
      <c r="O62" t="str">
        <f t="shared" si="1"/>
        <v>INSERT INTO public.medical_supply_sellable_unit (code, price, quantity, sale_uom, product_variant_code) VALUES ('PRODUCT-00030-001-01', 380000, 1, 'Hộp', 'PRODUCT-00030-001');</v>
      </c>
    </row>
    <row r="63" spans="1:15" x14ac:dyDescent="0.25">
      <c r="A63" s="10" t="str">
        <f>B63&amp;"-"&amp;TEXT(COUNTIF(B$2:B63,B63),"00")</f>
        <v>PRODUCT-00031-001-01</v>
      </c>
      <c r="B63" s="11" t="s">
        <v>1689</v>
      </c>
      <c r="C63" s="10" t="str">
        <f>_xlfn.XLOOKUP(B63,'Product Variant'!$A:$A,'Product Variant'!$B:$B,"NOT FOUND")</f>
        <v>PRODUCT-00031</v>
      </c>
      <c r="D63" s="10" t="str">
        <f>_xlfn.XLOOKUP(B63,'Product Variant'!$A:$A,'Product Variant'!$C:$C,"NOT FOUND")</f>
        <v>[Wonbiogen] Kem gel silicone trị sẹo - RemScar® Gel (15g)</v>
      </c>
      <c r="E63" s="10" t="str" cm="1">
        <f t="array" ref="E63">_xlfn.TEXTJOIN(" / ",TRUE,_xlfn.XLOOKUP(B63&amp;"|ATTR-27",'Product Variant Attribute'!$A$2:$A$2000&amp;"|"&amp;'Product Variant Attribute'!$D$2:$D$2000,'Product Variant Attribute'!$F$2:$F$2000,""),_xlfn.XLOOKUP(B63&amp;"|ATTR-24",'Product Variant Attribute'!$A$2:$A$2000&amp;"|"&amp;'Product Variant Attribute'!$D$2:$D$2000,'Product Variant Attribute'!$F$2:$F$2000,""))</f>
        <v/>
      </c>
      <c r="F63" s="11" t="s">
        <v>816</v>
      </c>
      <c r="G63" s="11" t="s">
        <v>870</v>
      </c>
      <c r="H63" s="13">
        <f t="shared" si="2"/>
        <v>1</v>
      </c>
      <c r="I63" s="16" t="str">
        <f>_xlfn.XLOOKUP(C63,Product!$A:$A,Product!$G:$G,"NOT FOUND")</f>
        <v>tuýp</v>
      </c>
      <c r="J63" s="20">
        <v>320000</v>
      </c>
      <c r="K63" s="15" t="s">
        <v>1323</v>
      </c>
      <c r="L63" s="21" t="s">
        <v>1331</v>
      </c>
      <c r="M63" s="10" t="s">
        <v>888</v>
      </c>
      <c r="N63" s="12" t="s">
        <v>1186</v>
      </c>
      <c r="O63" t="str">
        <f t="shared" si="1"/>
        <v>INSERT INTO public.medical_supply_sellable_unit (code, price, quantity, sale_uom, product_variant_code) VALUES ('PRODUCT-00031-001-01', 320000, 1, 'Hộp', 'PRODUCT-00031-001');</v>
      </c>
    </row>
    <row r="64" spans="1:15" x14ac:dyDescent="0.25">
      <c r="A64" s="10" t="str">
        <f>B64&amp;"-"&amp;TEXT(COUNTIF(B$2:B64,B64),"00")</f>
        <v>PRODUCT-00273-001-01</v>
      </c>
      <c r="B64" s="11" t="s">
        <v>1690</v>
      </c>
      <c r="C64" s="10" t="str">
        <f>_xlfn.XLOOKUP(B64,'Product Variant'!$A:$A,'Product Variant'!$B:$B,"NOT FOUND")</f>
        <v>PRODUCT-00273</v>
      </c>
      <c r="D64" s="10" t="str">
        <f>_xlfn.XLOOKUP(B64,'Product Variant'!$A:$A,'Product Variant'!$C:$C,"NOT FOUND")</f>
        <v>[Wonbiogen] Kem gel silicone trị sẹo - RemScar® Gel (30g)</v>
      </c>
      <c r="E64" s="10" t="str" cm="1">
        <f t="array" ref="E64">_xlfn.TEXTJOIN(" / ",TRUE,_xlfn.XLOOKUP(B64&amp;"|ATTR-27",'Product Variant Attribute'!$A$2:$A$2000&amp;"|"&amp;'Product Variant Attribute'!$D$2:$D$2000,'Product Variant Attribute'!$F$2:$F$2000,""),_xlfn.XLOOKUP(B64&amp;"|ATTR-24",'Product Variant Attribute'!$A$2:$A$2000&amp;"|"&amp;'Product Variant Attribute'!$D$2:$D$2000,'Product Variant Attribute'!$F$2:$F$2000,""))</f>
        <v/>
      </c>
      <c r="F64" s="11" t="s">
        <v>816</v>
      </c>
      <c r="G64" s="11" t="s">
        <v>852</v>
      </c>
      <c r="H64" s="13">
        <f t="shared" si="2"/>
        <v>1</v>
      </c>
      <c r="I64" s="16" t="str">
        <f>_xlfn.XLOOKUP(C64,Product!$A:$A,Product!$G:$G,"NOT FOUND")</f>
        <v>tuýp</v>
      </c>
      <c r="J64" s="20">
        <v>480000</v>
      </c>
      <c r="K64" s="15" t="s">
        <v>1323</v>
      </c>
      <c r="L64" s="21">
        <v>404</v>
      </c>
      <c r="M64" s="10" t="s">
        <v>889</v>
      </c>
      <c r="N64" s="12">
        <v>272</v>
      </c>
      <c r="O64" t="str">
        <f t="shared" si="1"/>
        <v>INSERT INTO public.medical_supply_sellable_unit (code, price, quantity, sale_uom, product_variant_code) VALUES ('PRODUCT-00273-001-01', 480000, 1, 'Hộp', 'PRODUCT-00273-001');</v>
      </c>
    </row>
    <row r="65" spans="1:15" x14ac:dyDescent="0.25">
      <c r="A65" s="10" t="str">
        <f>B65&amp;"-"&amp;TEXT(COUNTIF(B$2:B65,B65),"00")</f>
        <v>PRODUCT-00273-001-02</v>
      </c>
      <c r="B65" s="11" t="s">
        <v>1690</v>
      </c>
      <c r="C65" s="10" t="str">
        <f>_xlfn.XLOOKUP(B65,'Product Variant'!$A:$A,'Product Variant'!$B:$B,"NOT FOUND")</f>
        <v>PRODUCT-00273</v>
      </c>
      <c r="D65" s="10" t="str">
        <f>_xlfn.XLOOKUP(B65,'Product Variant'!$A:$A,'Product Variant'!$C:$C,"NOT FOUND")</f>
        <v>[Wonbiogen] Kem gel silicone trị sẹo - RemScar® Gel (30g)</v>
      </c>
      <c r="E65" s="10" t="str" cm="1">
        <f t="array" ref="E65">_xlfn.TEXTJOIN(" / ",TRUE,_xlfn.XLOOKUP(B65&amp;"|ATTR-27",'Product Variant Attribute'!$A$2:$A$2000&amp;"|"&amp;'Product Variant Attribute'!$D$2:$D$2000,'Product Variant Attribute'!$F$2:$F$2000,""),_xlfn.XLOOKUP(B65&amp;"|ATTR-24",'Product Variant Attribute'!$A$2:$A$2000&amp;"|"&amp;'Product Variant Attribute'!$D$2:$D$2000,'Product Variant Attribute'!$F$2:$F$2000,""))</f>
        <v/>
      </c>
      <c r="F65" s="11" t="s">
        <v>816</v>
      </c>
      <c r="G65" s="11" t="s">
        <v>870</v>
      </c>
      <c r="H65" s="13">
        <f t="shared" si="2"/>
        <v>1</v>
      </c>
      <c r="I65" s="16" t="str">
        <f>_xlfn.XLOOKUP(C65,Product!$A:$A,Product!$G:$G,"NOT FOUND")</f>
        <v>tuýp</v>
      </c>
      <c r="J65" s="20">
        <v>480000</v>
      </c>
      <c r="K65" s="15" t="s">
        <v>1327</v>
      </c>
      <c r="L65" s="21">
        <v>461</v>
      </c>
      <c r="M65" s="10" t="s">
        <v>890</v>
      </c>
      <c r="N65" s="12">
        <v>274</v>
      </c>
      <c r="O65" t="str">
        <f t="shared" si="1"/>
        <v>INSERT INTO public.medical_supply_sellable_unit (code, price, quantity, sale_uom, product_variant_code) VALUES ('PRODUCT-00273-001-02', 480000, 1, 'Hộp', 'PRODUCT-00273-001');</v>
      </c>
    </row>
    <row r="66" spans="1:15" x14ac:dyDescent="0.25">
      <c r="A66" s="10" t="str">
        <f>B66&amp;"-"&amp;TEXT(COUNTIF(B$2:B66,B66),"00")</f>
        <v>PRODUCT-00032-001-01</v>
      </c>
      <c r="B66" s="11" t="s">
        <v>1691</v>
      </c>
      <c r="C66" s="10" t="str">
        <f>_xlfn.XLOOKUP(B66,'Product Variant'!$A:$A,'Product Variant'!$B:$B,"NOT FOUND")</f>
        <v>PRODUCT-00032</v>
      </c>
      <c r="D66" s="10" t="str">
        <f>_xlfn.XLOOKUP(B66,'Product Variant'!$A:$A,'Product Variant'!$C:$C,"NOT FOUND")</f>
        <v>[Wonbiogen] Miếng dán silicone trị sẹo lồi, sẹo thâm - RemScar® TR (12cmx15cm)</v>
      </c>
      <c r="E66" s="10" t="str" cm="1">
        <f t="array" ref="E66">_xlfn.TEXTJOIN(" / ",TRUE,_xlfn.XLOOKUP(B66&amp;"|ATTR-27",'Product Variant Attribute'!$A$2:$A$2000&amp;"|"&amp;'Product Variant Attribute'!$D$2:$D$2000,'Product Variant Attribute'!$F$2:$F$2000,""),_xlfn.XLOOKUP(B66&amp;"|ATTR-24",'Product Variant Attribute'!$A$2:$A$2000&amp;"|"&amp;'Product Variant Attribute'!$D$2:$D$2000,'Product Variant Attribute'!$F$2:$F$2000,""))</f>
        <v/>
      </c>
      <c r="F66" s="11" t="s">
        <v>816</v>
      </c>
      <c r="G66" s="11" t="s">
        <v>841</v>
      </c>
      <c r="H66" s="13">
        <f t="shared" si="2"/>
        <v>1</v>
      </c>
      <c r="I66" s="16" t="str">
        <f>_xlfn.XLOOKUP(C66,Product!$A:$A,Product!$G:$G,"NOT FOUND")</f>
        <v>miếng</v>
      </c>
      <c r="J66" s="20">
        <v>940000</v>
      </c>
      <c r="K66" s="15" t="s">
        <v>1323</v>
      </c>
      <c r="L66" s="21" t="s">
        <v>1452</v>
      </c>
      <c r="M66" s="10" t="s">
        <v>891</v>
      </c>
      <c r="N66" s="12" t="s">
        <v>1437</v>
      </c>
      <c r="O66" t="str">
        <f t="shared" si="1"/>
        <v>INSERT INTO public.medical_supply_sellable_unit (code, price, quantity, sale_uom, product_variant_code) VALUES ('PRODUCT-00032-001-01', 940000, 1, 'Hộp', 'PRODUCT-00032-001');</v>
      </c>
    </row>
    <row r="67" spans="1:15" x14ac:dyDescent="0.25">
      <c r="A67" s="10" t="str">
        <f>B67&amp;"-"&amp;TEXT(COUNTIF(B$2:B67,B67),"00")</f>
        <v>PRODUCT-00274-001-01</v>
      </c>
      <c r="B67" s="11" t="s">
        <v>1692</v>
      </c>
      <c r="C67" s="10" t="str">
        <f>_xlfn.XLOOKUP(B67,'Product Variant'!$A:$A,'Product Variant'!$B:$B,"NOT FOUND")</f>
        <v>PRODUCT-00274</v>
      </c>
      <c r="D67" s="10" t="str">
        <f>_xlfn.XLOOKUP(B67,'Product Variant'!$A:$A,'Product Variant'!$C:$C,"NOT FOUND")</f>
        <v>[Wonbiogen] Miếng dán silicone trị sẹo lồi, sẹo thâm - RemScar® TR (3.5cmx15cm)</v>
      </c>
      <c r="E67" s="10" t="str" cm="1">
        <f t="array" ref="E67">_xlfn.TEXTJOIN(" / ",TRUE,_xlfn.XLOOKUP(B67&amp;"|ATTR-27",'Product Variant Attribute'!$A$2:$A$2000&amp;"|"&amp;'Product Variant Attribute'!$D$2:$D$2000,'Product Variant Attribute'!$F$2:$F$2000,""),_xlfn.XLOOKUP(B67&amp;"|ATTR-24",'Product Variant Attribute'!$A$2:$A$2000&amp;"|"&amp;'Product Variant Attribute'!$D$2:$D$2000,'Product Variant Attribute'!$F$2:$F$2000,""))</f>
        <v/>
      </c>
      <c r="F67" s="11" t="s">
        <v>816</v>
      </c>
      <c r="G67" s="11" t="s">
        <v>841</v>
      </c>
      <c r="H67" s="13">
        <f t="shared" si="2"/>
        <v>1</v>
      </c>
      <c r="I67" s="16" t="str">
        <f>_xlfn.XLOOKUP(C67,Product!$A:$A,Product!$G:$G,"NOT FOUND")</f>
        <v>miếng</v>
      </c>
      <c r="J67" s="20">
        <v>450000</v>
      </c>
      <c r="K67" s="15" t="s">
        <v>1323</v>
      </c>
      <c r="L67" s="21" t="s">
        <v>1453</v>
      </c>
      <c r="M67" s="10" t="s">
        <v>892</v>
      </c>
      <c r="N67" s="12" t="s">
        <v>1438</v>
      </c>
      <c r="O67" t="str">
        <f t="shared" ref="O67:O130" si="3">"INSERT INTO public.medical_supply_sellable_unit (code, price, quantity, sale_uom, product_variant_code) VALUES ('"&amp;A67&amp;"', "&amp;IF(J67="","NULL",J67)&amp;", "&amp;IF(H67="","NULL",H67)&amp;", "&amp;IF(F67="","NULL","'"&amp;SUBSTITUTE(F67,"'","''")&amp;"'")&amp;", '"&amp;B67&amp;"');"</f>
        <v>INSERT INTO public.medical_supply_sellable_unit (code, price, quantity, sale_uom, product_variant_code) VALUES ('PRODUCT-00274-001-01', 450000, 1, 'Hộp', 'PRODUCT-00274-001');</v>
      </c>
    </row>
    <row r="68" spans="1:15" x14ac:dyDescent="0.25">
      <c r="A68" s="10" t="str">
        <f>B68&amp;"-"&amp;TEXT(COUNTIF(B$2:B68,B68),"00")</f>
        <v>PRODUCT-00275-001-01</v>
      </c>
      <c r="B68" s="11" t="s">
        <v>1693</v>
      </c>
      <c r="C68" s="10" t="str">
        <f>_xlfn.XLOOKUP(B68,'Product Variant'!$A:$A,'Product Variant'!$B:$B,"NOT FOUND")</f>
        <v>PRODUCT-00275</v>
      </c>
      <c r="D68" s="10" t="str">
        <f>_xlfn.XLOOKUP(B68,'Product Variant'!$A:$A,'Product Variant'!$C:$C,"NOT FOUND")</f>
        <v>[Wonbiogen] Miếng dán silicone trị sẹo lồi, sẹo thâm - RemScar® TR (5cmx6cm)</v>
      </c>
      <c r="E68" s="10" t="str" cm="1">
        <f t="array" ref="E68">_xlfn.TEXTJOIN(" / ",TRUE,_xlfn.XLOOKUP(B68&amp;"|ATTR-27",'Product Variant Attribute'!$A$2:$A$2000&amp;"|"&amp;'Product Variant Attribute'!$D$2:$D$2000,'Product Variant Attribute'!$F$2:$F$2000,""),_xlfn.XLOOKUP(B68&amp;"|ATTR-24",'Product Variant Attribute'!$A$2:$A$2000&amp;"|"&amp;'Product Variant Attribute'!$D$2:$D$2000,'Product Variant Attribute'!$F$2:$F$2000,""))</f>
        <v/>
      </c>
      <c r="F68" s="11" t="s">
        <v>816</v>
      </c>
      <c r="G68" s="11" t="s">
        <v>893</v>
      </c>
      <c r="H68" s="13">
        <f t="shared" si="2"/>
        <v>2</v>
      </c>
      <c r="I68" s="16" t="str">
        <f>_xlfn.XLOOKUP(C68,Product!$A:$A,Product!$G:$G,"NOT FOUND")</f>
        <v>miếng</v>
      </c>
      <c r="J68" s="20">
        <v>430000</v>
      </c>
      <c r="K68" s="15" t="s">
        <v>1323</v>
      </c>
      <c r="L68" s="21" t="s">
        <v>1454</v>
      </c>
      <c r="M68" s="10" t="s">
        <v>894</v>
      </c>
      <c r="N68" s="12" t="s">
        <v>1325</v>
      </c>
      <c r="O68" t="str">
        <f t="shared" si="3"/>
        <v>INSERT INTO public.medical_supply_sellable_unit (code, price, quantity, sale_uom, product_variant_code) VALUES ('PRODUCT-00275-001-01', 430000, 2, 'Hộp', 'PRODUCT-00275-001');</v>
      </c>
    </row>
    <row r="69" spans="1:15" x14ac:dyDescent="0.25">
      <c r="A69" s="10" t="str">
        <f>B69&amp;"-"&amp;TEXT(COUNTIF(B$2:B69,B69),"00")</f>
        <v>PRODUCT-00033-001-01</v>
      </c>
      <c r="B69" s="11" t="s">
        <v>1694</v>
      </c>
      <c r="C69" s="10" t="str">
        <f>_xlfn.XLOOKUP(B69,'Product Variant'!$A:$A,'Product Variant'!$B:$B,"NOT FOUND")</f>
        <v>PRODUCT-00033</v>
      </c>
      <c r="D69" s="10" t="str">
        <f>_xlfn.XLOOKUP(B69,'Product Variant'!$A:$A,'Product Variant'!$C:$C,"NOT FOUND")</f>
        <v>[Yafho] Gạc xốp hút dịch chống loét có viền dính silicone (18cmx18cm)</v>
      </c>
      <c r="E69" s="10" t="str" cm="1">
        <f t="array" ref="E69">_xlfn.TEXTJOIN(" / ",TRUE,_xlfn.XLOOKUP(B69&amp;"|ATTR-27",'Product Variant Attribute'!$A$2:$A$2000&amp;"|"&amp;'Product Variant Attribute'!$D$2:$D$2000,'Product Variant Attribute'!$F$2:$F$2000,""),_xlfn.XLOOKUP(B69&amp;"|ATTR-24",'Product Variant Attribute'!$A$2:$A$2000&amp;"|"&amp;'Product Variant Attribute'!$D$2:$D$2000,'Product Variant Attribute'!$F$2:$F$2000,""))</f>
        <v/>
      </c>
      <c r="F69" s="11" t="s">
        <v>817</v>
      </c>
      <c r="G69" s="11" t="s">
        <v>841</v>
      </c>
      <c r="H69" s="13">
        <f t="shared" si="2"/>
        <v>1</v>
      </c>
      <c r="I69" s="16" t="str">
        <f>_xlfn.XLOOKUP(C69,Product!$A:$A,Product!$G:$G,"NOT FOUND")</f>
        <v>miếng</v>
      </c>
      <c r="J69" s="20">
        <v>150000</v>
      </c>
      <c r="K69" s="15" t="s">
        <v>1323</v>
      </c>
      <c r="L69" s="21">
        <v>259</v>
      </c>
      <c r="M69" s="10" t="s">
        <v>895</v>
      </c>
      <c r="N69" s="12">
        <v>234</v>
      </c>
      <c r="O69" t="str">
        <f t="shared" si="3"/>
        <v>INSERT INTO public.medical_supply_sellable_unit (code, price, quantity, sale_uom, product_variant_code) VALUES ('PRODUCT-00033-001-01', 150000, 1, 'Túi', 'PRODUCT-00033-001');</v>
      </c>
    </row>
    <row r="70" spans="1:15" x14ac:dyDescent="0.25">
      <c r="A70" s="10" t="str">
        <f>B70&amp;"-"&amp;TEXT(COUNTIF(B$2:B70,B70),"00")</f>
        <v>PRODUCT-00034-001-01</v>
      </c>
      <c r="B70" s="11" t="s">
        <v>1695</v>
      </c>
      <c r="C70" s="10" t="str">
        <f>_xlfn.XLOOKUP(B70,'Product Variant'!$A:$A,'Product Variant'!$B:$B,"NOT FOUND")</f>
        <v>PRODUCT-00034</v>
      </c>
      <c r="D70" s="10" t="str">
        <f>_xlfn.XLOOKUP(B70,'Product Variant'!$A:$A,'Product Variant'!$C:$C,"NOT FOUND")</f>
        <v>[Young Chemical Vina] Băng gạc vô trùng - Young Wound Dressing (6cmx7cm)</v>
      </c>
      <c r="E70" s="10" t="str" cm="1">
        <f t="array" ref="E70">_xlfn.TEXTJOIN(" / ",TRUE,_xlfn.XLOOKUP(B70&amp;"|ATTR-27",'Product Variant Attribute'!$A$2:$A$2000&amp;"|"&amp;'Product Variant Attribute'!$D$2:$D$2000,'Product Variant Attribute'!$F$2:$F$2000,""),_xlfn.XLOOKUP(B70&amp;"|ATTR-24",'Product Variant Attribute'!$A$2:$A$2000&amp;"|"&amp;'Product Variant Attribute'!$D$2:$D$2000,'Product Variant Attribute'!$F$2:$F$2000,""))</f>
        <v/>
      </c>
      <c r="F70" s="11" t="s">
        <v>817</v>
      </c>
      <c r="G70" s="11" t="s">
        <v>841</v>
      </c>
      <c r="H70" s="13">
        <f t="shared" si="2"/>
        <v>1</v>
      </c>
      <c r="I70" s="16" t="str">
        <f>_xlfn.XLOOKUP(C70,Product!$A:$A,Product!$G:$G,"NOT FOUND")</f>
        <v>miếng</v>
      </c>
      <c r="J70" s="22">
        <v>3600</v>
      </c>
      <c r="K70" s="15" t="s">
        <v>1332</v>
      </c>
      <c r="L70" s="21" t="s">
        <v>1333</v>
      </c>
      <c r="M70" s="10" t="s">
        <v>896</v>
      </c>
      <c r="N70" s="12" t="s">
        <v>1254</v>
      </c>
      <c r="O70" t="str">
        <f t="shared" si="3"/>
        <v>INSERT INTO public.medical_supply_sellable_unit (code, price, quantity, sale_uom, product_variant_code) VALUES ('PRODUCT-00034-001-01', 3600, 1, 'Túi', 'PRODUCT-00034-001');</v>
      </c>
    </row>
    <row r="71" spans="1:15" x14ac:dyDescent="0.25">
      <c r="A71" s="10" t="str">
        <f>B71&amp;"-"&amp;TEXT(COUNTIF(B$2:B71,B71),"00")</f>
        <v>PRODUCT-00034-001-02</v>
      </c>
      <c r="B71" s="11" t="s">
        <v>1695</v>
      </c>
      <c r="C71" s="10" t="str">
        <f>_xlfn.XLOOKUP(B71,'Product Variant'!$A:$A,'Product Variant'!$B:$B,"NOT FOUND")</f>
        <v>PRODUCT-00034</v>
      </c>
      <c r="D71" s="10" t="str">
        <f>_xlfn.XLOOKUP(B71,'Product Variant'!$A:$A,'Product Variant'!$C:$C,"NOT FOUND")</f>
        <v>[Young Chemical Vina] Băng gạc vô trùng - Young Wound Dressing (6cmx7cm)</v>
      </c>
      <c r="E71" s="10" t="str" cm="1">
        <f t="array" ref="E71">_xlfn.TEXTJOIN(" / ",TRUE,_xlfn.XLOOKUP(B71&amp;"|ATTR-27",'Product Variant Attribute'!$A$2:$A$2000&amp;"|"&amp;'Product Variant Attribute'!$D$2:$D$2000,'Product Variant Attribute'!$F$2:$F$2000,""),_xlfn.XLOOKUP(B71&amp;"|ATTR-24",'Product Variant Attribute'!$A$2:$A$2000&amp;"|"&amp;'Product Variant Attribute'!$D$2:$D$2000,'Product Variant Attribute'!$F$2:$F$2000,""))</f>
        <v/>
      </c>
      <c r="F71" s="11" t="s">
        <v>816</v>
      </c>
      <c r="G71" s="11" t="s">
        <v>897</v>
      </c>
      <c r="H71" s="13">
        <f t="shared" si="2"/>
        <v>50</v>
      </c>
      <c r="I71" s="16" t="str">
        <f>_xlfn.XLOOKUP(C71,Product!$A:$A,Product!$G:$G,"NOT FOUND")</f>
        <v>miếng</v>
      </c>
      <c r="J71" s="20">
        <v>160000</v>
      </c>
      <c r="K71" s="15" t="s">
        <v>1327</v>
      </c>
      <c r="L71" s="21">
        <v>101</v>
      </c>
      <c r="M71" s="10" t="s">
        <v>898</v>
      </c>
      <c r="N71" s="12">
        <v>21</v>
      </c>
      <c r="O71" t="str">
        <f t="shared" si="3"/>
        <v>INSERT INTO public.medical_supply_sellable_unit (code, price, quantity, sale_uom, product_variant_code) VALUES ('PRODUCT-00034-001-02', 160000, 50, 'Hộp', 'PRODUCT-00034-001');</v>
      </c>
    </row>
    <row r="72" spans="1:15" x14ac:dyDescent="0.25">
      <c r="A72" s="10" t="str">
        <f>B72&amp;"-"&amp;TEXT(COUNTIF(B$2:B72,B72),"00")</f>
        <v>PRODUCT-00276-001-01</v>
      </c>
      <c r="B72" s="11" t="s">
        <v>1696</v>
      </c>
      <c r="C72" s="10" t="str">
        <f>_xlfn.XLOOKUP(B72,'Product Variant'!$A:$A,'Product Variant'!$B:$B,"NOT FOUND")</f>
        <v>PRODUCT-00276</v>
      </c>
      <c r="D72" s="10" t="str">
        <f>_xlfn.XLOOKUP(B72,'Product Variant'!$A:$A,'Product Variant'!$C:$C,"NOT FOUND")</f>
        <v>[Young Chemical Vina] Băng gạc vô trùng - Young Wound Dressing (6cmx10cm)</v>
      </c>
      <c r="E72" s="10" t="str" cm="1">
        <f t="array" ref="E72">_xlfn.TEXTJOIN(" / ",TRUE,_xlfn.XLOOKUP(B72&amp;"|ATTR-27",'Product Variant Attribute'!$A$2:$A$2000&amp;"|"&amp;'Product Variant Attribute'!$D$2:$D$2000,'Product Variant Attribute'!$F$2:$F$2000,""),_xlfn.XLOOKUP(B72&amp;"|ATTR-24",'Product Variant Attribute'!$A$2:$A$2000&amp;"|"&amp;'Product Variant Attribute'!$D$2:$D$2000,'Product Variant Attribute'!$F$2:$F$2000,""))</f>
        <v/>
      </c>
      <c r="F72" s="11" t="s">
        <v>817</v>
      </c>
      <c r="G72" s="11" t="s">
        <v>841</v>
      </c>
      <c r="H72" s="13">
        <f t="shared" si="2"/>
        <v>1</v>
      </c>
      <c r="I72" s="16" t="str">
        <f>_xlfn.XLOOKUP(C72,Product!$A:$A,Product!$G:$G,"NOT FOUND")</f>
        <v>miếng</v>
      </c>
      <c r="J72" s="20">
        <v>5200</v>
      </c>
      <c r="K72" s="15" t="s">
        <v>1334</v>
      </c>
      <c r="L72" s="21" t="s">
        <v>1335</v>
      </c>
      <c r="M72" s="10" t="s">
        <v>896</v>
      </c>
      <c r="N72" s="12" t="s">
        <v>1255</v>
      </c>
      <c r="O72" t="str">
        <f t="shared" si="3"/>
        <v>INSERT INTO public.medical_supply_sellable_unit (code, price, quantity, sale_uom, product_variant_code) VALUES ('PRODUCT-00276-001-01', 5200, 1, 'Túi', 'PRODUCT-00276-001');</v>
      </c>
    </row>
    <row r="73" spans="1:15" x14ac:dyDescent="0.25">
      <c r="A73" s="10" t="str">
        <f>B73&amp;"-"&amp;TEXT(COUNTIF(B$2:B73,B73),"00")</f>
        <v>PRODUCT-00276-001-02</v>
      </c>
      <c r="B73" s="11" t="s">
        <v>1696</v>
      </c>
      <c r="C73" s="10" t="str">
        <f>_xlfn.XLOOKUP(B73,'Product Variant'!$A:$A,'Product Variant'!$B:$B,"NOT FOUND")</f>
        <v>PRODUCT-00276</v>
      </c>
      <c r="D73" s="10" t="str">
        <f>_xlfn.XLOOKUP(B73,'Product Variant'!$A:$A,'Product Variant'!$C:$C,"NOT FOUND")</f>
        <v>[Young Chemical Vina] Băng gạc vô trùng - Young Wound Dressing (6cmx10cm)</v>
      </c>
      <c r="E73" s="10" t="str" cm="1">
        <f t="array" ref="E73">_xlfn.TEXTJOIN(" / ",TRUE,_xlfn.XLOOKUP(B73&amp;"|ATTR-27",'Product Variant Attribute'!$A$2:$A$2000&amp;"|"&amp;'Product Variant Attribute'!$D$2:$D$2000,'Product Variant Attribute'!$F$2:$F$2000,""),_xlfn.XLOOKUP(B73&amp;"|ATTR-24",'Product Variant Attribute'!$A$2:$A$2000&amp;"|"&amp;'Product Variant Attribute'!$D$2:$D$2000,'Product Variant Attribute'!$F$2:$F$2000,""))</f>
        <v/>
      </c>
      <c r="F73" s="11" t="s">
        <v>816</v>
      </c>
      <c r="G73" s="11" t="s">
        <v>897</v>
      </c>
      <c r="H73" s="13">
        <f t="shared" si="2"/>
        <v>50</v>
      </c>
      <c r="I73" s="16" t="str">
        <f>_xlfn.XLOOKUP(C73,Product!$A:$A,Product!$G:$G,"NOT FOUND")</f>
        <v>miếng</v>
      </c>
      <c r="J73" s="22">
        <v>240000</v>
      </c>
      <c r="K73" s="15" t="s">
        <v>1336</v>
      </c>
      <c r="L73" s="21" t="s">
        <v>1337</v>
      </c>
      <c r="M73" s="10" t="s">
        <v>898</v>
      </c>
      <c r="N73" s="12" t="s">
        <v>1256</v>
      </c>
      <c r="O73" t="str">
        <f t="shared" si="3"/>
        <v>INSERT INTO public.medical_supply_sellable_unit (code, price, quantity, sale_uom, product_variant_code) VALUES ('PRODUCT-00276-001-02', 240000, 50, 'Hộp', 'PRODUCT-00276-001');</v>
      </c>
    </row>
    <row r="74" spans="1:15" x14ac:dyDescent="0.25">
      <c r="A74" s="10" t="str">
        <f>B74&amp;"-"&amp;TEXT(COUNTIF(B$2:B74,B74),"00")</f>
        <v>PRODUCT-00277-001-01</v>
      </c>
      <c r="B74" s="11" t="s">
        <v>1697</v>
      </c>
      <c r="C74" s="10" t="str">
        <f>_xlfn.XLOOKUP(B74,'Product Variant'!$A:$A,'Product Variant'!$B:$B,"NOT FOUND")</f>
        <v>PRODUCT-00277</v>
      </c>
      <c r="D74" s="10" t="str">
        <f>_xlfn.XLOOKUP(B74,'Product Variant'!$A:$A,'Product Variant'!$C:$C,"NOT FOUND")</f>
        <v>[Young Chemical Vina] Băng gạc vô trùng - Young Wound Dressing (9cmx10cm)</v>
      </c>
      <c r="E74" s="10" t="str" cm="1">
        <f t="array" ref="E74">_xlfn.TEXTJOIN(" / ",TRUE,_xlfn.XLOOKUP(B74&amp;"|ATTR-27",'Product Variant Attribute'!$A$2:$A$2000&amp;"|"&amp;'Product Variant Attribute'!$D$2:$D$2000,'Product Variant Attribute'!$F$2:$F$2000,""),_xlfn.XLOOKUP(B74&amp;"|ATTR-24",'Product Variant Attribute'!$A$2:$A$2000&amp;"|"&amp;'Product Variant Attribute'!$D$2:$D$2000,'Product Variant Attribute'!$F$2:$F$2000,""))</f>
        <v/>
      </c>
      <c r="F74" s="11" t="s">
        <v>817</v>
      </c>
      <c r="G74" s="11" t="s">
        <v>841</v>
      </c>
      <c r="H74" s="13">
        <f t="shared" si="2"/>
        <v>1</v>
      </c>
      <c r="I74" s="16" t="str">
        <f>_xlfn.XLOOKUP(C74,Product!$A:$A,Product!$G:$G,"NOT FOUND")</f>
        <v>miếng</v>
      </c>
      <c r="J74" s="20">
        <v>6500</v>
      </c>
      <c r="K74" s="15" t="s">
        <v>1334</v>
      </c>
      <c r="L74" s="21" t="s">
        <v>1338</v>
      </c>
      <c r="M74" s="10" t="s">
        <v>896</v>
      </c>
      <c r="N74" s="12" t="s">
        <v>1257</v>
      </c>
      <c r="O74" t="str">
        <f t="shared" si="3"/>
        <v>INSERT INTO public.medical_supply_sellable_unit (code, price, quantity, sale_uom, product_variant_code) VALUES ('PRODUCT-00277-001-01', 6500, 1, 'Túi', 'PRODUCT-00277-001');</v>
      </c>
    </row>
    <row r="75" spans="1:15" x14ac:dyDescent="0.25">
      <c r="A75" s="10" t="str">
        <f>B75&amp;"-"&amp;TEXT(COUNTIF(B$2:B75,B75),"00")</f>
        <v>PRODUCT-00277-001-02</v>
      </c>
      <c r="B75" s="11" t="s">
        <v>1697</v>
      </c>
      <c r="C75" s="10" t="str">
        <f>_xlfn.XLOOKUP(B75,'Product Variant'!$A:$A,'Product Variant'!$B:$B,"NOT FOUND")</f>
        <v>PRODUCT-00277</v>
      </c>
      <c r="D75" s="10" t="str">
        <f>_xlfn.XLOOKUP(B75,'Product Variant'!$A:$A,'Product Variant'!$C:$C,"NOT FOUND")</f>
        <v>[Young Chemical Vina] Băng gạc vô trùng - Young Wound Dressing (9cmx10cm)</v>
      </c>
      <c r="E75" s="10" t="str" cm="1">
        <f t="array" ref="E75">_xlfn.TEXTJOIN(" / ",TRUE,_xlfn.XLOOKUP(B75&amp;"|ATTR-27",'Product Variant Attribute'!$A$2:$A$2000&amp;"|"&amp;'Product Variant Attribute'!$D$2:$D$2000,'Product Variant Attribute'!$F$2:$F$2000,""),_xlfn.XLOOKUP(B75&amp;"|ATTR-24",'Product Variant Attribute'!$A$2:$A$2000&amp;"|"&amp;'Product Variant Attribute'!$D$2:$D$2000,'Product Variant Attribute'!$F$2:$F$2000,""))</f>
        <v/>
      </c>
      <c r="F75" s="11" t="s">
        <v>816</v>
      </c>
      <c r="G75" s="11" t="s">
        <v>897</v>
      </c>
      <c r="H75" s="13">
        <f t="shared" si="2"/>
        <v>50</v>
      </c>
      <c r="I75" s="16" t="str">
        <f>_xlfn.XLOOKUP(C75,Product!$A:$A,Product!$G:$G,"NOT FOUND")</f>
        <v>miếng</v>
      </c>
      <c r="J75" s="20">
        <v>305000</v>
      </c>
      <c r="K75" s="15" t="s">
        <v>1334</v>
      </c>
      <c r="L75" s="21" t="s">
        <v>1339</v>
      </c>
      <c r="M75" s="10" t="s">
        <v>898</v>
      </c>
      <c r="N75" s="12" t="s">
        <v>1258</v>
      </c>
      <c r="O75" t="str">
        <f t="shared" si="3"/>
        <v>INSERT INTO public.medical_supply_sellable_unit (code, price, quantity, sale_uom, product_variant_code) VALUES ('PRODUCT-00277-001-02', 305000, 50, 'Hộp', 'PRODUCT-00277-001');</v>
      </c>
    </row>
    <row r="76" spans="1:15" x14ac:dyDescent="0.25">
      <c r="A76" s="10" t="str">
        <f>B76&amp;"-"&amp;TEXT(COUNTIF(B$2:B76,B76),"00")</f>
        <v>PRODUCT-00278-001-01</v>
      </c>
      <c r="B76" s="11" t="s">
        <v>1698</v>
      </c>
      <c r="C76" s="10" t="str">
        <f>_xlfn.XLOOKUP(B76,'Product Variant'!$A:$A,'Product Variant'!$B:$B,"NOT FOUND")</f>
        <v>PRODUCT-00278</v>
      </c>
      <c r="D76" s="10" t="str">
        <f>_xlfn.XLOOKUP(B76,'Product Variant'!$A:$A,'Product Variant'!$C:$C,"NOT FOUND")</f>
        <v>[Young Chemical Vina] Băng gạc vô trùng - Young Wound Dressing (9cmx15cm)</v>
      </c>
      <c r="E76" s="10" t="str" cm="1">
        <f t="array" ref="E76">_xlfn.TEXTJOIN(" / ",TRUE,_xlfn.XLOOKUP(B76&amp;"|ATTR-27",'Product Variant Attribute'!$A$2:$A$2000&amp;"|"&amp;'Product Variant Attribute'!$D$2:$D$2000,'Product Variant Attribute'!$F$2:$F$2000,""),_xlfn.XLOOKUP(B76&amp;"|ATTR-24",'Product Variant Attribute'!$A$2:$A$2000&amp;"|"&amp;'Product Variant Attribute'!$D$2:$D$2000,'Product Variant Attribute'!$F$2:$F$2000,""))</f>
        <v/>
      </c>
      <c r="F76" s="11" t="s">
        <v>817</v>
      </c>
      <c r="G76" s="11" t="s">
        <v>841</v>
      </c>
      <c r="H76" s="13">
        <f t="shared" si="2"/>
        <v>1</v>
      </c>
      <c r="I76" s="16" t="str">
        <f>_xlfn.XLOOKUP(C76,Product!$A:$A,Product!$G:$G,"NOT FOUND")</f>
        <v>miếng</v>
      </c>
      <c r="J76" s="20">
        <v>8500</v>
      </c>
      <c r="K76" s="15" t="s">
        <v>1334</v>
      </c>
      <c r="L76" s="21" t="s">
        <v>1340</v>
      </c>
      <c r="M76" s="10" t="s">
        <v>896</v>
      </c>
      <c r="N76" s="12" t="s">
        <v>1259</v>
      </c>
      <c r="O76" t="str">
        <f t="shared" si="3"/>
        <v>INSERT INTO public.medical_supply_sellable_unit (code, price, quantity, sale_uom, product_variant_code) VALUES ('PRODUCT-00278-001-01', 8500, 1, 'Túi', 'PRODUCT-00278-001');</v>
      </c>
    </row>
    <row r="77" spans="1:15" x14ac:dyDescent="0.25">
      <c r="A77" s="10" t="str">
        <f>B77&amp;"-"&amp;TEXT(COUNTIF(B$2:B77,B77),"00")</f>
        <v>PRODUCT-00278-001-02</v>
      </c>
      <c r="B77" s="11" t="s">
        <v>1698</v>
      </c>
      <c r="C77" s="10" t="str">
        <f>_xlfn.XLOOKUP(B77,'Product Variant'!$A:$A,'Product Variant'!$B:$B,"NOT FOUND")</f>
        <v>PRODUCT-00278</v>
      </c>
      <c r="D77" s="10" t="str">
        <f>_xlfn.XLOOKUP(B77,'Product Variant'!$A:$A,'Product Variant'!$C:$C,"NOT FOUND")</f>
        <v>[Young Chemical Vina] Băng gạc vô trùng - Young Wound Dressing (9cmx15cm)</v>
      </c>
      <c r="E77" s="10" t="str" cm="1">
        <f t="array" ref="E77">_xlfn.TEXTJOIN(" / ",TRUE,_xlfn.XLOOKUP(B77&amp;"|ATTR-27",'Product Variant Attribute'!$A$2:$A$2000&amp;"|"&amp;'Product Variant Attribute'!$D$2:$D$2000,'Product Variant Attribute'!$F$2:$F$2000,""),_xlfn.XLOOKUP(B77&amp;"|ATTR-24",'Product Variant Attribute'!$A$2:$A$2000&amp;"|"&amp;'Product Variant Attribute'!$D$2:$D$2000,'Product Variant Attribute'!$F$2:$F$2000,""))</f>
        <v/>
      </c>
      <c r="F77" s="11" t="s">
        <v>816</v>
      </c>
      <c r="G77" s="11" t="s">
        <v>897</v>
      </c>
      <c r="H77" s="13">
        <f t="shared" si="2"/>
        <v>50</v>
      </c>
      <c r="I77" s="16" t="str">
        <f>_xlfn.XLOOKUP(C77,Product!$A:$A,Product!$G:$G,"NOT FOUND")</f>
        <v>miếng</v>
      </c>
      <c r="J77" s="20">
        <v>405000</v>
      </c>
      <c r="K77" s="15" t="s">
        <v>1334</v>
      </c>
      <c r="L77" s="21" t="s">
        <v>1341</v>
      </c>
      <c r="M77" s="10" t="s">
        <v>898</v>
      </c>
      <c r="N77" s="12" t="s">
        <v>1260</v>
      </c>
      <c r="O77" t="str">
        <f t="shared" si="3"/>
        <v>INSERT INTO public.medical_supply_sellable_unit (code, price, quantity, sale_uom, product_variant_code) VALUES ('PRODUCT-00278-001-02', 405000, 50, 'Hộp', 'PRODUCT-00278-001');</v>
      </c>
    </row>
    <row r="78" spans="1:15" x14ac:dyDescent="0.25">
      <c r="A78" s="10" t="str">
        <f>B78&amp;"-"&amp;TEXT(COUNTIF(B$2:B78,B78),"00")</f>
        <v>PRODUCT-00279-001-01</v>
      </c>
      <c r="B78" s="11" t="s">
        <v>1699</v>
      </c>
      <c r="C78" s="10" t="str">
        <f>_xlfn.XLOOKUP(B78,'Product Variant'!$A:$A,'Product Variant'!$B:$B,"NOT FOUND")</f>
        <v>PRODUCT-00279</v>
      </c>
      <c r="D78" s="10" t="str">
        <f>_xlfn.XLOOKUP(B78,'Product Variant'!$A:$A,'Product Variant'!$C:$C,"NOT FOUND")</f>
        <v>[Young Chemical Vina] Băng gạc vô trùng - Young Wound Dressing (9cmx20cm)</v>
      </c>
      <c r="E78" s="10" t="str" cm="1">
        <f t="array" ref="E78">_xlfn.TEXTJOIN(" / ",TRUE,_xlfn.XLOOKUP(B78&amp;"|ATTR-27",'Product Variant Attribute'!$A$2:$A$2000&amp;"|"&amp;'Product Variant Attribute'!$D$2:$D$2000,'Product Variant Attribute'!$F$2:$F$2000,""),_xlfn.XLOOKUP(B78&amp;"|ATTR-24",'Product Variant Attribute'!$A$2:$A$2000&amp;"|"&amp;'Product Variant Attribute'!$D$2:$D$2000,'Product Variant Attribute'!$F$2:$F$2000,""))</f>
        <v/>
      </c>
      <c r="F78" s="11" t="s">
        <v>817</v>
      </c>
      <c r="G78" s="11" t="s">
        <v>841</v>
      </c>
      <c r="H78" s="13">
        <f t="shared" si="2"/>
        <v>1</v>
      </c>
      <c r="I78" s="16" t="str">
        <f>_xlfn.XLOOKUP(C78,Product!$A:$A,Product!$G:$G,"NOT FOUND")</f>
        <v>miếng</v>
      </c>
      <c r="J78" s="20">
        <v>10000</v>
      </c>
      <c r="K78" s="15" t="s">
        <v>1334</v>
      </c>
      <c r="L78" s="21" t="s">
        <v>1342</v>
      </c>
      <c r="M78" s="10" t="s">
        <v>896</v>
      </c>
      <c r="N78" s="12" t="s">
        <v>1261</v>
      </c>
      <c r="O78" t="str">
        <f t="shared" si="3"/>
        <v>INSERT INTO public.medical_supply_sellable_unit (code, price, quantity, sale_uom, product_variant_code) VALUES ('PRODUCT-00279-001-01', 10000, 1, 'Túi', 'PRODUCT-00279-001');</v>
      </c>
    </row>
    <row r="79" spans="1:15" x14ac:dyDescent="0.25">
      <c r="A79" s="10" t="str">
        <f>B79&amp;"-"&amp;TEXT(COUNTIF(B$2:B79,B79),"00")</f>
        <v>PRODUCT-00279-001-02</v>
      </c>
      <c r="B79" s="11" t="s">
        <v>1699</v>
      </c>
      <c r="C79" s="10" t="str">
        <f>_xlfn.XLOOKUP(B79,'Product Variant'!$A:$A,'Product Variant'!$B:$B,"NOT FOUND")</f>
        <v>PRODUCT-00279</v>
      </c>
      <c r="D79" s="10" t="str">
        <f>_xlfn.XLOOKUP(B79,'Product Variant'!$A:$A,'Product Variant'!$C:$C,"NOT FOUND")</f>
        <v>[Young Chemical Vina] Băng gạc vô trùng - Young Wound Dressing (9cmx20cm)</v>
      </c>
      <c r="E79" s="10" t="str" cm="1">
        <f t="array" ref="E79">_xlfn.TEXTJOIN(" / ",TRUE,_xlfn.XLOOKUP(B79&amp;"|ATTR-27",'Product Variant Attribute'!$A$2:$A$2000&amp;"|"&amp;'Product Variant Attribute'!$D$2:$D$2000,'Product Variant Attribute'!$F$2:$F$2000,""),_xlfn.XLOOKUP(B79&amp;"|ATTR-24",'Product Variant Attribute'!$A$2:$A$2000&amp;"|"&amp;'Product Variant Attribute'!$D$2:$D$2000,'Product Variant Attribute'!$F$2:$F$2000,""))</f>
        <v/>
      </c>
      <c r="F79" s="11" t="s">
        <v>816</v>
      </c>
      <c r="G79" s="11" t="s">
        <v>897</v>
      </c>
      <c r="H79" s="13">
        <f t="shared" si="2"/>
        <v>50</v>
      </c>
      <c r="I79" s="16" t="str">
        <f>_xlfn.XLOOKUP(C79,Product!$A:$A,Product!$G:$G,"NOT FOUND")</f>
        <v>miếng</v>
      </c>
      <c r="J79" s="20">
        <v>480000</v>
      </c>
      <c r="K79" s="15" t="s">
        <v>1334</v>
      </c>
      <c r="L79" s="21" t="s">
        <v>1343</v>
      </c>
      <c r="M79" s="10" t="s">
        <v>898</v>
      </c>
      <c r="N79" s="12" t="s">
        <v>1262</v>
      </c>
      <c r="O79" t="str">
        <f t="shared" si="3"/>
        <v>INSERT INTO public.medical_supply_sellable_unit (code, price, quantity, sale_uom, product_variant_code) VALUES ('PRODUCT-00279-001-02', 480000, 50, 'Hộp', 'PRODUCT-00279-001');</v>
      </c>
    </row>
    <row r="80" spans="1:15" x14ac:dyDescent="0.25">
      <c r="A80" s="10" t="str">
        <f>B80&amp;"-"&amp;TEXT(COUNTIF(B$2:B80,B80),"00")</f>
        <v>PRODUCT-00280-001-01</v>
      </c>
      <c r="B80" s="11" t="s">
        <v>1700</v>
      </c>
      <c r="C80" s="10" t="str">
        <f>_xlfn.XLOOKUP(B80,'Product Variant'!$A:$A,'Product Variant'!$B:$B,"NOT FOUND")</f>
        <v>PRODUCT-00280</v>
      </c>
      <c r="D80" s="10" t="str">
        <f>_xlfn.XLOOKUP(B80,'Product Variant'!$A:$A,'Product Variant'!$C:$C,"NOT FOUND")</f>
        <v>[Young Chemical Vina] Băng gạc vô trùng - Young Wound Dressing (9cmx25cm)</v>
      </c>
      <c r="E80" s="10" t="str" cm="1">
        <f t="array" ref="E80">_xlfn.TEXTJOIN(" / ",TRUE,_xlfn.XLOOKUP(B80&amp;"|ATTR-27",'Product Variant Attribute'!$A$2:$A$2000&amp;"|"&amp;'Product Variant Attribute'!$D$2:$D$2000,'Product Variant Attribute'!$F$2:$F$2000,""),_xlfn.XLOOKUP(B80&amp;"|ATTR-24",'Product Variant Attribute'!$A$2:$A$2000&amp;"|"&amp;'Product Variant Attribute'!$D$2:$D$2000,'Product Variant Attribute'!$F$2:$F$2000,""))</f>
        <v/>
      </c>
      <c r="F80" s="11" t="s">
        <v>817</v>
      </c>
      <c r="G80" s="11" t="s">
        <v>841</v>
      </c>
      <c r="H80" s="13">
        <f t="shared" si="2"/>
        <v>1</v>
      </c>
      <c r="I80" s="16" t="str">
        <f>_xlfn.XLOOKUP(C80,Product!$A:$A,Product!$G:$G,"NOT FOUND")</f>
        <v>miếng</v>
      </c>
      <c r="J80" s="20">
        <v>11000</v>
      </c>
      <c r="K80" s="15" t="s">
        <v>1334</v>
      </c>
      <c r="L80" s="21" t="s">
        <v>1344</v>
      </c>
      <c r="M80" s="10" t="s">
        <v>896</v>
      </c>
      <c r="N80" s="12" t="s">
        <v>1263</v>
      </c>
      <c r="O80" t="str">
        <f t="shared" si="3"/>
        <v>INSERT INTO public.medical_supply_sellable_unit (code, price, quantity, sale_uom, product_variant_code) VALUES ('PRODUCT-00280-001-01', 11000, 1, 'Túi', 'PRODUCT-00280-001');</v>
      </c>
    </row>
    <row r="81" spans="1:15" x14ac:dyDescent="0.25">
      <c r="A81" s="10" t="str">
        <f>B81&amp;"-"&amp;TEXT(COUNTIF(B$2:B81,B81),"00")</f>
        <v>PRODUCT-00280-001-02</v>
      </c>
      <c r="B81" s="11" t="s">
        <v>1700</v>
      </c>
      <c r="C81" s="10" t="str">
        <f>_xlfn.XLOOKUP(B81,'Product Variant'!$A:$A,'Product Variant'!$B:$B,"NOT FOUND")</f>
        <v>PRODUCT-00280</v>
      </c>
      <c r="D81" s="10" t="str">
        <f>_xlfn.XLOOKUP(B81,'Product Variant'!$A:$A,'Product Variant'!$C:$C,"NOT FOUND")</f>
        <v>[Young Chemical Vina] Băng gạc vô trùng - Young Wound Dressing (9cmx25cm)</v>
      </c>
      <c r="E81" s="10" t="str" cm="1">
        <f t="array" ref="E81">_xlfn.TEXTJOIN(" / ",TRUE,_xlfn.XLOOKUP(B81&amp;"|ATTR-27",'Product Variant Attribute'!$A$2:$A$2000&amp;"|"&amp;'Product Variant Attribute'!$D$2:$D$2000,'Product Variant Attribute'!$F$2:$F$2000,""),_xlfn.XLOOKUP(B81&amp;"|ATTR-24",'Product Variant Attribute'!$A$2:$A$2000&amp;"|"&amp;'Product Variant Attribute'!$D$2:$D$2000,'Product Variant Attribute'!$F$2:$F$2000,""))</f>
        <v/>
      </c>
      <c r="F81" s="11" t="s">
        <v>816</v>
      </c>
      <c r="G81" s="11" t="s">
        <v>897</v>
      </c>
      <c r="H81" s="13">
        <f t="shared" si="2"/>
        <v>50</v>
      </c>
      <c r="I81" s="16" t="str">
        <f>_xlfn.XLOOKUP(C81,Product!$A:$A,Product!$G:$G,"NOT FOUND")</f>
        <v>miếng</v>
      </c>
      <c r="J81" s="20">
        <v>530000</v>
      </c>
      <c r="K81" s="15" t="s">
        <v>1334</v>
      </c>
      <c r="L81" s="21" t="s">
        <v>1345</v>
      </c>
      <c r="M81" s="10" t="s">
        <v>898</v>
      </c>
      <c r="N81" s="12" t="s">
        <v>1264</v>
      </c>
      <c r="O81" t="str">
        <f t="shared" si="3"/>
        <v>INSERT INTO public.medical_supply_sellable_unit (code, price, quantity, sale_uom, product_variant_code) VALUES ('PRODUCT-00280-001-02', 530000, 50, 'Hộp', 'PRODUCT-00280-001');</v>
      </c>
    </row>
    <row r="82" spans="1:15" x14ac:dyDescent="0.25">
      <c r="A82" s="10" t="str">
        <f>B82&amp;"-"&amp;TEXT(COUNTIF(B$2:B82,B82),"00")</f>
        <v>PRODUCT-00281-001-01</v>
      </c>
      <c r="B82" s="11" t="s">
        <v>1701</v>
      </c>
      <c r="C82" s="10" t="str">
        <f>_xlfn.XLOOKUP(B82,'Product Variant'!$A:$A,'Product Variant'!$B:$B,"NOT FOUND")</f>
        <v>PRODUCT-00281</v>
      </c>
      <c r="D82" s="10" t="str">
        <f>_xlfn.XLOOKUP(B82,'Product Variant'!$A:$A,'Product Variant'!$C:$C,"NOT FOUND")</f>
        <v>[Young Chemical Vina] Băng gạc vô trùng - Young Wound Dressing (9cmx30cm)</v>
      </c>
      <c r="E82" s="10" t="str" cm="1">
        <f t="array" ref="E82">_xlfn.TEXTJOIN(" / ",TRUE,_xlfn.XLOOKUP(B82&amp;"|ATTR-27",'Product Variant Attribute'!$A$2:$A$2000&amp;"|"&amp;'Product Variant Attribute'!$D$2:$D$2000,'Product Variant Attribute'!$F$2:$F$2000,""),_xlfn.XLOOKUP(B82&amp;"|ATTR-24",'Product Variant Attribute'!$A$2:$A$2000&amp;"|"&amp;'Product Variant Attribute'!$D$2:$D$2000,'Product Variant Attribute'!$F$2:$F$2000,""))</f>
        <v/>
      </c>
      <c r="F82" s="11" t="s">
        <v>817</v>
      </c>
      <c r="G82" s="11" t="s">
        <v>841</v>
      </c>
      <c r="H82" s="13">
        <f t="shared" si="2"/>
        <v>1</v>
      </c>
      <c r="I82" s="16" t="str">
        <f>_xlfn.XLOOKUP(C82,Product!$A:$A,Product!$G:$G,"NOT FOUND")</f>
        <v>miếng</v>
      </c>
      <c r="J82" s="20">
        <v>13000</v>
      </c>
      <c r="K82" s="15" t="s">
        <v>1334</v>
      </c>
      <c r="L82" s="21" t="s">
        <v>1346</v>
      </c>
      <c r="M82" s="10" t="s">
        <v>896</v>
      </c>
      <c r="N82" s="12" t="s">
        <v>1265</v>
      </c>
      <c r="O82" t="str">
        <f t="shared" si="3"/>
        <v>INSERT INTO public.medical_supply_sellable_unit (code, price, quantity, sale_uom, product_variant_code) VALUES ('PRODUCT-00281-001-01', 13000, 1, 'Túi', 'PRODUCT-00281-001');</v>
      </c>
    </row>
    <row r="83" spans="1:15" x14ac:dyDescent="0.25">
      <c r="A83" s="10" t="str">
        <f>B83&amp;"-"&amp;TEXT(COUNTIF(B$2:B83,B83),"00")</f>
        <v>PRODUCT-00281-001-02</v>
      </c>
      <c r="B83" s="11" t="s">
        <v>1701</v>
      </c>
      <c r="C83" s="10" t="str">
        <f>_xlfn.XLOOKUP(B83,'Product Variant'!$A:$A,'Product Variant'!$B:$B,"NOT FOUND")</f>
        <v>PRODUCT-00281</v>
      </c>
      <c r="D83" s="10" t="str">
        <f>_xlfn.XLOOKUP(B83,'Product Variant'!$A:$A,'Product Variant'!$C:$C,"NOT FOUND")</f>
        <v>[Young Chemical Vina] Băng gạc vô trùng - Young Wound Dressing (9cmx30cm)</v>
      </c>
      <c r="E83" s="10" t="str" cm="1">
        <f t="array" ref="E83">_xlfn.TEXTJOIN(" / ",TRUE,_xlfn.XLOOKUP(B83&amp;"|ATTR-27",'Product Variant Attribute'!$A$2:$A$2000&amp;"|"&amp;'Product Variant Attribute'!$D$2:$D$2000,'Product Variant Attribute'!$F$2:$F$2000,""),_xlfn.XLOOKUP(B83&amp;"|ATTR-24",'Product Variant Attribute'!$A$2:$A$2000&amp;"|"&amp;'Product Variant Attribute'!$D$2:$D$2000,'Product Variant Attribute'!$F$2:$F$2000,""))</f>
        <v/>
      </c>
      <c r="F83" s="11" t="s">
        <v>816</v>
      </c>
      <c r="G83" s="11" t="s">
        <v>897</v>
      </c>
      <c r="H83" s="13">
        <f t="shared" si="2"/>
        <v>50</v>
      </c>
      <c r="I83" s="16" t="str">
        <f>_xlfn.XLOOKUP(C83,Product!$A:$A,Product!$G:$G,"NOT FOUND")</f>
        <v>miếng</v>
      </c>
      <c r="J83" s="20">
        <v>630000</v>
      </c>
      <c r="K83" s="15" t="s">
        <v>1334</v>
      </c>
      <c r="L83" s="21" t="s">
        <v>1347</v>
      </c>
      <c r="M83" s="10" t="s">
        <v>898</v>
      </c>
      <c r="N83" s="12" t="s">
        <v>1266</v>
      </c>
      <c r="O83" t="str">
        <f t="shared" si="3"/>
        <v>INSERT INTO public.medical_supply_sellable_unit (code, price, quantity, sale_uom, product_variant_code) VALUES ('PRODUCT-00281-001-02', 630000, 50, 'Hộp', 'PRODUCT-00281-001');</v>
      </c>
    </row>
    <row r="84" spans="1:15" x14ac:dyDescent="0.25">
      <c r="A84" s="10" t="str">
        <f>B84&amp;"-"&amp;TEXT(COUNTIF(B$2:B84,B84),"00")</f>
        <v>PRODUCT-00035-001-01</v>
      </c>
      <c r="B84" s="11" t="s">
        <v>1702</v>
      </c>
      <c r="C84" s="10" t="str">
        <f>_xlfn.XLOOKUP(B84,'Product Variant'!$A:$A,'Product Variant'!$B:$B,"NOT FOUND")</f>
        <v>PRODUCT-00035</v>
      </c>
      <c r="D84" s="10" t="str">
        <f>_xlfn.XLOOKUP(B84,'Product Variant'!$A:$A,'Product Variant'!$C:$C,"NOT FOUND")</f>
        <v>[Young Chemical Vina] Băng gạc vô trùng không thấm nước - Sterile Adflex (With-Pad) (6cmx7cm)</v>
      </c>
      <c r="E84" s="10" t="str" cm="1">
        <f t="array" ref="E84">_xlfn.TEXTJOIN(" / ",TRUE,_xlfn.XLOOKUP(B84&amp;"|ATTR-27",'Product Variant Attribute'!$A$2:$A$2000&amp;"|"&amp;'Product Variant Attribute'!$D$2:$D$2000,'Product Variant Attribute'!$F$2:$F$2000,""),_xlfn.XLOOKUP(B84&amp;"|ATTR-24",'Product Variant Attribute'!$A$2:$A$2000&amp;"|"&amp;'Product Variant Attribute'!$D$2:$D$2000,'Product Variant Attribute'!$F$2:$F$2000,""))</f>
        <v/>
      </c>
      <c r="F84" s="11" t="s">
        <v>817</v>
      </c>
      <c r="G84" s="11" t="s">
        <v>841</v>
      </c>
      <c r="H84" s="13">
        <f t="shared" si="2"/>
        <v>1</v>
      </c>
      <c r="I84" s="16" t="str">
        <f>_xlfn.XLOOKUP(C84,Product!$A:$A,Product!$G:$G,"NOT FOUND")</f>
        <v>miếng</v>
      </c>
      <c r="J84" s="20">
        <v>7000</v>
      </c>
      <c r="K84" s="15" t="s">
        <v>1334</v>
      </c>
      <c r="L84" s="21" t="s">
        <v>1348</v>
      </c>
      <c r="M84" s="10" t="s">
        <v>899</v>
      </c>
      <c r="N84" s="12" t="s">
        <v>1267</v>
      </c>
      <c r="O84" t="str">
        <f t="shared" si="3"/>
        <v>INSERT INTO public.medical_supply_sellable_unit (code, price, quantity, sale_uom, product_variant_code) VALUES ('PRODUCT-00035-001-01', 7000, 1, 'Túi', 'PRODUCT-00035-001');</v>
      </c>
    </row>
    <row r="85" spans="1:15" x14ac:dyDescent="0.25">
      <c r="A85" s="10" t="str">
        <f>B85&amp;"-"&amp;TEXT(COUNTIF(B$2:B85,B85),"00")</f>
        <v>PRODUCT-00035-001-02</v>
      </c>
      <c r="B85" s="11" t="s">
        <v>1702</v>
      </c>
      <c r="C85" s="10" t="str">
        <f>_xlfn.XLOOKUP(B85,'Product Variant'!$A:$A,'Product Variant'!$B:$B,"NOT FOUND")</f>
        <v>PRODUCT-00035</v>
      </c>
      <c r="D85" s="10" t="str">
        <f>_xlfn.XLOOKUP(B85,'Product Variant'!$A:$A,'Product Variant'!$C:$C,"NOT FOUND")</f>
        <v>[Young Chemical Vina] Băng gạc vô trùng không thấm nước - Sterile Adflex (With-Pad) (6cmx7cm)</v>
      </c>
      <c r="E85" s="10" t="str" cm="1">
        <f t="array" ref="E85">_xlfn.TEXTJOIN(" / ",TRUE,_xlfn.XLOOKUP(B85&amp;"|ATTR-27",'Product Variant Attribute'!$A$2:$A$2000&amp;"|"&amp;'Product Variant Attribute'!$D$2:$D$2000,'Product Variant Attribute'!$F$2:$F$2000,""),_xlfn.XLOOKUP(B85&amp;"|ATTR-24",'Product Variant Attribute'!$A$2:$A$2000&amp;"|"&amp;'Product Variant Attribute'!$D$2:$D$2000,'Product Variant Attribute'!$F$2:$F$2000,""))</f>
        <v/>
      </c>
      <c r="F85" s="11" t="s">
        <v>816</v>
      </c>
      <c r="G85" s="11" t="s">
        <v>897</v>
      </c>
      <c r="H85" s="13">
        <f t="shared" si="2"/>
        <v>50</v>
      </c>
      <c r="I85" s="16" t="str">
        <f>_xlfn.XLOOKUP(C85,Product!$A:$A,Product!$G:$G,"NOT FOUND")</f>
        <v>miếng</v>
      </c>
      <c r="J85" s="20">
        <v>340000</v>
      </c>
      <c r="K85" s="15" t="s">
        <v>1334</v>
      </c>
      <c r="L85" s="21" t="s">
        <v>1349</v>
      </c>
      <c r="M85" s="10" t="s">
        <v>900</v>
      </c>
      <c r="N85" s="12" t="s">
        <v>1268</v>
      </c>
      <c r="O85" t="str">
        <f t="shared" si="3"/>
        <v>INSERT INTO public.medical_supply_sellable_unit (code, price, quantity, sale_uom, product_variant_code) VALUES ('PRODUCT-00035-001-02', 340000, 50, 'Hộp', 'PRODUCT-00035-001');</v>
      </c>
    </row>
    <row r="86" spans="1:15" x14ac:dyDescent="0.25">
      <c r="A86" s="10" t="str">
        <f>B86&amp;"-"&amp;TEXT(COUNTIF(B$2:B86,B86),"00")</f>
        <v>PRODUCT-00282-001-01</v>
      </c>
      <c r="B86" s="11" t="s">
        <v>1703</v>
      </c>
      <c r="C86" s="10" t="str">
        <f>_xlfn.XLOOKUP(B86,'Product Variant'!$A:$A,'Product Variant'!$B:$B,"NOT FOUND")</f>
        <v>PRODUCT-00282</v>
      </c>
      <c r="D86" s="10" t="str">
        <f>_xlfn.XLOOKUP(B86,'Product Variant'!$A:$A,'Product Variant'!$C:$C,"NOT FOUND")</f>
        <v>[Young Chemical Vina] Băng gạc vô trùng không thấm nước - Sterile Adflex (With-Pad) (10cmx12cm)</v>
      </c>
      <c r="E86" s="10" t="str" cm="1">
        <f t="array" ref="E86">_xlfn.TEXTJOIN(" / ",TRUE,_xlfn.XLOOKUP(B86&amp;"|ATTR-27",'Product Variant Attribute'!$A$2:$A$2000&amp;"|"&amp;'Product Variant Attribute'!$D$2:$D$2000,'Product Variant Attribute'!$F$2:$F$2000,""),_xlfn.XLOOKUP(B86&amp;"|ATTR-24",'Product Variant Attribute'!$A$2:$A$2000&amp;"|"&amp;'Product Variant Attribute'!$D$2:$D$2000,'Product Variant Attribute'!$F$2:$F$2000,""))</f>
        <v/>
      </c>
      <c r="F86" s="11" t="s">
        <v>817</v>
      </c>
      <c r="G86" s="11" t="s">
        <v>841</v>
      </c>
      <c r="H86" s="13">
        <f t="shared" si="2"/>
        <v>1</v>
      </c>
      <c r="I86" s="16" t="str">
        <f>_xlfn.XLOOKUP(C86,Product!$A:$A,Product!$G:$G,"NOT FOUND")</f>
        <v>miếng</v>
      </c>
      <c r="J86" s="20">
        <v>13000</v>
      </c>
      <c r="K86" s="15" t="s">
        <v>1334</v>
      </c>
      <c r="L86" s="21" t="s">
        <v>1350</v>
      </c>
      <c r="M86" s="10" t="s">
        <v>899</v>
      </c>
      <c r="N86" s="12" t="s">
        <v>1269</v>
      </c>
      <c r="O86" t="str">
        <f t="shared" si="3"/>
        <v>INSERT INTO public.medical_supply_sellable_unit (code, price, quantity, sale_uom, product_variant_code) VALUES ('PRODUCT-00282-001-01', 13000, 1, 'Túi', 'PRODUCT-00282-001');</v>
      </c>
    </row>
    <row r="87" spans="1:15" x14ac:dyDescent="0.25">
      <c r="A87" s="10" t="str">
        <f>B87&amp;"-"&amp;TEXT(COUNTIF(B$2:B87,B87),"00")</f>
        <v>PRODUCT-00282-001-02</v>
      </c>
      <c r="B87" s="11" t="s">
        <v>1703</v>
      </c>
      <c r="C87" s="10" t="str">
        <f>_xlfn.XLOOKUP(B87,'Product Variant'!$A:$A,'Product Variant'!$B:$B,"NOT FOUND")</f>
        <v>PRODUCT-00282</v>
      </c>
      <c r="D87" s="10" t="str">
        <f>_xlfn.XLOOKUP(B87,'Product Variant'!$A:$A,'Product Variant'!$C:$C,"NOT FOUND")</f>
        <v>[Young Chemical Vina] Băng gạc vô trùng không thấm nước - Sterile Adflex (With-Pad) (10cmx12cm)</v>
      </c>
      <c r="E87" s="10" t="str" cm="1">
        <f t="array" ref="E87">_xlfn.TEXTJOIN(" / ",TRUE,_xlfn.XLOOKUP(B87&amp;"|ATTR-27",'Product Variant Attribute'!$A$2:$A$2000&amp;"|"&amp;'Product Variant Attribute'!$D$2:$D$2000,'Product Variant Attribute'!$F$2:$F$2000,""),_xlfn.XLOOKUP(B87&amp;"|ATTR-24",'Product Variant Attribute'!$A$2:$A$2000&amp;"|"&amp;'Product Variant Attribute'!$D$2:$D$2000,'Product Variant Attribute'!$F$2:$F$2000,""))</f>
        <v/>
      </c>
      <c r="F87" s="11" t="s">
        <v>816</v>
      </c>
      <c r="G87" s="11" t="s">
        <v>897</v>
      </c>
      <c r="H87" s="13">
        <f t="shared" si="2"/>
        <v>50</v>
      </c>
      <c r="I87" s="16" t="str">
        <f>_xlfn.XLOOKUP(C87,Product!$A:$A,Product!$G:$G,"NOT FOUND")</f>
        <v>miếng</v>
      </c>
      <c r="J87" s="22">
        <v>640000</v>
      </c>
      <c r="K87" s="15" t="s">
        <v>1351</v>
      </c>
      <c r="L87" s="21" t="s">
        <v>1352</v>
      </c>
      <c r="M87" s="10" t="s">
        <v>900</v>
      </c>
      <c r="N87" s="12" t="s">
        <v>1270</v>
      </c>
      <c r="O87" t="str">
        <f t="shared" si="3"/>
        <v>INSERT INTO public.medical_supply_sellable_unit (code, price, quantity, sale_uom, product_variant_code) VALUES ('PRODUCT-00282-001-02', 640000, 50, 'Hộp', 'PRODUCT-00282-001');</v>
      </c>
    </row>
    <row r="88" spans="1:15" x14ac:dyDescent="0.25">
      <c r="A88" s="10" t="str">
        <f>B88&amp;"-"&amp;TEXT(COUNTIF(B$2:B88,B88),"00")</f>
        <v>PRODUCT-00036-001-01</v>
      </c>
      <c r="B88" s="11" t="s">
        <v>1704</v>
      </c>
      <c r="C88" s="10" t="str">
        <f>_xlfn.XLOOKUP(B88,'Product Variant'!$A:$A,'Product Variant'!$B:$B,"NOT FOUND")</f>
        <v>PRODUCT-00036</v>
      </c>
      <c r="D88" s="10" t="str">
        <f>_xlfn.XLOOKUP(B88,'Product Variant'!$A:$A,'Product Variant'!$C:$C,"NOT FOUND")</f>
        <v>[Young Chemical Vina] Băng keo cá nhân hộp thiếc - Pororo</v>
      </c>
      <c r="E88" s="10" t="str" cm="1">
        <f t="array" ref="E88">_xlfn.TEXTJOIN(" / ",TRUE,_xlfn.XLOOKUP(B88&amp;"|ATTR-27",'Product Variant Attribute'!$A$2:$A$2000&amp;"|"&amp;'Product Variant Attribute'!$D$2:$D$2000,'Product Variant Attribute'!$F$2:$F$2000,""),_xlfn.XLOOKUP(B88&amp;"|ATTR-24",'Product Variant Attribute'!$A$2:$A$2000&amp;"|"&amp;'Product Variant Attribute'!$D$2:$D$2000,'Product Variant Attribute'!$F$2:$F$2000,""))</f>
        <v>Hồng</v>
      </c>
      <c r="F88" s="11" t="s">
        <v>816</v>
      </c>
      <c r="G88" s="11" t="s">
        <v>901</v>
      </c>
      <c r="H88" s="13">
        <f t="shared" si="2"/>
        <v>25</v>
      </c>
      <c r="I88" s="16" t="str">
        <f>_xlfn.XLOOKUP(C88,Product!$A:$A,Product!$G:$G,"NOT FOUND")</f>
        <v>miếng</v>
      </c>
      <c r="J88" s="20">
        <v>52000</v>
      </c>
      <c r="K88" s="15" t="s">
        <v>1334</v>
      </c>
      <c r="L88" s="21" t="s">
        <v>1353</v>
      </c>
      <c r="M88" s="10" t="s">
        <v>902</v>
      </c>
      <c r="N88" s="12" t="s">
        <v>1246</v>
      </c>
      <c r="O88" t="str">
        <f t="shared" si="3"/>
        <v>INSERT INTO public.medical_supply_sellable_unit (code, price, quantity, sale_uom, product_variant_code) VALUES ('PRODUCT-00036-001-01', 52000, 25, 'Hộp', 'PRODUCT-00036-001');</v>
      </c>
    </row>
    <row r="89" spans="1:15" x14ac:dyDescent="0.25">
      <c r="A89" s="10" t="str">
        <f>B89&amp;"-"&amp;TEXT(COUNTIF(B$2:B89,B89),"00")</f>
        <v>PRODUCT-00036-002-01</v>
      </c>
      <c r="B89" s="11" t="s">
        <v>1705</v>
      </c>
      <c r="C89" s="10" t="str">
        <f>_xlfn.XLOOKUP(B89,'Product Variant'!$A:$A,'Product Variant'!$B:$B,"NOT FOUND")</f>
        <v>PRODUCT-00036</v>
      </c>
      <c r="D89" s="10" t="str">
        <f>_xlfn.XLOOKUP(B89,'Product Variant'!$A:$A,'Product Variant'!$C:$C,"NOT FOUND")</f>
        <v>[Young Chemical Vina] Băng keo cá nhân hộp thiếc - Pororo</v>
      </c>
      <c r="E89" s="10" t="str" cm="1">
        <f t="array" ref="E89">_xlfn.TEXTJOIN(" / ",TRUE,_xlfn.XLOOKUP(B89&amp;"|ATTR-27",'Product Variant Attribute'!$A$2:$A$2000&amp;"|"&amp;'Product Variant Attribute'!$D$2:$D$2000,'Product Variant Attribute'!$F$2:$F$2000,""),_xlfn.XLOOKUP(B89&amp;"|ATTR-24",'Product Variant Attribute'!$A$2:$A$2000&amp;"|"&amp;'Product Variant Attribute'!$D$2:$D$2000,'Product Variant Attribute'!$F$2:$F$2000,""))</f>
        <v>Vàng</v>
      </c>
      <c r="F89" s="11" t="s">
        <v>816</v>
      </c>
      <c r="G89" s="11" t="s">
        <v>901</v>
      </c>
      <c r="H89" s="13">
        <f t="shared" si="2"/>
        <v>25</v>
      </c>
      <c r="I89" s="16" t="str">
        <f>_xlfn.XLOOKUP(C89,Product!$A:$A,Product!$G:$G,"NOT FOUND")</f>
        <v>miếng</v>
      </c>
      <c r="J89" s="20">
        <v>52000</v>
      </c>
      <c r="K89" s="15" t="s">
        <v>1334</v>
      </c>
      <c r="L89" s="21" t="s">
        <v>1354</v>
      </c>
      <c r="M89" s="10" t="s">
        <v>902</v>
      </c>
      <c r="N89" s="12" t="s">
        <v>1247</v>
      </c>
      <c r="O89" t="str">
        <f t="shared" si="3"/>
        <v>INSERT INTO public.medical_supply_sellable_unit (code, price, quantity, sale_uom, product_variant_code) VALUES ('PRODUCT-00036-002-01', 52000, 25, 'Hộp', 'PRODUCT-00036-002');</v>
      </c>
    </row>
    <row r="90" spans="1:15" x14ac:dyDescent="0.25">
      <c r="A90" s="10" t="str">
        <f>B90&amp;"-"&amp;TEXT(COUNTIF(B$2:B90,B90),"00")</f>
        <v>PRODUCT-00037-001-01</v>
      </c>
      <c r="B90" s="11" t="s">
        <v>1706</v>
      </c>
      <c r="C90" s="10" t="str">
        <f>_xlfn.XLOOKUP(B90,'Product Variant'!$A:$A,'Product Variant'!$B:$B,"NOT FOUND")</f>
        <v>PRODUCT-00037</v>
      </c>
      <c r="D90" s="10" t="str">
        <f>_xlfn.XLOOKUP(B90,'Product Variant'!$A:$A,'Product Variant'!$C:$C,"NOT FOUND")</f>
        <v>[Young Chemical Vina] Băng keo cá nhân in hình trẻ em - Pororo (72mmx18mm)</v>
      </c>
      <c r="E90" s="10" t="str" cm="1">
        <f t="array" ref="E90">_xlfn.TEXTJOIN(" / ",TRUE,_xlfn.XLOOKUP(B90&amp;"|ATTR-27",'Product Variant Attribute'!$A$2:$A$2000&amp;"|"&amp;'Product Variant Attribute'!$D$2:$D$2000,'Product Variant Attribute'!$F$2:$F$2000,""),_xlfn.XLOOKUP(B90&amp;"|ATTR-24",'Product Variant Attribute'!$A$2:$A$2000&amp;"|"&amp;'Product Variant Attribute'!$D$2:$D$2000,'Product Variant Attribute'!$F$2:$F$2000,""))</f>
        <v>In hình hoạt hình</v>
      </c>
      <c r="F90" s="11" t="s">
        <v>816</v>
      </c>
      <c r="G90" s="11" t="s">
        <v>903</v>
      </c>
      <c r="H90" s="13">
        <f t="shared" si="2"/>
        <v>20</v>
      </c>
      <c r="I90" s="16" t="str">
        <f>_xlfn.XLOOKUP(C90,Product!$A:$A,Product!$G:$G,"NOT FOUND")</f>
        <v>miếng</v>
      </c>
      <c r="J90" s="20">
        <v>24000</v>
      </c>
      <c r="K90" s="15" t="s">
        <v>1334</v>
      </c>
      <c r="L90" s="21" t="s">
        <v>1355</v>
      </c>
      <c r="M90" s="10" t="s">
        <v>904</v>
      </c>
      <c r="N90" s="12" t="s">
        <v>1187</v>
      </c>
      <c r="O90" t="str">
        <f t="shared" si="3"/>
        <v>INSERT INTO public.medical_supply_sellable_unit (code, price, quantity, sale_uom, product_variant_code) VALUES ('PRODUCT-00037-001-01', 24000, 20, 'Hộp', 'PRODUCT-00037-001');</v>
      </c>
    </row>
    <row r="91" spans="1:15" x14ac:dyDescent="0.25">
      <c r="A91" s="10" t="str">
        <f>B91&amp;"-"&amp;TEXT(COUNTIF(B$2:B91,B91),"00")</f>
        <v>PRODUCT-00283-001-01</v>
      </c>
      <c r="B91" s="11" t="s">
        <v>1707</v>
      </c>
      <c r="C91" s="10" t="str">
        <f>_xlfn.XLOOKUP(B91,'Product Variant'!$A:$A,'Product Variant'!$B:$B,"NOT FOUND")</f>
        <v>PRODUCT-00283</v>
      </c>
      <c r="D91" s="10" t="str">
        <f>_xlfn.XLOOKUP(B91,'Product Variant'!$A:$A,'Product Variant'!$C:$C,"NOT FOUND")</f>
        <v>[Young Chemical Vina] Băng keo cá nhân in hình trẻ em - Pororo (Hỗn hợp 4 size)</v>
      </c>
      <c r="E91" s="10" t="str" cm="1">
        <f t="array" ref="E91">_xlfn.TEXTJOIN(" / ",TRUE,_xlfn.XLOOKUP(B91&amp;"|ATTR-27",'Product Variant Attribute'!$A$2:$A$2000&amp;"|"&amp;'Product Variant Attribute'!$D$2:$D$2000,'Product Variant Attribute'!$F$2:$F$2000,""),_xlfn.XLOOKUP(B91&amp;"|ATTR-24",'Product Variant Attribute'!$A$2:$A$2000&amp;"|"&amp;'Product Variant Attribute'!$D$2:$D$2000,'Product Variant Attribute'!$F$2:$F$2000,""))</f>
        <v>In hình hoạt hình</v>
      </c>
      <c r="F91" s="11" t="s">
        <v>816</v>
      </c>
      <c r="G91" s="11" t="s">
        <v>903</v>
      </c>
      <c r="H91" s="13">
        <f t="shared" si="2"/>
        <v>20</v>
      </c>
      <c r="I91" s="16" t="str">
        <f>_xlfn.XLOOKUP(C91,Product!$A:$A,Product!$G:$G,"NOT FOUND")</f>
        <v>miếng</v>
      </c>
      <c r="J91" s="20">
        <v>24000</v>
      </c>
      <c r="K91" s="15" t="s">
        <v>1334</v>
      </c>
      <c r="L91" s="21" t="s">
        <v>1356</v>
      </c>
      <c r="M91" s="10" t="s">
        <v>904</v>
      </c>
      <c r="N91" s="12" t="s">
        <v>1245</v>
      </c>
      <c r="O91" t="str">
        <f t="shared" si="3"/>
        <v>INSERT INTO public.medical_supply_sellable_unit (code, price, quantity, sale_uom, product_variant_code) VALUES ('PRODUCT-00283-001-01', 24000, 20, 'Hộp', 'PRODUCT-00283-001');</v>
      </c>
    </row>
    <row r="92" spans="1:15" x14ac:dyDescent="0.25">
      <c r="A92" s="10" t="str">
        <f>B92&amp;"-"&amp;TEXT(COUNTIF(B$2:B92,B92),"00")</f>
        <v>PRODUCT-00038-001-01</v>
      </c>
      <c r="B92" s="11" t="s">
        <v>1708</v>
      </c>
      <c r="C92" s="10" t="str">
        <f>_xlfn.XLOOKUP(B92,'Product Variant'!$A:$A,'Product Variant'!$B:$B,"NOT FOUND")</f>
        <v>PRODUCT-00038</v>
      </c>
      <c r="D92" s="10" t="str">
        <f>_xlfn.XLOOKUP(B92,'Product Variant'!$A:$A,'Product Variant'!$C:$C,"NOT FOUND")</f>
        <v>[Young Chemical Vina] Băng keo cá nhân màu da - Ace-band ∅22mm</v>
      </c>
      <c r="E92" s="10" t="str" cm="1">
        <f t="array" ref="E92">_xlfn.TEXTJOIN(" / ",TRUE,_xlfn.XLOOKUP(B92&amp;"|ATTR-27",'Product Variant Attribute'!$A$2:$A$2000&amp;"|"&amp;'Product Variant Attribute'!$D$2:$D$2000,'Product Variant Attribute'!$F$2:$F$2000,""),_xlfn.XLOOKUP(B92&amp;"|ATTR-24",'Product Variant Attribute'!$A$2:$A$2000&amp;"|"&amp;'Product Variant Attribute'!$D$2:$D$2000,'Product Variant Attribute'!$F$2:$F$2000,""))</f>
        <v>Màu da</v>
      </c>
      <c r="F92" s="11" t="s">
        <v>816</v>
      </c>
      <c r="G92" s="11" t="s">
        <v>856</v>
      </c>
      <c r="H92" s="13">
        <f t="shared" si="2"/>
        <v>100</v>
      </c>
      <c r="I92" s="16" t="str">
        <f>_xlfn.XLOOKUP(C92,Product!$A:$A,Product!$G:$G,"NOT FOUND")</f>
        <v>miếng</v>
      </c>
      <c r="J92" s="20">
        <v>45000</v>
      </c>
      <c r="K92" s="15" t="s">
        <v>1323</v>
      </c>
      <c r="L92" s="21">
        <v>446</v>
      </c>
      <c r="M92" s="10" t="s">
        <v>905</v>
      </c>
      <c r="N92" s="12">
        <v>49</v>
      </c>
      <c r="O92" t="str">
        <f t="shared" si="3"/>
        <v>INSERT INTO public.medical_supply_sellable_unit (code, price, quantity, sale_uom, product_variant_code) VALUES ('PRODUCT-00038-001-01', 45000, 100, 'Hộp', 'PRODUCT-00038-001');</v>
      </c>
    </row>
    <row r="93" spans="1:15" x14ac:dyDescent="0.25">
      <c r="A93" s="10" t="str">
        <f>B93&amp;"-"&amp;TEXT(COUNTIF(B$2:B93,B93),"00")</f>
        <v>PRODUCT-00039-001-01</v>
      </c>
      <c r="B93" s="11" t="s">
        <v>1709</v>
      </c>
      <c r="C93" s="10" t="str">
        <f>_xlfn.XLOOKUP(B93,'Product Variant'!$A:$A,'Product Variant'!$B:$B,"NOT FOUND")</f>
        <v>PRODUCT-00039</v>
      </c>
      <c r="D93" s="10" t="str">
        <f>_xlfn.XLOOKUP(B93,'Product Variant'!$A:$A,'Product Variant'!$C:$C,"NOT FOUND")</f>
        <v>[Young Chemical Vina] Băng keo cá nhân màu da - Ace-band Sheer (72mmx18mm)</v>
      </c>
      <c r="E93" s="10" t="str" cm="1">
        <f t="array" ref="E93">_xlfn.TEXTJOIN(" / ",TRUE,_xlfn.XLOOKUP(B93&amp;"|ATTR-27",'Product Variant Attribute'!$A$2:$A$2000&amp;"|"&amp;'Product Variant Attribute'!$D$2:$D$2000,'Product Variant Attribute'!$F$2:$F$2000,""),_xlfn.XLOOKUP(B93&amp;"|ATTR-24",'Product Variant Attribute'!$A$2:$A$2000&amp;"|"&amp;'Product Variant Attribute'!$D$2:$D$2000,'Product Variant Attribute'!$F$2:$F$2000,""))</f>
        <v>Màu da</v>
      </c>
      <c r="F93" s="11" t="s">
        <v>816</v>
      </c>
      <c r="G93" s="11" t="s">
        <v>876</v>
      </c>
      <c r="H93" s="13">
        <f t="shared" si="2"/>
        <v>10</v>
      </c>
      <c r="I93" s="16" t="str">
        <f>_xlfn.XLOOKUP(C93,Product!$A:$A,Product!$G:$G,"NOT FOUND")</f>
        <v>miếng</v>
      </c>
      <c r="J93" s="20">
        <v>10000</v>
      </c>
      <c r="K93" s="15" t="s">
        <v>1323</v>
      </c>
      <c r="L93" s="21">
        <v>401</v>
      </c>
      <c r="M93" s="10" t="s">
        <v>906</v>
      </c>
      <c r="N93" s="12">
        <v>50</v>
      </c>
      <c r="O93" t="str">
        <f t="shared" si="3"/>
        <v>INSERT INTO public.medical_supply_sellable_unit (code, price, quantity, sale_uom, product_variant_code) VALUES ('PRODUCT-00039-001-01', 10000, 10, 'Hộp', 'PRODUCT-00039-001');</v>
      </c>
    </row>
    <row r="94" spans="1:15" x14ac:dyDescent="0.25">
      <c r="A94" s="10" t="str">
        <f>B94&amp;"-"&amp;TEXT(COUNTIF(B$2:B94,B94),"00")</f>
        <v>PRODUCT-00039-001-02</v>
      </c>
      <c r="B94" s="11" t="s">
        <v>1709</v>
      </c>
      <c r="C94" s="10" t="str">
        <f>_xlfn.XLOOKUP(B94,'Product Variant'!$A:$A,'Product Variant'!$B:$B,"NOT FOUND")</f>
        <v>PRODUCT-00039</v>
      </c>
      <c r="D94" s="10" t="str">
        <f>_xlfn.XLOOKUP(B94,'Product Variant'!$A:$A,'Product Variant'!$C:$C,"NOT FOUND")</f>
        <v>[Young Chemical Vina] Băng keo cá nhân màu da - Ace-band Sheer (72mmx18mm)</v>
      </c>
      <c r="E94" s="10" t="str" cm="1">
        <f t="array" ref="E94">_xlfn.TEXTJOIN(" / ",TRUE,_xlfn.XLOOKUP(B94&amp;"|ATTR-27",'Product Variant Attribute'!$A$2:$A$2000&amp;"|"&amp;'Product Variant Attribute'!$D$2:$D$2000,'Product Variant Attribute'!$F$2:$F$2000,""),_xlfn.XLOOKUP(B94&amp;"|ATTR-24",'Product Variant Attribute'!$A$2:$A$2000&amp;"|"&amp;'Product Variant Attribute'!$D$2:$D$2000,'Product Variant Attribute'!$F$2:$F$2000,""))</f>
        <v>Màu da</v>
      </c>
      <c r="F94" s="11" t="s">
        <v>816</v>
      </c>
      <c r="G94" s="11" t="s">
        <v>856</v>
      </c>
      <c r="H94" s="13">
        <f t="shared" si="2"/>
        <v>100</v>
      </c>
      <c r="I94" s="16" t="str">
        <f>_xlfn.XLOOKUP(C94,Product!$A:$A,Product!$G:$G,"NOT FOUND")</f>
        <v>miếng</v>
      </c>
      <c r="J94" s="20">
        <v>55000</v>
      </c>
      <c r="K94" s="15" t="s">
        <v>1323</v>
      </c>
      <c r="L94" s="21">
        <v>448</v>
      </c>
      <c r="M94" s="10" t="s">
        <v>907</v>
      </c>
      <c r="N94" s="12">
        <v>51</v>
      </c>
      <c r="O94" t="str">
        <f t="shared" si="3"/>
        <v>INSERT INTO public.medical_supply_sellable_unit (code, price, quantity, sale_uom, product_variant_code) VALUES ('PRODUCT-00039-001-02', 55000, 100, 'Hộp', 'PRODUCT-00039-001');</v>
      </c>
    </row>
    <row r="95" spans="1:15" x14ac:dyDescent="0.25">
      <c r="A95" s="10" t="str">
        <f>B95&amp;"-"&amp;TEXT(COUNTIF(B$2:B95,B95),"00")</f>
        <v>PRODUCT-00040-001-01</v>
      </c>
      <c r="B95" s="11" t="s">
        <v>1710</v>
      </c>
      <c r="C95" s="10" t="str">
        <f>_xlfn.XLOOKUP(B95,'Product Variant'!$A:$A,'Product Variant'!$B:$B,"NOT FOUND")</f>
        <v>PRODUCT-00040</v>
      </c>
      <c r="D95" s="10" t="str">
        <f>_xlfn.XLOOKUP(B95,'Product Variant'!$A:$A,'Product Variant'!$C:$C,"NOT FOUND")</f>
        <v>[Young Chemical Vina] Băng keo cá nhân trong suốt - Ace-band Transparent (72mmx18mm)</v>
      </c>
      <c r="E95" s="10" t="str" cm="1">
        <f t="array" ref="E95">_xlfn.TEXTJOIN(" / ",TRUE,_xlfn.XLOOKUP(B95&amp;"|ATTR-27",'Product Variant Attribute'!$A$2:$A$2000&amp;"|"&amp;'Product Variant Attribute'!$D$2:$D$2000,'Product Variant Attribute'!$F$2:$F$2000,""),_xlfn.XLOOKUP(B95&amp;"|ATTR-24",'Product Variant Attribute'!$A$2:$A$2000&amp;"|"&amp;'Product Variant Attribute'!$D$2:$D$2000,'Product Variant Attribute'!$F$2:$F$2000,""))</f>
        <v>Trong suốt</v>
      </c>
      <c r="F95" s="11" t="s">
        <v>816</v>
      </c>
      <c r="G95" s="11" t="s">
        <v>856</v>
      </c>
      <c r="H95" s="13">
        <f t="shared" si="2"/>
        <v>100</v>
      </c>
      <c r="I95" s="16" t="str">
        <f>_xlfn.XLOOKUP(C95,Product!$A:$A,Product!$G:$G,"NOT FOUND")</f>
        <v>miếng</v>
      </c>
      <c r="J95" s="20">
        <v>55000</v>
      </c>
      <c r="K95" s="15" t="s">
        <v>1323</v>
      </c>
      <c r="L95" s="21">
        <v>482</v>
      </c>
      <c r="M95" s="10" t="s">
        <v>908</v>
      </c>
      <c r="N95" s="12">
        <v>56</v>
      </c>
      <c r="O95" t="str">
        <f t="shared" si="3"/>
        <v>INSERT INTO public.medical_supply_sellable_unit (code, price, quantity, sale_uom, product_variant_code) VALUES ('PRODUCT-00040-001-01', 55000, 100, 'Hộp', 'PRODUCT-00040-001');</v>
      </c>
    </row>
    <row r="96" spans="1:15" x14ac:dyDescent="0.25">
      <c r="A96" s="10" t="str">
        <f>B96&amp;"-"&amp;TEXT(COUNTIF(B$2:B96,B96),"00")</f>
        <v>PRODUCT-00040-001-02</v>
      </c>
      <c r="B96" s="11" t="s">
        <v>1710</v>
      </c>
      <c r="C96" s="10" t="str">
        <f>_xlfn.XLOOKUP(B96,'Product Variant'!$A:$A,'Product Variant'!$B:$B,"NOT FOUND")</f>
        <v>PRODUCT-00040</v>
      </c>
      <c r="D96" s="10" t="str">
        <f>_xlfn.XLOOKUP(B96,'Product Variant'!$A:$A,'Product Variant'!$C:$C,"NOT FOUND")</f>
        <v>[Young Chemical Vina] Băng keo cá nhân trong suốt - Ace-band Transparent (72mmx18mm)</v>
      </c>
      <c r="E96" s="10" t="str" cm="1">
        <f t="array" ref="E96">_xlfn.TEXTJOIN(" / ",TRUE,_xlfn.XLOOKUP(B96&amp;"|ATTR-27",'Product Variant Attribute'!$A$2:$A$2000&amp;"|"&amp;'Product Variant Attribute'!$D$2:$D$2000,'Product Variant Attribute'!$F$2:$F$2000,""),_xlfn.XLOOKUP(B96&amp;"|ATTR-24",'Product Variant Attribute'!$A$2:$A$2000&amp;"|"&amp;'Product Variant Attribute'!$D$2:$D$2000,'Product Variant Attribute'!$F$2:$F$2000,""))</f>
        <v>Trong suốt</v>
      </c>
      <c r="F96" s="11" t="s">
        <v>816</v>
      </c>
      <c r="G96" s="11" t="s">
        <v>876</v>
      </c>
      <c r="H96" s="13">
        <f t="shared" si="2"/>
        <v>10</v>
      </c>
      <c r="I96" s="16" t="str">
        <f>_xlfn.XLOOKUP(C96,Product!$A:$A,Product!$G:$G,"NOT FOUND")</f>
        <v>miếng</v>
      </c>
      <c r="J96" s="20">
        <v>10000</v>
      </c>
      <c r="K96" s="15" t="s">
        <v>1323</v>
      </c>
      <c r="L96" s="21">
        <v>447</v>
      </c>
      <c r="M96" s="10" t="s">
        <v>1271</v>
      </c>
      <c r="N96" s="12">
        <v>57</v>
      </c>
      <c r="O96" t="str">
        <f t="shared" si="3"/>
        <v>INSERT INTO public.medical_supply_sellable_unit (code, price, quantity, sale_uom, product_variant_code) VALUES ('PRODUCT-00040-001-02', 10000, 10, 'Hộp', 'PRODUCT-00040-001');</v>
      </c>
    </row>
    <row r="97" spans="1:15" x14ac:dyDescent="0.25">
      <c r="A97" s="10" t="str">
        <f>B97&amp;"-"&amp;TEXT(COUNTIF(B$2:B97,B97),"00")</f>
        <v>PRODUCT-00041-001-01</v>
      </c>
      <c r="B97" s="11" t="s">
        <v>1711</v>
      </c>
      <c r="C97" s="10" t="str">
        <f>_xlfn.XLOOKUP(B97,'Product Variant'!$A:$A,'Product Variant'!$B:$B,"NOT FOUND")</f>
        <v>PRODUCT-00041</v>
      </c>
      <c r="D97" s="10" t="str">
        <f>_xlfn.XLOOKUP(B97,'Product Variant'!$A:$A,'Product Variant'!$C:$C,"NOT FOUND")</f>
        <v>[Young Chemical Vina] Băng keo cá nhân vải - Ace-band (60mmx19mm)</v>
      </c>
      <c r="E97" s="10" t="str" cm="1">
        <f t="array" ref="E97">_xlfn.TEXTJOIN(" / ",TRUE,_xlfn.XLOOKUP(B97&amp;"|ATTR-27",'Product Variant Attribute'!$A$2:$A$2000&amp;"|"&amp;'Product Variant Attribute'!$D$2:$D$2000,'Product Variant Attribute'!$F$2:$F$2000,""),_xlfn.XLOOKUP(B97&amp;"|ATTR-24",'Product Variant Attribute'!$A$2:$A$2000&amp;"|"&amp;'Product Variant Attribute'!$D$2:$D$2000,'Product Variant Attribute'!$F$2:$F$2000,""))</f>
        <v/>
      </c>
      <c r="F97" s="11" t="s">
        <v>816</v>
      </c>
      <c r="G97" s="11" t="s">
        <v>856</v>
      </c>
      <c r="H97" s="13">
        <f t="shared" si="2"/>
        <v>100</v>
      </c>
      <c r="I97" s="16" t="str">
        <f>_xlfn.XLOOKUP(C97,Product!$A:$A,Product!$G:$G,"NOT FOUND")</f>
        <v>miếng</v>
      </c>
      <c r="J97" s="20">
        <v>55000</v>
      </c>
      <c r="K97" s="15" t="s">
        <v>1323</v>
      </c>
      <c r="L97" s="21">
        <v>400</v>
      </c>
      <c r="M97" s="10" t="s">
        <v>909</v>
      </c>
      <c r="N97" s="12">
        <v>58</v>
      </c>
      <c r="O97" t="str">
        <f t="shared" si="3"/>
        <v>INSERT INTO public.medical_supply_sellable_unit (code, price, quantity, sale_uom, product_variant_code) VALUES ('PRODUCT-00041-001-01', 55000, 100, 'Hộp', 'PRODUCT-00041-001');</v>
      </c>
    </row>
    <row r="98" spans="1:15" x14ac:dyDescent="0.25">
      <c r="A98" s="10" t="str">
        <f>B98&amp;"-"&amp;TEXT(COUNTIF(B$2:B98,B98),"00")</f>
        <v>PRODUCT-00042-001-01</v>
      </c>
      <c r="B98" s="11" t="s">
        <v>1712</v>
      </c>
      <c r="C98" s="10" t="str">
        <f>_xlfn.XLOOKUP(B98,'Product Variant'!$A:$A,'Product Variant'!$B:$B,"NOT FOUND")</f>
        <v>PRODUCT-00042</v>
      </c>
      <c r="D98" s="10" t="str">
        <f>_xlfn.XLOOKUP(B98,'Product Variant'!$A:$A,'Product Variant'!$C:$C,"NOT FOUND")</f>
        <v>[Young Chemical Vina] Băng keo cuộn co giãn - Fix Roll (5cmx10m)</v>
      </c>
      <c r="E98" s="10" t="str" cm="1">
        <f t="array" ref="E98">_xlfn.TEXTJOIN(" / ",TRUE,_xlfn.XLOOKUP(B98&amp;"|ATTR-27",'Product Variant Attribute'!$A$2:$A$2000&amp;"|"&amp;'Product Variant Attribute'!$D$2:$D$2000,'Product Variant Attribute'!$F$2:$F$2000,""),_xlfn.XLOOKUP(B98&amp;"|ATTR-24",'Product Variant Attribute'!$A$2:$A$2000&amp;"|"&amp;'Product Variant Attribute'!$D$2:$D$2000,'Product Variant Attribute'!$F$2:$F$2000,""))</f>
        <v/>
      </c>
      <c r="F98" s="11" t="s">
        <v>816</v>
      </c>
      <c r="G98" s="11" t="s">
        <v>910</v>
      </c>
      <c r="H98" s="13">
        <f t="shared" si="2"/>
        <v>1</v>
      </c>
      <c r="I98" s="16" t="str">
        <f>_xlfn.XLOOKUP(C98,Product!$A:$A,Product!$G:$G,"NOT FOUND")</f>
        <v>cuộn</v>
      </c>
      <c r="J98" s="20">
        <v>88000</v>
      </c>
      <c r="K98" s="15" t="s">
        <v>1327</v>
      </c>
      <c r="L98" s="21" t="s">
        <v>1455</v>
      </c>
      <c r="M98" s="10" t="s">
        <v>911</v>
      </c>
      <c r="N98" s="12" t="s">
        <v>1439</v>
      </c>
      <c r="O98" t="str">
        <f t="shared" si="3"/>
        <v>INSERT INTO public.medical_supply_sellable_unit (code, price, quantity, sale_uom, product_variant_code) VALUES ('PRODUCT-00042-001-01', 88000, 1, 'Hộp', 'PRODUCT-00042-001');</v>
      </c>
    </row>
    <row r="99" spans="1:15" x14ac:dyDescent="0.25">
      <c r="A99" s="10" t="str">
        <f>B99&amp;"-"&amp;TEXT(COUNTIF(B$2:B99,B99),"00")</f>
        <v>PRODUCT-00284-001-01</v>
      </c>
      <c r="B99" s="11" t="s">
        <v>1713</v>
      </c>
      <c r="C99" s="10" t="str">
        <f>_xlfn.XLOOKUP(B99,'Product Variant'!$A:$A,'Product Variant'!$B:$B,"NOT FOUND")</f>
        <v>PRODUCT-00284</v>
      </c>
      <c r="D99" s="10" t="str">
        <f>_xlfn.XLOOKUP(B99,'Product Variant'!$A:$A,'Product Variant'!$C:$C,"NOT FOUND")</f>
        <v>[Young Chemical Vina] Băng keo cuộn co giãn - Fix Roll (10cmx10m)</v>
      </c>
      <c r="E99" s="10" t="str" cm="1">
        <f t="array" ref="E99">_xlfn.TEXTJOIN(" / ",TRUE,_xlfn.XLOOKUP(B99&amp;"|ATTR-27",'Product Variant Attribute'!$A$2:$A$2000&amp;"|"&amp;'Product Variant Attribute'!$D$2:$D$2000,'Product Variant Attribute'!$F$2:$F$2000,""),_xlfn.XLOOKUP(B99&amp;"|ATTR-24",'Product Variant Attribute'!$A$2:$A$2000&amp;"|"&amp;'Product Variant Attribute'!$D$2:$D$2000,'Product Variant Attribute'!$F$2:$F$2000,""))</f>
        <v/>
      </c>
      <c r="F99" s="11" t="s">
        <v>816</v>
      </c>
      <c r="G99" s="11" t="s">
        <v>910</v>
      </c>
      <c r="H99" s="13">
        <f t="shared" si="2"/>
        <v>1</v>
      </c>
      <c r="I99" s="16" t="str">
        <f>_xlfn.XLOOKUP(C99,Product!$A:$A,Product!$G:$G,"NOT FOUND")</f>
        <v>cuộn</v>
      </c>
      <c r="J99" s="20">
        <v>160000</v>
      </c>
      <c r="K99" s="15" t="s">
        <v>1327</v>
      </c>
      <c r="L99" s="21" t="s">
        <v>1456</v>
      </c>
      <c r="M99" s="10" t="s">
        <v>911</v>
      </c>
      <c r="N99" s="12" t="s">
        <v>1440</v>
      </c>
      <c r="O99" t="str">
        <f t="shared" si="3"/>
        <v>INSERT INTO public.medical_supply_sellable_unit (code, price, quantity, sale_uom, product_variant_code) VALUES ('PRODUCT-00284-001-01', 160000, 1, 'Hộp', 'PRODUCT-00284-001');</v>
      </c>
    </row>
    <row r="100" spans="1:15" x14ac:dyDescent="0.25">
      <c r="A100" s="10" t="str">
        <f>B100&amp;"-"&amp;TEXT(COUNTIF(B$2:B100,B100),"00")</f>
        <v>PRODUCT-00285-001-01</v>
      </c>
      <c r="B100" s="11" t="s">
        <v>1714</v>
      </c>
      <c r="C100" s="10" t="str">
        <f>_xlfn.XLOOKUP(B100,'Product Variant'!$A:$A,'Product Variant'!$B:$B,"NOT FOUND")</f>
        <v>PRODUCT-00285</v>
      </c>
      <c r="D100" s="10" t="str">
        <f>_xlfn.XLOOKUP(B100,'Product Variant'!$A:$A,'Product Variant'!$C:$C,"NOT FOUND")</f>
        <v>[Young Chemical Vina] Băng keo cuộn co giãn - Fix Roll (15cmx10m)</v>
      </c>
      <c r="E100" s="10" t="str" cm="1">
        <f t="array" ref="E100">_xlfn.TEXTJOIN(" / ",TRUE,_xlfn.XLOOKUP(B100&amp;"|ATTR-27",'Product Variant Attribute'!$A$2:$A$2000&amp;"|"&amp;'Product Variant Attribute'!$D$2:$D$2000,'Product Variant Attribute'!$F$2:$F$2000,""),_xlfn.XLOOKUP(B100&amp;"|ATTR-24",'Product Variant Attribute'!$A$2:$A$2000&amp;"|"&amp;'Product Variant Attribute'!$D$2:$D$2000,'Product Variant Attribute'!$F$2:$F$2000,""))</f>
        <v/>
      </c>
      <c r="F100" s="11" t="s">
        <v>816</v>
      </c>
      <c r="G100" s="11" t="s">
        <v>910</v>
      </c>
      <c r="H100" s="13">
        <f t="shared" si="2"/>
        <v>1</v>
      </c>
      <c r="I100" s="16" t="str">
        <f>_xlfn.XLOOKUP(C100,Product!$A:$A,Product!$G:$G,"NOT FOUND")</f>
        <v>cuộn</v>
      </c>
      <c r="J100" s="20">
        <v>240000</v>
      </c>
      <c r="K100" s="15" t="s">
        <v>1327</v>
      </c>
      <c r="L100" s="21" t="s">
        <v>1457</v>
      </c>
      <c r="M100" s="10" t="s">
        <v>911</v>
      </c>
      <c r="N100" s="12" t="s">
        <v>1441</v>
      </c>
      <c r="O100" t="str">
        <f t="shared" si="3"/>
        <v>INSERT INTO public.medical_supply_sellable_unit (code, price, quantity, sale_uom, product_variant_code) VALUES ('PRODUCT-00285-001-01', 240000, 1, 'Hộp', 'PRODUCT-00285-001');</v>
      </c>
    </row>
    <row r="101" spans="1:15" x14ac:dyDescent="0.25">
      <c r="A101" s="10" t="str">
        <f>B101&amp;"-"&amp;TEXT(COUNTIF(B$2:B101,B101),"00")</f>
        <v>PRODUCT-00286-001-01</v>
      </c>
      <c r="B101" s="11" t="s">
        <v>1715</v>
      </c>
      <c r="C101" s="10" t="str">
        <f>_xlfn.XLOOKUP(B101,'Product Variant'!$A:$A,'Product Variant'!$B:$B,"NOT FOUND")</f>
        <v>PRODUCT-00286</v>
      </c>
      <c r="D101" s="10" t="str">
        <f>_xlfn.XLOOKUP(B101,'Product Variant'!$A:$A,'Product Variant'!$C:$C,"NOT FOUND")</f>
        <v>[Young Chemical Vina] Băng keo cuộn co giãn - Fix Roll (10cmx2.5m)</v>
      </c>
      <c r="E101" s="10" t="str" cm="1">
        <f t="array" ref="E101">_xlfn.TEXTJOIN(" / ",TRUE,_xlfn.XLOOKUP(B101&amp;"|ATTR-27",'Product Variant Attribute'!$A$2:$A$2000&amp;"|"&amp;'Product Variant Attribute'!$D$2:$D$2000,'Product Variant Attribute'!$F$2:$F$2000,""),_xlfn.XLOOKUP(B101&amp;"|ATTR-24",'Product Variant Attribute'!$A$2:$A$2000&amp;"|"&amp;'Product Variant Attribute'!$D$2:$D$2000,'Product Variant Attribute'!$F$2:$F$2000,""))</f>
        <v/>
      </c>
      <c r="F101" s="11" t="s">
        <v>816</v>
      </c>
      <c r="G101" s="11" t="s">
        <v>910</v>
      </c>
      <c r="H101" s="13">
        <f t="shared" si="2"/>
        <v>1</v>
      </c>
      <c r="I101" s="16" t="str">
        <f>_xlfn.XLOOKUP(C101,Product!$A:$A,Product!$G:$G,"NOT FOUND")</f>
        <v>cuộn</v>
      </c>
      <c r="J101" s="20">
        <v>50000</v>
      </c>
      <c r="K101" s="15" t="s">
        <v>1327</v>
      </c>
      <c r="L101" s="21" t="s">
        <v>1458</v>
      </c>
      <c r="M101" s="10" t="s">
        <v>911</v>
      </c>
      <c r="N101" s="12" t="s">
        <v>1442</v>
      </c>
      <c r="O101" t="str">
        <f t="shared" si="3"/>
        <v>INSERT INTO public.medical_supply_sellable_unit (code, price, quantity, sale_uom, product_variant_code) VALUES ('PRODUCT-00286-001-01', 50000, 1, 'Hộp', 'PRODUCT-00286-001');</v>
      </c>
    </row>
    <row r="102" spans="1:15" x14ac:dyDescent="0.25">
      <c r="A102" s="10" t="str">
        <f>B102&amp;"-"&amp;TEXT(COUNTIF(B$2:B102,B102),"00")</f>
        <v>PRODUCT-00043-001-01</v>
      </c>
      <c r="B102" s="11" t="s">
        <v>1716</v>
      </c>
      <c r="C102" s="10" t="str">
        <f>_xlfn.XLOOKUP(B102,'Product Variant'!$A:$A,'Product Variant'!$B:$B,"NOT FOUND")</f>
        <v>PRODUCT-00043</v>
      </c>
      <c r="D102" s="10" t="str">
        <f>_xlfn.XLOOKUP(B102,'Product Variant'!$A:$A,'Product Variant'!$C:$C,"NOT FOUND")</f>
        <v>[Young Chemical Vina] Băng keo cuộn giấy dành cho da nhạy cảm - Young Plaster-Paper (1.25cmx5m)</v>
      </c>
      <c r="E102" s="10" t="str" cm="1">
        <f t="array" ref="E102">_xlfn.TEXTJOIN(" / ",TRUE,_xlfn.XLOOKUP(B102&amp;"|ATTR-27",'Product Variant Attribute'!$A$2:$A$2000&amp;"|"&amp;'Product Variant Attribute'!$D$2:$D$2000,'Product Variant Attribute'!$F$2:$F$2000,""),_xlfn.XLOOKUP(B102&amp;"|ATTR-24",'Product Variant Attribute'!$A$2:$A$2000&amp;"|"&amp;'Product Variant Attribute'!$D$2:$D$2000,'Product Variant Attribute'!$F$2:$F$2000,""))</f>
        <v/>
      </c>
      <c r="F102" s="11" t="s">
        <v>816</v>
      </c>
      <c r="G102" s="11" t="s">
        <v>910</v>
      </c>
      <c r="H102" s="13">
        <f t="shared" si="2"/>
        <v>1</v>
      </c>
      <c r="I102" s="16" t="str">
        <f>_xlfn.XLOOKUP(C102,Product!$A:$A,Product!$G:$G,"NOT FOUND")</f>
        <v>cuộn</v>
      </c>
      <c r="J102" s="20">
        <v>11000</v>
      </c>
      <c r="K102" s="15" t="s">
        <v>1327</v>
      </c>
      <c r="L102" s="21" t="s">
        <v>1459</v>
      </c>
      <c r="M102" s="10" t="s">
        <v>912</v>
      </c>
      <c r="N102" s="12" t="s">
        <v>1460</v>
      </c>
      <c r="O102" t="str">
        <f t="shared" si="3"/>
        <v>INSERT INTO public.medical_supply_sellable_unit (code, price, quantity, sale_uom, product_variant_code) VALUES ('PRODUCT-00043-001-01', 11000, 1, 'Hộp', 'PRODUCT-00043-001');</v>
      </c>
    </row>
    <row r="103" spans="1:15" x14ac:dyDescent="0.25">
      <c r="A103" s="10" t="str">
        <f>B103&amp;"-"&amp;TEXT(COUNTIF(B$2:B103,B103),"00")</f>
        <v>PRODUCT-00287-001-01</v>
      </c>
      <c r="B103" s="11" t="s">
        <v>1717</v>
      </c>
      <c r="C103" s="10" t="str">
        <f>_xlfn.XLOOKUP(B103,'Product Variant'!$A:$A,'Product Variant'!$B:$B,"NOT FOUND")</f>
        <v>PRODUCT-00287</v>
      </c>
      <c r="D103" s="10" t="str">
        <f>_xlfn.XLOOKUP(B103,'Product Variant'!$A:$A,'Product Variant'!$C:$C,"NOT FOUND")</f>
        <v>[Young Chemical Vina] Băng keo cuộn giấy dành cho da nhạy cảm - Young Plaster-Paper (2.5cmx5m)</v>
      </c>
      <c r="E103" s="10" t="str" cm="1">
        <f t="array" ref="E103">_xlfn.TEXTJOIN(" / ",TRUE,_xlfn.XLOOKUP(B103&amp;"|ATTR-27",'Product Variant Attribute'!$A$2:$A$2000&amp;"|"&amp;'Product Variant Attribute'!$D$2:$D$2000,'Product Variant Attribute'!$F$2:$F$2000,""),_xlfn.XLOOKUP(B103&amp;"|ATTR-24",'Product Variant Attribute'!$A$2:$A$2000&amp;"|"&amp;'Product Variant Attribute'!$D$2:$D$2000,'Product Variant Attribute'!$F$2:$F$2000,""))</f>
        <v/>
      </c>
      <c r="F103" s="11" t="s">
        <v>816</v>
      </c>
      <c r="G103" s="11" t="s">
        <v>910</v>
      </c>
      <c r="H103" s="13">
        <f t="shared" si="2"/>
        <v>1</v>
      </c>
      <c r="I103" s="16" t="str">
        <f>_xlfn.XLOOKUP(C103,Product!$A:$A,Product!$G:$G,"NOT FOUND")</f>
        <v>cuộn</v>
      </c>
      <c r="J103" s="20">
        <v>18000</v>
      </c>
      <c r="K103" s="15" t="s">
        <v>1327</v>
      </c>
      <c r="L103" s="21" t="s">
        <v>1461</v>
      </c>
      <c r="M103" s="10" t="s">
        <v>912</v>
      </c>
      <c r="N103" s="12" t="s">
        <v>1462</v>
      </c>
      <c r="O103" t="str">
        <f t="shared" si="3"/>
        <v>INSERT INTO public.medical_supply_sellable_unit (code, price, quantity, sale_uom, product_variant_code) VALUES ('PRODUCT-00287-001-01', 18000, 1, 'Hộp', 'PRODUCT-00287-001');</v>
      </c>
    </row>
    <row r="104" spans="1:15" x14ac:dyDescent="0.25">
      <c r="A104" s="10" t="str">
        <f>B104&amp;"-"&amp;TEXT(COUNTIF(B$2:B104,B104),"00")</f>
        <v>PRODUCT-00043-001-02</v>
      </c>
      <c r="B104" s="11" t="s">
        <v>1716</v>
      </c>
      <c r="C104" s="10" t="str">
        <f>_xlfn.XLOOKUP(B104,'Product Variant'!$A:$A,'Product Variant'!$B:$B,"NOT FOUND")</f>
        <v>PRODUCT-00043</v>
      </c>
      <c r="D104" s="10" t="str">
        <f>_xlfn.XLOOKUP(B104,'Product Variant'!$A:$A,'Product Variant'!$C:$C,"NOT FOUND")</f>
        <v>[Young Chemical Vina] Băng keo cuộn giấy dành cho da nhạy cảm - Young Plaster-Paper (1.25cmx5m)</v>
      </c>
      <c r="E104" s="10" t="str" cm="1">
        <f t="array" ref="E104">_xlfn.TEXTJOIN(" / ",TRUE,_xlfn.XLOOKUP(B104&amp;"|ATTR-27",'Product Variant Attribute'!$A$2:$A$2000&amp;"|"&amp;'Product Variant Attribute'!$D$2:$D$2000,'Product Variant Attribute'!$F$2:$F$2000,""),_xlfn.XLOOKUP(B104&amp;"|ATTR-24",'Product Variant Attribute'!$A$2:$A$2000&amp;"|"&amp;'Product Variant Attribute'!$D$2:$D$2000,'Product Variant Attribute'!$F$2:$F$2000,""))</f>
        <v/>
      </c>
      <c r="F104" s="11" t="s">
        <v>816</v>
      </c>
      <c r="G104" s="11" t="s">
        <v>913</v>
      </c>
      <c r="H104" s="13">
        <f t="shared" si="2"/>
        <v>24</v>
      </c>
      <c r="I104" s="16" t="str">
        <f>_xlfn.XLOOKUP(C104,Product!$A:$A,Product!$G:$G,"NOT FOUND")</f>
        <v>cuộn</v>
      </c>
      <c r="J104" s="20">
        <v>240000</v>
      </c>
      <c r="K104" s="15" t="s">
        <v>1323</v>
      </c>
      <c r="L104" s="21">
        <v>35</v>
      </c>
      <c r="M104" s="10" t="s">
        <v>914</v>
      </c>
      <c r="N104" s="12">
        <v>76</v>
      </c>
      <c r="O104" t="str">
        <f t="shared" si="3"/>
        <v>INSERT INTO public.medical_supply_sellable_unit (code, price, quantity, sale_uom, product_variant_code) VALUES ('PRODUCT-00043-001-02', 240000, 24, 'Hộp', 'PRODUCT-00043-001');</v>
      </c>
    </row>
    <row r="105" spans="1:15" x14ac:dyDescent="0.25">
      <c r="A105" s="10" t="str">
        <f>B105&amp;"-"&amp;TEXT(COUNTIF(B$2:B105,B105),"00")</f>
        <v>PRODUCT-00287-001-02</v>
      </c>
      <c r="B105" s="11" t="s">
        <v>1717</v>
      </c>
      <c r="C105" s="10" t="str">
        <f>_xlfn.XLOOKUP(B105,'Product Variant'!$A:$A,'Product Variant'!$B:$B,"NOT FOUND")</f>
        <v>PRODUCT-00287</v>
      </c>
      <c r="D105" s="10" t="str">
        <f>_xlfn.XLOOKUP(B105,'Product Variant'!$A:$A,'Product Variant'!$C:$C,"NOT FOUND")</f>
        <v>[Young Chemical Vina] Băng keo cuộn giấy dành cho da nhạy cảm - Young Plaster-Paper (2.5cmx5m)</v>
      </c>
      <c r="E105" s="10" t="str" cm="1">
        <f t="array" ref="E105">_xlfn.TEXTJOIN(" / ",TRUE,_xlfn.XLOOKUP(B105&amp;"|ATTR-27",'Product Variant Attribute'!$A$2:$A$2000&amp;"|"&amp;'Product Variant Attribute'!$D$2:$D$2000,'Product Variant Attribute'!$F$2:$F$2000,""),_xlfn.XLOOKUP(B105&amp;"|ATTR-24",'Product Variant Attribute'!$A$2:$A$2000&amp;"|"&amp;'Product Variant Attribute'!$D$2:$D$2000,'Product Variant Attribute'!$F$2:$F$2000,""))</f>
        <v/>
      </c>
      <c r="F105" s="11" t="s">
        <v>816</v>
      </c>
      <c r="G105" s="11" t="s">
        <v>915</v>
      </c>
      <c r="H105" s="13">
        <f t="shared" si="2"/>
        <v>12</v>
      </c>
      <c r="I105" s="16" t="str">
        <f>_xlfn.XLOOKUP(C105,Product!$A:$A,Product!$G:$G,"NOT FOUND")</f>
        <v>cuộn</v>
      </c>
      <c r="J105" s="20">
        <v>204000</v>
      </c>
      <c r="K105" s="15" t="s">
        <v>1323</v>
      </c>
      <c r="L105" s="21">
        <v>36</v>
      </c>
      <c r="M105" s="10" t="s">
        <v>916</v>
      </c>
      <c r="N105" s="12">
        <v>78</v>
      </c>
      <c r="O105" t="str">
        <f t="shared" si="3"/>
        <v>INSERT INTO public.medical_supply_sellable_unit (code, price, quantity, sale_uom, product_variant_code) VALUES ('PRODUCT-00287-001-02', 204000, 12, 'Hộp', 'PRODUCT-00287-001');</v>
      </c>
    </row>
    <row r="106" spans="1:15" x14ac:dyDescent="0.25">
      <c r="A106" s="10" t="str">
        <f>B106&amp;"-"&amp;TEXT(COUNTIF(B$2:B106,B106),"00")</f>
        <v>PRODUCT-00044-001-01</v>
      </c>
      <c r="B106" s="11" t="s">
        <v>1718</v>
      </c>
      <c r="C106" s="10" t="str">
        <f>_xlfn.XLOOKUP(B106,'Product Variant'!$A:$A,'Product Variant'!$B:$B,"NOT FOUND")</f>
        <v>PRODUCT-00044</v>
      </c>
      <c r="D106" s="10" t="str">
        <f>_xlfn.XLOOKUP(B106,'Product Variant'!$A:$A,'Product Variant'!$C:$C,"NOT FOUND")</f>
        <v>[Young Chemical Vina] Băng keo cuộn lụa - Young Plaster-Silk (1.25cmx5m)</v>
      </c>
      <c r="E106" s="10" t="str" cm="1">
        <f t="array" ref="E106">_xlfn.TEXTJOIN(" / ",TRUE,_xlfn.XLOOKUP(B106&amp;"|ATTR-27",'Product Variant Attribute'!$A$2:$A$2000&amp;"|"&amp;'Product Variant Attribute'!$D$2:$D$2000,'Product Variant Attribute'!$F$2:$F$2000,""),_xlfn.XLOOKUP(B106&amp;"|ATTR-24",'Product Variant Attribute'!$A$2:$A$2000&amp;"|"&amp;'Product Variant Attribute'!$D$2:$D$2000,'Product Variant Attribute'!$F$2:$F$2000,""))</f>
        <v/>
      </c>
      <c r="F106" s="11" t="s">
        <v>816</v>
      </c>
      <c r="G106" s="11" t="s">
        <v>910</v>
      </c>
      <c r="H106" s="13">
        <f t="shared" si="2"/>
        <v>1</v>
      </c>
      <c r="I106" s="16" t="str">
        <f>_xlfn.XLOOKUP(C106,Product!$A:$A,Product!$G:$G,"NOT FOUND")</f>
        <v>cuộn</v>
      </c>
      <c r="J106" s="20">
        <v>15000</v>
      </c>
      <c r="K106" s="15" t="s">
        <v>1323</v>
      </c>
      <c r="L106" s="21" t="s">
        <v>1463</v>
      </c>
      <c r="M106" s="10" t="s">
        <v>917</v>
      </c>
      <c r="N106" s="12" t="s">
        <v>1443</v>
      </c>
      <c r="O106" t="str">
        <f t="shared" si="3"/>
        <v>INSERT INTO public.medical_supply_sellable_unit (code, price, quantity, sale_uom, product_variant_code) VALUES ('PRODUCT-00044-001-01', 15000, 1, 'Hộp', 'PRODUCT-00044-001');</v>
      </c>
    </row>
    <row r="107" spans="1:15" x14ac:dyDescent="0.25">
      <c r="A107" s="10" t="str">
        <f>B107&amp;"-"&amp;TEXT(COUNTIF(B$2:B107,B107),"00")</f>
        <v>PRODUCT-00288-001-01</v>
      </c>
      <c r="B107" s="11" t="s">
        <v>1719</v>
      </c>
      <c r="C107" s="10" t="str">
        <f>_xlfn.XLOOKUP(B107,'Product Variant'!$A:$A,'Product Variant'!$B:$B,"NOT FOUND")</f>
        <v>PRODUCT-00288</v>
      </c>
      <c r="D107" s="10" t="str">
        <f>_xlfn.XLOOKUP(B107,'Product Variant'!$A:$A,'Product Variant'!$C:$C,"NOT FOUND")</f>
        <v>[Young Chemical Vina] Băng keo cuộn lụa - Young Plaster-Silk (2.5cmx5m)</v>
      </c>
      <c r="E107" s="10" t="str" cm="1">
        <f t="array" ref="E107">_xlfn.TEXTJOIN(" / ",TRUE,_xlfn.XLOOKUP(B107&amp;"|ATTR-27",'Product Variant Attribute'!$A$2:$A$2000&amp;"|"&amp;'Product Variant Attribute'!$D$2:$D$2000,'Product Variant Attribute'!$F$2:$F$2000,""),_xlfn.XLOOKUP(B107&amp;"|ATTR-24",'Product Variant Attribute'!$A$2:$A$2000&amp;"|"&amp;'Product Variant Attribute'!$D$2:$D$2000,'Product Variant Attribute'!$F$2:$F$2000,""))</f>
        <v/>
      </c>
      <c r="F107" s="11" t="s">
        <v>816</v>
      </c>
      <c r="G107" s="11" t="s">
        <v>910</v>
      </c>
      <c r="H107" s="13">
        <f t="shared" si="2"/>
        <v>1</v>
      </c>
      <c r="I107" s="16" t="str">
        <f>_xlfn.XLOOKUP(C107,Product!$A:$A,Product!$G:$G,"NOT FOUND")</f>
        <v>cuộn</v>
      </c>
      <c r="J107" s="20">
        <v>24000</v>
      </c>
      <c r="K107" s="15" t="s">
        <v>1323</v>
      </c>
      <c r="L107" s="21" t="s">
        <v>1464</v>
      </c>
      <c r="M107" s="10" t="s">
        <v>918</v>
      </c>
      <c r="N107" s="12" t="s">
        <v>1444</v>
      </c>
      <c r="O107" t="str">
        <f t="shared" si="3"/>
        <v>INSERT INTO public.medical_supply_sellable_unit (code, price, quantity, sale_uom, product_variant_code) VALUES ('PRODUCT-00288-001-01', 24000, 1, 'Hộp', 'PRODUCT-00288-001');</v>
      </c>
    </row>
    <row r="108" spans="1:15" x14ac:dyDescent="0.25">
      <c r="A108" s="10" t="str">
        <f>B108&amp;"-"&amp;TEXT(COUNTIF(B$2:B108,B108),"00")</f>
        <v>PRODUCT-00045-001-01</v>
      </c>
      <c r="B108" s="11" t="s">
        <v>1720</v>
      </c>
      <c r="C108" s="10" t="str">
        <f>_xlfn.XLOOKUP(B108,'Product Variant'!$A:$A,'Product Variant'!$B:$B,"NOT FOUND")</f>
        <v>PRODUCT-00045</v>
      </c>
      <c r="D108" s="10" t="str">
        <f>_xlfn.XLOOKUP(B108,'Product Variant'!$A:$A,'Product Variant'!$C:$C,"NOT FOUND")</f>
        <v>[Young Chemical Vina] Băng vô trùng không gạc trong suốt không thấm nước - Sterile Adflex (Non-Pad) (10cmx12cm)</v>
      </c>
      <c r="E108" s="10" t="str" cm="1">
        <f t="array" ref="E108">_xlfn.TEXTJOIN(" / ",TRUE,_xlfn.XLOOKUP(B108&amp;"|ATTR-27",'Product Variant Attribute'!$A$2:$A$2000&amp;"|"&amp;'Product Variant Attribute'!$D$2:$D$2000,'Product Variant Attribute'!$F$2:$F$2000,""),_xlfn.XLOOKUP(B108&amp;"|ATTR-24",'Product Variant Attribute'!$A$2:$A$2000&amp;"|"&amp;'Product Variant Attribute'!$D$2:$D$2000,'Product Variant Attribute'!$F$2:$F$2000,""))</f>
        <v>Trong suốt</v>
      </c>
      <c r="F108" s="11" t="s">
        <v>816</v>
      </c>
      <c r="G108" s="11" t="s">
        <v>897</v>
      </c>
      <c r="H108" s="13">
        <f t="shared" si="2"/>
        <v>50</v>
      </c>
      <c r="I108" s="16" t="str">
        <f>_xlfn.XLOOKUP(C108,Product!$A:$A,Product!$G:$G,"NOT FOUND")</f>
        <v>miếng</v>
      </c>
      <c r="J108" s="22"/>
      <c r="K108" s="15" t="s">
        <v>1326</v>
      </c>
      <c r="L108" s="21"/>
      <c r="M108" s="10" t="s">
        <v>1188</v>
      </c>
      <c r="N108" s="12" t="s">
        <v>1189</v>
      </c>
      <c r="O108" t="str">
        <f t="shared" si="3"/>
        <v>INSERT INTO public.medical_supply_sellable_unit (code, price, quantity, sale_uom, product_variant_code) VALUES ('PRODUCT-00045-001-01', NULL, 50, 'Hộp', 'PRODUCT-00045-001');</v>
      </c>
    </row>
    <row r="109" spans="1:15" x14ac:dyDescent="0.25">
      <c r="A109" s="10" t="str">
        <f>B109&amp;"-"&amp;TEXT(COUNTIF(B$2:B109,B109),"00")</f>
        <v>PRODUCT-00046-001-01</v>
      </c>
      <c r="B109" s="11" t="s">
        <v>1721</v>
      </c>
      <c r="C109" s="10" t="str">
        <f>_xlfn.XLOOKUP(B109,'Product Variant'!$A:$A,'Product Variant'!$B:$B,"NOT FOUND")</f>
        <v>PRODUCT-00046</v>
      </c>
      <c r="D109" s="10" t="str">
        <f>_xlfn.XLOOKUP(B109,'Product Variant'!$A:$A,'Product Variant'!$C:$C,"NOT FOUND")</f>
        <v>[Young Chemical Vina] Miếng dán hydrocolloid hỗ trợ làm lành vết thương - Somaderm-L (7.5cmx7.5cm)</v>
      </c>
      <c r="E109" s="10" t="str" cm="1">
        <f t="array" ref="E109">_xlfn.TEXTJOIN(" / ",TRUE,_xlfn.XLOOKUP(B109&amp;"|ATTR-27",'Product Variant Attribute'!$A$2:$A$2000&amp;"|"&amp;'Product Variant Attribute'!$D$2:$D$2000,'Product Variant Attribute'!$F$2:$F$2000,""),_xlfn.XLOOKUP(B109&amp;"|ATTR-24",'Product Variant Attribute'!$A$2:$A$2000&amp;"|"&amp;'Product Variant Attribute'!$D$2:$D$2000,'Product Variant Attribute'!$F$2:$F$2000,""))</f>
        <v/>
      </c>
      <c r="F109" s="11" t="s">
        <v>817</v>
      </c>
      <c r="G109" s="11" t="s">
        <v>841</v>
      </c>
      <c r="H109" s="13">
        <f t="shared" si="2"/>
        <v>1</v>
      </c>
      <c r="I109" s="16" t="str">
        <f>_xlfn.XLOOKUP(C109,Product!$A:$A,Product!$G:$G,"NOT FOUND")</f>
        <v>miếng</v>
      </c>
      <c r="J109" s="20">
        <v>45000</v>
      </c>
      <c r="K109" s="15" t="s">
        <v>1323</v>
      </c>
      <c r="L109" s="21">
        <v>387</v>
      </c>
      <c r="M109" s="10" t="s">
        <v>1190</v>
      </c>
      <c r="N109" s="12">
        <v>343</v>
      </c>
      <c r="O109" t="str">
        <f t="shared" si="3"/>
        <v>INSERT INTO public.medical_supply_sellable_unit (code, price, quantity, sale_uom, product_variant_code) VALUES ('PRODUCT-00046-001-01', 45000, 1, 'Túi', 'PRODUCT-00046-001');</v>
      </c>
    </row>
    <row r="110" spans="1:15" x14ac:dyDescent="0.25">
      <c r="A110" s="10" t="str">
        <f>B110&amp;"-"&amp;TEXT(COUNTIF(B$2:B110,B110),"00")</f>
        <v>PRODUCT-00289-001-01</v>
      </c>
      <c r="B110" s="11" t="s">
        <v>1722</v>
      </c>
      <c r="C110" s="10" t="str">
        <f>_xlfn.XLOOKUP(B110,'Product Variant'!$A:$A,'Product Variant'!$B:$B,"NOT FOUND")</f>
        <v>PRODUCT-00289</v>
      </c>
      <c r="D110" s="10" t="str">
        <f>_xlfn.XLOOKUP(B110,'Product Variant'!$A:$A,'Product Variant'!$C:$C,"NOT FOUND")</f>
        <v>[Young Chemical Vina] Miếng dán hydrocolloid hỗ trợ làm lành vết thương - Somaderm-L (10cmx10cm)</v>
      </c>
      <c r="E110" s="10" t="str" cm="1">
        <f t="array" ref="E110">_xlfn.TEXTJOIN(" / ",TRUE,_xlfn.XLOOKUP(B110&amp;"|ATTR-27",'Product Variant Attribute'!$A$2:$A$2000&amp;"|"&amp;'Product Variant Attribute'!$D$2:$D$2000,'Product Variant Attribute'!$F$2:$F$2000,""),_xlfn.XLOOKUP(B110&amp;"|ATTR-24",'Product Variant Attribute'!$A$2:$A$2000&amp;"|"&amp;'Product Variant Attribute'!$D$2:$D$2000,'Product Variant Attribute'!$F$2:$F$2000,""))</f>
        <v/>
      </c>
      <c r="F110" s="11" t="s">
        <v>817</v>
      </c>
      <c r="G110" s="11" t="s">
        <v>841</v>
      </c>
      <c r="H110" s="13">
        <f t="shared" si="2"/>
        <v>1</v>
      </c>
      <c r="I110" s="16" t="str">
        <f>_xlfn.XLOOKUP(C110,Product!$A:$A,Product!$G:$G,"NOT FOUND")</f>
        <v>miếng</v>
      </c>
      <c r="J110" s="20">
        <v>55000</v>
      </c>
      <c r="K110" s="15" t="s">
        <v>1323</v>
      </c>
      <c r="L110" s="21">
        <v>388</v>
      </c>
      <c r="M110" s="10" t="s">
        <v>919</v>
      </c>
      <c r="N110" s="12">
        <v>344</v>
      </c>
      <c r="O110" t="str">
        <f t="shared" si="3"/>
        <v>INSERT INTO public.medical_supply_sellable_unit (code, price, quantity, sale_uom, product_variant_code) VALUES ('PRODUCT-00289-001-01', 55000, 1, 'Túi', 'PRODUCT-00289-001');</v>
      </c>
    </row>
    <row r="111" spans="1:15" x14ac:dyDescent="0.25">
      <c r="A111" s="10" t="str">
        <f>B111&amp;"-"&amp;TEXT(COUNTIF(B$2:B111,B111),"00")</f>
        <v>PRODUCT-00047-001-01</v>
      </c>
      <c r="B111" s="11" t="s">
        <v>1723</v>
      </c>
      <c r="C111" s="10" t="str">
        <f>_xlfn.XLOOKUP(B111,'Product Variant'!$A:$A,'Product Variant'!$B:$B,"NOT FOUND")</f>
        <v>PRODUCT-00047</v>
      </c>
      <c r="D111" s="10" t="str">
        <f>_xlfn.XLOOKUP(B111,'Product Variant'!$A:$A,'Product Variant'!$C:$C,"NOT FOUND")</f>
        <v>Bộ gạc xốp phủ vết thương điều trị áp lực âm kèm chức năng rửa - MJ-03</v>
      </c>
      <c r="E111" s="10" t="str" cm="1">
        <f t="array" ref="E111">_xlfn.TEXTJOIN(" / ",TRUE,_xlfn.XLOOKUP(B111&amp;"|ATTR-27",'Product Variant Attribute'!$A$2:$A$2000&amp;"|"&amp;'Product Variant Attribute'!$D$2:$D$2000,'Product Variant Attribute'!$F$2:$F$2000,""),_xlfn.XLOOKUP(B111&amp;"|ATTR-24",'Product Variant Attribute'!$A$2:$A$2000&amp;"|"&amp;'Product Variant Attribute'!$D$2:$D$2000,'Product Variant Attribute'!$F$2:$F$2000,""))</f>
        <v/>
      </c>
      <c r="F111" s="11" t="s">
        <v>815</v>
      </c>
      <c r="G111" s="11" t="s">
        <v>826</v>
      </c>
      <c r="H111" s="13">
        <f t="shared" si="2"/>
        <v>1</v>
      </c>
      <c r="I111" s="16" t="str">
        <f>_xlfn.XLOOKUP(C111,Product!$A:$A,Product!$G:$G,"NOT FOUND")</f>
        <v>bộ</v>
      </c>
      <c r="J111" s="22"/>
      <c r="K111" s="15" t="s">
        <v>1468</v>
      </c>
      <c r="L111" s="21">
        <v>242</v>
      </c>
      <c r="M111" s="10" t="s">
        <v>1191</v>
      </c>
      <c r="N111" s="12">
        <v>91</v>
      </c>
      <c r="O111" t="str">
        <f t="shared" si="3"/>
        <v>INSERT INTO public.medical_supply_sellable_unit (code, price, quantity, sale_uom, product_variant_code) VALUES ('PRODUCT-00047-001-01', NULL, 1, 'Bộ', 'PRODUCT-00047-001');</v>
      </c>
    </row>
    <row r="112" spans="1:15" x14ac:dyDescent="0.25">
      <c r="A112" s="10" t="str">
        <f>B112&amp;"-"&amp;TEXT(COUNTIF(B$2:B112,B112),"00")</f>
        <v>PRODUCT-00048-001-01</v>
      </c>
      <c r="B112" s="11" t="s">
        <v>1724</v>
      </c>
      <c r="C112" s="10" t="str">
        <f>_xlfn.XLOOKUP(B112,'Product Variant'!$A:$A,'Product Variant'!$B:$B,"NOT FOUND")</f>
        <v>PRODUCT-00048</v>
      </c>
      <c r="D112" s="10" t="str">
        <f>_xlfn.XLOOKUP(B112,'Product Variant'!$A:$A,'Product Variant'!$C:$C,"NOT FOUND")</f>
        <v>Máy hút dịch áp lực âm VAC - MJ-100</v>
      </c>
      <c r="E112" s="10" t="str" cm="1">
        <f t="array" ref="E112">_xlfn.TEXTJOIN(" / ",TRUE,_xlfn.XLOOKUP(B112&amp;"|ATTR-27",'Product Variant Attribute'!$A$2:$A$2000&amp;"|"&amp;'Product Variant Attribute'!$D$2:$D$2000,'Product Variant Attribute'!$F$2:$F$2000,""),_xlfn.XLOOKUP(B112&amp;"|ATTR-24",'Product Variant Attribute'!$A$2:$A$2000&amp;"|"&amp;'Product Variant Attribute'!$D$2:$D$2000,'Product Variant Attribute'!$F$2:$F$2000,""))</f>
        <v/>
      </c>
      <c r="F112" s="11" t="s">
        <v>815</v>
      </c>
      <c r="G112" s="11" t="s">
        <v>826</v>
      </c>
      <c r="H112" s="13">
        <f t="shared" ref="H112:H175" si="4">IFERROR(--LEFT(G112,FIND(" ",G112&amp;" ")-1),"")</f>
        <v>1</v>
      </c>
      <c r="I112" s="16" t="str">
        <f>_xlfn.XLOOKUP(C112,Product!$A:$A,Product!$G:$G,"NOT FOUND")</f>
        <v>bộ</v>
      </c>
      <c r="J112" s="22"/>
      <c r="K112" s="15" t="s">
        <v>1468</v>
      </c>
      <c r="L112" s="21">
        <v>243</v>
      </c>
      <c r="M112" s="10" t="s">
        <v>920</v>
      </c>
      <c r="N112" s="12">
        <v>323</v>
      </c>
      <c r="O112" t="str">
        <f t="shared" si="3"/>
        <v>INSERT INTO public.medical_supply_sellable_unit (code, price, quantity, sale_uom, product_variant_code) VALUES ('PRODUCT-00048-001-01', NULL, 1, 'Bộ', 'PRODUCT-00048-001');</v>
      </c>
    </row>
    <row r="113" spans="1:15" x14ac:dyDescent="0.25">
      <c r="A113" s="10" t="str">
        <f>B113&amp;"-"&amp;TEXT(COUNTIF(B$2:B113,B113),"00")</f>
        <v>PRODUCT-00049-001-01</v>
      </c>
      <c r="B113" s="11" t="s">
        <v>1725</v>
      </c>
      <c r="C113" s="10" t="str">
        <f>_xlfn.XLOOKUP(B113,'Product Variant'!$A:$A,'Product Variant'!$B:$B,"NOT FOUND")</f>
        <v>PRODUCT-00049</v>
      </c>
      <c r="D113" s="10" t="str">
        <f>_xlfn.XLOOKUP(B113,'Product Variant'!$A:$A,'Product Variant'!$C:$C,"NOT FOUND")</f>
        <v>Miếng dán ép sẹo silicone (10cmx1.7cm)</v>
      </c>
      <c r="E113" s="10" t="str" cm="1">
        <f t="array" ref="E113">_xlfn.TEXTJOIN(" / ",TRUE,_xlfn.XLOOKUP(B113&amp;"|ATTR-27",'Product Variant Attribute'!$A$2:$A$2000&amp;"|"&amp;'Product Variant Attribute'!$D$2:$D$2000,'Product Variant Attribute'!$F$2:$F$2000,""),_xlfn.XLOOKUP(B113&amp;"|ATTR-24",'Product Variant Attribute'!$A$2:$A$2000&amp;"|"&amp;'Product Variant Attribute'!$D$2:$D$2000,'Product Variant Attribute'!$F$2:$F$2000,""))</f>
        <v/>
      </c>
      <c r="F113" s="11" t="s">
        <v>817</v>
      </c>
      <c r="G113" s="11" t="s">
        <v>841</v>
      </c>
      <c r="H113" s="13">
        <f t="shared" si="4"/>
        <v>1</v>
      </c>
      <c r="I113" s="16" t="str">
        <f>_xlfn.XLOOKUP(C113,Product!$A:$A,Product!$G:$G,"NOT FOUND")</f>
        <v>miếng</v>
      </c>
      <c r="J113" s="20">
        <v>359100</v>
      </c>
      <c r="K113" s="15" t="s">
        <v>1323</v>
      </c>
      <c r="L113" s="21">
        <v>29</v>
      </c>
      <c r="M113" s="10" t="s">
        <v>921</v>
      </c>
      <c r="N113" s="12">
        <v>341</v>
      </c>
      <c r="O113" t="str">
        <f t="shared" si="3"/>
        <v>INSERT INTO public.medical_supply_sellable_unit (code, price, quantity, sale_uom, product_variant_code) VALUES ('PRODUCT-00049-001-01', 359100, 1, 'Túi', 'PRODUCT-00049-001');</v>
      </c>
    </row>
    <row r="114" spans="1:15" x14ac:dyDescent="0.25">
      <c r="A114" s="10" t="str">
        <f>B114&amp;"-"&amp;TEXT(COUNTIF(B$2:B114,B114),"00")</f>
        <v>PRODUCT-00290-001-01</v>
      </c>
      <c r="B114" s="11" t="s">
        <v>1726</v>
      </c>
      <c r="C114" s="10" t="str">
        <f>_xlfn.XLOOKUP(B114,'Product Variant'!$A:$A,'Product Variant'!$B:$B,"NOT FOUND")</f>
        <v>PRODUCT-00290</v>
      </c>
      <c r="D114" s="10" t="str">
        <f>_xlfn.XLOOKUP(B114,'Product Variant'!$A:$A,'Product Variant'!$C:$C,"NOT FOUND")</f>
        <v>Miếng dán ép sẹo silicone (14cmx3.8cm)</v>
      </c>
      <c r="E114" s="10" t="str" cm="1">
        <f t="array" ref="E114">_xlfn.TEXTJOIN(" / ",TRUE,_xlfn.XLOOKUP(B114&amp;"|ATTR-27",'Product Variant Attribute'!$A$2:$A$2000&amp;"|"&amp;'Product Variant Attribute'!$D$2:$D$2000,'Product Variant Attribute'!$F$2:$F$2000,""),_xlfn.XLOOKUP(B114&amp;"|ATTR-24",'Product Variant Attribute'!$A$2:$A$2000&amp;"|"&amp;'Product Variant Attribute'!$D$2:$D$2000,'Product Variant Attribute'!$F$2:$F$2000,""))</f>
        <v/>
      </c>
      <c r="F114" s="11" t="s">
        <v>817</v>
      </c>
      <c r="G114" s="11" t="s">
        <v>841</v>
      </c>
      <c r="H114" s="13">
        <f t="shared" si="4"/>
        <v>1</v>
      </c>
      <c r="I114" s="16" t="str">
        <f>_xlfn.XLOOKUP(C114,Product!$A:$A,Product!$G:$G,"NOT FOUND")</f>
        <v>miếng</v>
      </c>
      <c r="J114" s="20">
        <v>522900</v>
      </c>
      <c r="K114" s="15" t="s">
        <v>1323</v>
      </c>
      <c r="L114" s="21">
        <v>28</v>
      </c>
      <c r="M114" s="10" t="s">
        <v>922</v>
      </c>
      <c r="N114" s="12">
        <v>342</v>
      </c>
      <c r="O114" t="str">
        <f t="shared" si="3"/>
        <v>INSERT INTO public.medical_supply_sellable_unit (code, price, quantity, sale_uom, product_variant_code) VALUES ('PRODUCT-00290-001-01', 522900, 1, 'Túi', 'PRODUCT-00290-001');</v>
      </c>
    </row>
    <row r="115" spans="1:15" x14ac:dyDescent="0.25">
      <c r="A115" s="10" t="str">
        <f>B115&amp;"-"&amp;TEXT(COUNTIF(B$2:B115,B115),"00")</f>
        <v>PRODUCT-00050-001-01</v>
      </c>
      <c r="B115" s="11" t="s">
        <v>1727</v>
      </c>
      <c r="C115" s="10" t="str">
        <f>_xlfn.XLOOKUP(B115,'Product Variant'!$A:$A,'Product Variant'!$B:$B,"NOT FOUND")</f>
        <v>PRODUCT-00050</v>
      </c>
      <c r="D115" s="10" t="str">
        <f>_xlfn.XLOOKUP(B115,'Product Variant'!$A:$A,'Product Variant'!$C:$C,"NOT FOUND")</f>
        <v>[Aveflor] Bình xịt lạnh giảm đau - Chillit (250ml)</v>
      </c>
      <c r="E115" s="10" t="str" cm="1">
        <f t="array" ref="E115">_xlfn.TEXTJOIN(" / ",TRUE,_xlfn.XLOOKUP(B115&amp;"|ATTR-27",'Product Variant Attribute'!$A$2:$A$2000&amp;"|"&amp;'Product Variant Attribute'!$D$2:$D$2000,'Product Variant Attribute'!$F$2:$F$2000,""),_xlfn.XLOOKUP(B115&amp;"|ATTR-24",'Product Variant Attribute'!$A$2:$A$2000&amp;"|"&amp;'Product Variant Attribute'!$D$2:$D$2000,'Product Variant Attribute'!$F$2:$F$2000,""))</f>
        <v/>
      </c>
      <c r="F115" s="11" t="s">
        <v>816</v>
      </c>
      <c r="G115" s="11" t="s">
        <v>854</v>
      </c>
      <c r="H115" s="13">
        <f t="shared" si="4"/>
        <v>1</v>
      </c>
      <c r="I115" s="16" t="str">
        <f>_xlfn.XLOOKUP(C115,Product!$A:$A,Product!$G:$G,"NOT FOUND")</f>
        <v>chai</v>
      </c>
      <c r="J115" s="20">
        <v>250000</v>
      </c>
      <c r="K115" s="15" t="s">
        <v>1323</v>
      </c>
      <c r="L115" s="21">
        <v>11</v>
      </c>
      <c r="M115" s="10" t="s">
        <v>923</v>
      </c>
      <c r="N115" s="12">
        <v>87</v>
      </c>
      <c r="O115" t="str">
        <f t="shared" si="3"/>
        <v>INSERT INTO public.medical_supply_sellable_unit (code, price, quantity, sale_uom, product_variant_code) VALUES ('PRODUCT-00050-001-01', 250000, 1, 'Hộp', 'PRODUCT-00050-001');</v>
      </c>
    </row>
    <row r="116" spans="1:15" x14ac:dyDescent="0.25">
      <c r="A116" s="10" t="str">
        <f>B116&amp;"-"&amp;TEXT(COUNTIF(B$2:B116,B116),"00")</f>
        <v>PRODUCT-00051-001-01</v>
      </c>
      <c r="B116" s="11" t="s">
        <v>1728</v>
      </c>
      <c r="C116" s="10" t="str">
        <f>_xlfn.XLOOKUP(B116,'Product Variant'!$A:$A,'Product Variant'!$B:$B,"NOT FOUND")</f>
        <v>PRODUCT-00051</v>
      </c>
      <c r="D116" s="10" t="str">
        <f>_xlfn.XLOOKUP(B116,'Product Variant'!$A:$A,'Product Variant'!$C:$C,"NOT FOUND")</f>
        <v>[CODY Health] Băng thun bảo vệ đầu gối</v>
      </c>
      <c r="E116" s="10" t="str" cm="1">
        <f t="array" ref="E116">_xlfn.TEXTJOIN(" / ",TRUE,_xlfn.XLOOKUP(B116&amp;"|ATTR-27",'Product Variant Attribute'!$A$2:$A$2000&amp;"|"&amp;'Product Variant Attribute'!$D$2:$D$2000,'Product Variant Attribute'!$F$2:$F$2000,""),_xlfn.XLOOKUP(B116&amp;"|ATTR-24",'Product Variant Attribute'!$A$2:$A$2000&amp;"|"&amp;'Product Variant Attribute'!$D$2:$D$2000,'Product Variant Attribute'!$F$2:$F$2000,""))</f>
        <v/>
      </c>
      <c r="F116" s="11" t="s">
        <v>816</v>
      </c>
      <c r="G116" s="11" t="s">
        <v>924</v>
      </c>
      <c r="H116" s="13">
        <f t="shared" si="4"/>
        <v>1</v>
      </c>
      <c r="I116" s="16" t="str">
        <f>_xlfn.XLOOKUP(C116,Product!$A:$A,Product!$G:$G,"NOT FOUND")</f>
        <v>chiếc</v>
      </c>
      <c r="J116" s="20">
        <v>160000</v>
      </c>
      <c r="K116" s="15" t="s">
        <v>1323</v>
      </c>
      <c r="L116" s="21">
        <v>114</v>
      </c>
      <c r="M116" s="10" t="s">
        <v>925</v>
      </c>
      <c r="N116" s="12">
        <v>83</v>
      </c>
      <c r="O116" t="str">
        <f t="shared" si="3"/>
        <v>INSERT INTO public.medical_supply_sellable_unit (code, price, quantity, sale_uom, product_variant_code) VALUES ('PRODUCT-00051-001-01', 160000, 1, 'Hộp', 'PRODUCT-00051-001');</v>
      </c>
    </row>
    <row r="117" spans="1:15" x14ac:dyDescent="0.25">
      <c r="A117" s="10" t="str">
        <f>B117&amp;"-"&amp;TEXT(COUNTIF(B$2:B117,B117),"00")</f>
        <v>PRODUCT-00052-001-01</v>
      </c>
      <c r="B117" s="11" t="s">
        <v>1729</v>
      </c>
      <c r="C117" s="10" t="str">
        <f>_xlfn.XLOOKUP(B117,'Product Variant'!$A:$A,'Product Variant'!$B:$B,"NOT FOUND")</f>
        <v>PRODUCT-00052</v>
      </c>
      <c r="D117" s="10" t="str">
        <f>_xlfn.XLOOKUP(B117,'Product Variant'!$A:$A,'Product Variant'!$C:$C,"NOT FOUND")</f>
        <v>[CODY Health] Đai đầu gối tập luyện thể thao</v>
      </c>
      <c r="E117" s="10" t="str" cm="1">
        <f t="array" ref="E117">_xlfn.TEXTJOIN(" / ",TRUE,_xlfn.XLOOKUP(B117&amp;"|ATTR-27",'Product Variant Attribute'!$A$2:$A$2000&amp;"|"&amp;'Product Variant Attribute'!$D$2:$D$2000,'Product Variant Attribute'!$F$2:$F$2000,""),_xlfn.XLOOKUP(B117&amp;"|ATTR-24",'Product Variant Attribute'!$A$2:$A$2000&amp;"|"&amp;'Product Variant Attribute'!$D$2:$D$2000,'Product Variant Attribute'!$F$2:$F$2000,""))</f>
        <v/>
      </c>
      <c r="F117" s="11" t="s">
        <v>816</v>
      </c>
      <c r="G117" s="11" t="s">
        <v>924</v>
      </c>
      <c r="H117" s="13">
        <f t="shared" si="4"/>
        <v>1</v>
      </c>
      <c r="I117" s="16" t="str">
        <f>_xlfn.XLOOKUP(C117,Product!$A:$A,Product!$G:$G,"NOT FOUND")</f>
        <v>chiếc</v>
      </c>
      <c r="J117" s="20">
        <v>410000</v>
      </c>
      <c r="K117" s="15" t="s">
        <v>1323</v>
      </c>
      <c r="L117" s="21">
        <v>115</v>
      </c>
      <c r="M117" s="10" t="s">
        <v>926</v>
      </c>
      <c r="N117" s="12">
        <v>148</v>
      </c>
      <c r="O117" t="str">
        <f t="shared" si="3"/>
        <v>INSERT INTO public.medical_supply_sellable_unit (code, price, quantity, sale_uom, product_variant_code) VALUES ('PRODUCT-00052-001-01', 410000, 1, 'Hộp', 'PRODUCT-00052-001');</v>
      </c>
    </row>
    <row r="118" spans="1:15" x14ac:dyDescent="0.25">
      <c r="A118" s="10" t="str">
        <f>B118&amp;"-"&amp;TEXT(COUNTIF(B$2:B118,B118),"00")</f>
        <v>PRODUCT-00053-001-01</v>
      </c>
      <c r="B118" s="11" t="s">
        <v>1730</v>
      </c>
      <c r="C118" s="10" t="str">
        <f>_xlfn.XLOOKUP(B118,'Product Variant'!$A:$A,'Product Variant'!$B:$B,"NOT FOUND")</f>
        <v>PRODUCT-00053</v>
      </c>
      <c r="D118" s="10" t="str">
        <f>_xlfn.XLOOKUP(B118,'Product Variant'!$A:$A,'Product Variant'!$C:$C,"NOT FOUND")</f>
        <v>[CODY Health] Đai lưng cố định cột sống</v>
      </c>
      <c r="E118" s="10" t="str" cm="1">
        <f t="array" ref="E118">_xlfn.TEXTJOIN(" / ",TRUE,_xlfn.XLOOKUP(B118&amp;"|ATTR-27",'Product Variant Attribute'!$A$2:$A$2000&amp;"|"&amp;'Product Variant Attribute'!$D$2:$D$2000,'Product Variant Attribute'!$F$2:$F$2000,""),_xlfn.XLOOKUP(B118&amp;"|ATTR-24",'Product Variant Attribute'!$A$2:$A$2000&amp;"|"&amp;'Product Variant Attribute'!$D$2:$D$2000,'Product Variant Attribute'!$F$2:$F$2000,""))</f>
        <v>S</v>
      </c>
      <c r="F118" s="11" t="s">
        <v>818</v>
      </c>
      <c r="G118" s="11" t="s">
        <v>927</v>
      </c>
      <c r="H118" s="13">
        <f t="shared" si="4"/>
        <v>1</v>
      </c>
      <c r="I118" s="16" t="str">
        <f>_xlfn.XLOOKUP(C118,Product!$A:$A,Product!$G:$G,"NOT FOUND")</f>
        <v>cái</v>
      </c>
      <c r="J118" s="20">
        <v>620000</v>
      </c>
      <c r="K118" s="15" t="s">
        <v>1327</v>
      </c>
      <c r="L118" s="21">
        <v>110</v>
      </c>
      <c r="M118" s="10" t="s">
        <v>928</v>
      </c>
      <c r="N118" s="12">
        <v>152</v>
      </c>
      <c r="O118" t="str">
        <f t="shared" si="3"/>
        <v>INSERT INTO public.medical_supply_sellable_unit (code, price, quantity, sale_uom, product_variant_code) VALUES ('PRODUCT-00053-001-01', 620000, 1, 'Cái', 'PRODUCT-00053-001');</v>
      </c>
    </row>
    <row r="119" spans="1:15" x14ac:dyDescent="0.25">
      <c r="A119" s="10" t="str">
        <f>B119&amp;"-"&amp;TEXT(COUNTIF(B$2:B119,B119),"00")</f>
        <v>PRODUCT-00053-002-01</v>
      </c>
      <c r="B119" s="11" t="s">
        <v>1731</v>
      </c>
      <c r="C119" s="10" t="str">
        <f>_xlfn.XLOOKUP(B119,'Product Variant'!$A:$A,'Product Variant'!$B:$B,"NOT FOUND")</f>
        <v>PRODUCT-00053</v>
      </c>
      <c r="D119" s="10" t="str">
        <f>_xlfn.XLOOKUP(B119,'Product Variant'!$A:$A,'Product Variant'!$C:$C,"NOT FOUND")</f>
        <v>[CODY Health] Đai lưng cố định cột sống</v>
      </c>
      <c r="E119" s="10" t="str" cm="1">
        <f t="array" ref="E119">_xlfn.TEXTJOIN(" / ",TRUE,_xlfn.XLOOKUP(B119&amp;"|ATTR-27",'Product Variant Attribute'!$A$2:$A$2000&amp;"|"&amp;'Product Variant Attribute'!$D$2:$D$2000,'Product Variant Attribute'!$F$2:$F$2000,""),_xlfn.XLOOKUP(B119&amp;"|ATTR-24",'Product Variant Attribute'!$A$2:$A$2000&amp;"|"&amp;'Product Variant Attribute'!$D$2:$D$2000,'Product Variant Attribute'!$F$2:$F$2000,""))</f>
        <v>M</v>
      </c>
      <c r="F119" s="11" t="s">
        <v>818</v>
      </c>
      <c r="G119" s="11" t="s">
        <v>927</v>
      </c>
      <c r="H119" s="13">
        <f t="shared" si="4"/>
        <v>1</v>
      </c>
      <c r="I119" s="16" t="str">
        <f>_xlfn.XLOOKUP(C119,Product!$A:$A,Product!$G:$G,"NOT FOUND")</f>
        <v>cái</v>
      </c>
      <c r="J119" s="20">
        <v>620000</v>
      </c>
      <c r="K119" s="15" t="s">
        <v>1327</v>
      </c>
      <c r="L119" s="21">
        <v>111</v>
      </c>
      <c r="M119" s="10" t="s">
        <v>928</v>
      </c>
      <c r="N119" s="12">
        <v>153</v>
      </c>
      <c r="O119" t="str">
        <f t="shared" si="3"/>
        <v>INSERT INTO public.medical_supply_sellable_unit (code, price, quantity, sale_uom, product_variant_code) VALUES ('PRODUCT-00053-002-01', 620000, 1, 'Cái', 'PRODUCT-00053-002');</v>
      </c>
    </row>
    <row r="120" spans="1:15" x14ac:dyDescent="0.25">
      <c r="A120" s="10" t="str">
        <f>B120&amp;"-"&amp;TEXT(COUNTIF(B$2:B120,B120),"00")</f>
        <v>PRODUCT-00053-003-01</v>
      </c>
      <c r="B120" s="11" t="s">
        <v>1732</v>
      </c>
      <c r="C120" s="10" t="str">
        <f>_xlfn.XLOOKUP(B120,'Product Variant'!$A:$A,'Product Variant'!$B:$B,"NOT FOUND")</f>
        <v>PRODUCT-00053</v>
      </c>
      <c r="D120" s="10" t="str">
        <f>_xlfn.XLOOKUP(B120,'Product Variant'!$A:$A,'Product Variant'!$C:$C,"NOT FOUND")</f>
        <v>[CODY Health] Đai lưng cố định cột sống</v>
      </c>
      <c r="E120" s="10" t="str" cm="1">
        <f t="array" ref="E120">_xlfn.TEXTJOIN(" / ",TRUE,_xlfn.XLOOKUP(B120&amp;"|ATTR-27",'Product Variant Attribute'!$A$2:$A$2000&amp;"|"&amp;'Product Variant Attribute'!$D$2:$D$2000,'Product Variant Attribute'!$F$2:$F$2000,""),_xlfn.XLOOKUP(B120&amp;"|ATTR-24",'Product Variant Attribute'!$A$2:$A$2000&amp;"|"&amp;'Product Variant Attribute'!$D$2:$D$2000,'Product Variant Attribute'!$F$2:$F$2000,""))</f>
        <v>L</v>
      </c>
      <c r="F120" s="11" t="s">
        <v>818</v>
      </c>
      <c r="G120" s="11" t="s">
        <v>927</v>
      </c>
      <c r="H120" s="13">
        <f t="shared" si="4"/>
        <v>1</v>
      </c>
      <c r="I120" s="16" t="str">
        <f>_xlfn.XLOOKUP(C120,Product!$A:$A,Product!$G:$G,"NOT FOUND")</f>
        <v>cái</v>
      </c>
      <c r="J120" s="20">
        <v>620000</v>
      </c>
      <c r="K120" s="15" t="s">
        <v>1327</v>
      </c>
      <c r="L120" s="21">
        <v>112</v>
      </c>
      <c r="M120" s="10" t="s">
        <v>928</v>
      </c>
      <c r="N120" s="12">
        <v>154</v>
      </c>
      <c r="O120" t="str">
        <f t="shared" si="3"/>
        <v>INSERT INTO public.medical_supply_sellable_unit (code, price, quantity, sale_uom, product_variant_code) VALUES ('PRODUCT-00053-003-01', 620000, 1, 'Cái', 'PRODUCT-00053-003');</v>
      </c>
    </row>
    <row r="121" spans="1:15" x14ac:dyDescent="0.25">
      <c r="A121" s="10" t="str">
        <f>B121&amp;"-"&amp;TEXT(COUNTIF(B$2:B121,B121),"00")</f>
        <v>PRODUCT-00053-004-01</v>
      </c>
      <c r="B121" s="11" t="s">
        <v>1733</v>
      </c>
      <c r="C121" s="10" t="str">
        <f>_xlfn.XLOOKUP(B121,'Product Variant'!$A:$A,'Product Variant'!$B:$B,"NOT FOUND")</f>
        <v>PRODUCT-00053</v>
      </c>
      <c r="D121" s="10" t="str">
        <f>_xlfn.XLOOKUP(B121,'Product Variant'!$A:$A,'Product Variant'!$C:$C,"NOT FOUND")</f>
        <v>[CODY Health] Đai lưng cố định cột sống</v>
      </c>
      <c r="E121" s="10" t="str" cm="1">
        <f t="array" ref="E121">_xlfn.TEXTJOIN(" / ",TRUE,_xlfn.XLOOKUP(B121&amp;"|ATTR-27",'Product Variant Attribute'!$A$2:$A$2000&amp;"|"&amp;'Product Variant Attribute'!$D$2:$D$2000,'Product Variant Attribute'!$F$2:$F$2000,""),_xlfn.XLOOKUP(B121&amp;"|ATTR-24",'Product Variant Attribute'!$A$2:$A$2000&amp;"|"&amp;'Product Variant Attribute'!$D$2:$D$2000,'Product Variant Attribute'!$F$2:$F$2000,""))</f>
        <v>XL</v>
      </c>
      <c r="F121" s="11" t="s">
        <v>818</v>
      </c>
      <c r="G121" s="11" t="s">
        <v>927</v>
      </c>
      <c r="H121" s="13">
        <f t="shared" si="4"/>
        <v>1</v>
      </c>
      <c r="I121" s="16" t="str">
        <f>_xlfn.XLOOKUP(C121,Product!$A:$A,Product!$G:$G,"NOT FOUND")</f>
        <v>cái</v>
      </c>
      <c r="J121" s="20">
        <v>620000</v>
      </c>
      <c r="K121" s="15" t="s">
        <v>1327</v>
      </c>
      <c r="L121" s="21">
        <v>113</v>
      </c>
      <c r="M121" s="10" t="s">
        <v>928</v>
      </c>
      <c r="N121" s="12">
        <v>155</v>
      </c>
      <c r="O121" t="str">
        <f t="shared" si="3"/>
        <v>INSERT INTO public.medical_supply_sellable_unit (code, price, quantity, sale_uom, product_variant_code) VALUES ('PRODUCT-00053-004-01', 620000, 1, 'Cái', 'PRODUCT-00053-004');</v>
      </c>
    </row>
    <row r="122" spans="1:15" x14ac:dyDescent="0.25">
      <c r="A122" s="10" t="str">
        <f>B122&amp;"-"&amp;TEXT(COUNTIF(B$2:B122,B122),"00")</f>
        <v>PRODUCT-00054-001-01</v>
      </c>
      <c r="B122" s="11" t="s">
        <v>1734</v>
      </c>
      <c r="C122" s="10" t="str">
        <f>_xlfn.XLOOKUP(B122,'Product Variant'!$A:$A,'Product Variant'!$B:$B,"NOT FOUND")</f>
        <v>PRODUCT-00054</v>
      </c>
      <c r="D122" s="10" t="str">
        <f>_xlfn.XLOOKUP(B122,'Product Variant'!$A:$A,'Product Variant'!$C:$C,"NOT FOUND")</f>
        <v>[CODY Health] Vớ đùi y khoa giãn tĩnh mạch có silicone chống trượt</v>
      </c>
      <c r="E122" s="10" t="str" cm="1">
        <f t="array" ref="E122">_xlfn.TEXTJOIN(" / ",TRUE,_xlfn.XLOOKUP(B122&amp;"|ATTR-27",'Product Variant Attribute'!$A$2:$A$2000&amp;"|"&amp;'Product Variant Attribute'!$D$2:$D$2000,'Product Variant Attribute'!$F$2:$F$2000,""),_xlfn.XLOOKUP(B122&amp;"|ATTR-24",'Product Variant Attribute'!$A$2:$A$2000&amp;"|"&amp;'Product Variant Attribute'!$D$2:$D$2000,'Product Variant Attribute'!$F$2:$F$2000,""))</f>
        <v>S</v>
      </c>
      <c r="F122" s="11" t="s">
        <v>816</v>
      </c>
      <c r="G122" s="11" t="s">
        <v>929</v>
      </c>
      <c r="H122" s="13">
        <f t="shared" si="4"/>
        <v>1</v>
      </c>
      <c r="I122" s="16" t="str">
        <f>_xlfn.XLOOKUP(C122,Product!$A:$A,Product!$G:$G,"NOT FOUND")</f>
        <v>đôi</v>
      </c>
      <c r="J122" s="22"/>
      <c r="K122" s="15" t="s">
        <v>1468</v>
      </c>
      <c r="L122" s="21">
        <v>176</v>
      </c>
      <c r="M122" s="10" t="s">
        <v>930</v>
      </c>
      <c r="N122" s="12">
        <v>507</v>
      </c>
      <c r="O122" t="str">
        <f t="shared" si="3"/>
        <v>INSERT INTO public.medical_supply_sellable_unit (code, price, quantity, sale_uom, product_variant_code) VALUES ('PRODUCT-00054-001-01', NULL, 1, 'Hộp', 'PRODUCT-00054-001');</v>
      </c>
    </row>
    <row r="123" spans="1:15" x14ac:dyDescent="0.25">
      <c r="A123" s="10" t="str">
        <f>B123&amp;"-"&amp;TEXT(COUNTIF(B$2:B123,B123),"00")</f>
        <v>PRODUCT-00054-002-01</v>
      </c>
      <c r="B123" s="11" t="s">
        <v>1735</v>
      </c>
      <c r="C123" s="10" t="str">
        <f>_xlfn.XLOOKUP(B123,'Product Variant'!$A:$A,'Product Variant'!$B:$B,"NOT FOUND")</f>
        <v>PRODUCT-00054</v>
      </c>
      <c r="D123" s="10" t="str">
        <f>_xlfn.XLOOKUP(B123,'Product Variant'!$A:$A,'Product Variant'!$C:$C,"NOT FOUND")</f>
        <v>[CODY Health] Vớ đùi y khoa giãn tĩnh mạch có silicone chống trượt</v>
      </c>
      <c r="E123" s="10" t="str" cm="1">
        <f t="array" ref="E123">_xlfn.TEXTJOIN(" / ",TRUE,_xlfn.XLOOKUP(B123&amp;"|ATTR-27",'Product Variant Attribute'!$A$2:$A$2000&amp;"|"&amp;'Product Variant Attribute'!$D$2:$D$2000,'Product Variant Attribute'!$F$2:$F$2000,""),_xlfn.XLOOKUP(B123&amp;"|ATTR-24",'Product Variant Attribute'!$A$2:$A$2000&amp;"|"&amp;'Product Variant Attribute'!$D$2:$D$2000,'Product Variant Attribute'!$F$2:$F$2000,""))</f>
        <v>M</v>
      </c>
      <c r="F123" s="11" t="s">
        <v>816</v>
      </c>
      <c r="G123" s="11" t="s">
        <v>929</v>
      </c>
      <c r="H123" s="13">
        <f t="shared" si="4"/>
        <v>1</v>
      </c>
      <c r="I123" s="16" t="str">
        <f>_xlfn.XLOOKUP(C123,Product!$A:$A,Product!$G:$G,"NOT FOUND")</f>
        <v>đôi</v>
      </c>
      <c r="J123" s="22"/>
      <c r="K123" s="15" t="s">
        <v>1468</v>
      </c>
      <c r="L123" s="21">
        <v>177</v>
      </c>
      <c r="M123" s="10" t="s">
        <v>930</v>
      </c>
      <c r="N123" s="12">
        <v>508</v>
      </c>
      <c r="O123" t="str">
        <f t="shared" si="3"/>
        <v>INSERT INTO public.medical_supply_sellable_unit (code, price, quantity, sale_uom, product_variant_code) VALUES ('PRODUCT-00054-002-01', NULL, 1, 'Hộp', 'PRODUCT-00054-002');</v>
      </c>
    </row>
    <row r="124" spans="1:15" x14ac:dyDescent="0.25">
      <c r="A124" s="10" t="str">
        <f>B124&amp;"-"&amp;TEXT(COUNTIF(B$2:B124,B124),"00")</f>
        <v>PRODUCT-00054-003-01</v>
      </c>
      <c r="B124" s="11" t="s">
        <v>1736</v>
      </c>
      <c r="C124" s="10" t="str">
        <f>_xlfn.XLOOKUP(B124,'Product Variant'!$A:$A,'Product Variant'!$B:$B,"NOT FOUND")</f>
        <v>PRODUCT-00054</v>
      </c>
      <c r="D124" s="10" t="str">
        <f>_xlfn.XLOOKUP(B124,'Product Variant'!$A:$A,'Product Variant'!$C:$C,"NOT FOUND")</f>
        <v>[CODY Health] Vớ đùi y khoa giãn tĩnh mạch có silicone chống trượt</v>
      </c>
      <c r="E124" s="10" t="str" cm="1">
        <f t="array" ref="E124">_xlfn.TEXTJOIN(" / ",TRUE,_xlfn.XLOOKUP(B124&amp;"|ATTR-27",'Product Variant Attribute'!$A$2:$A$2000&amp;"|"&amp;'Product Variant Attribute'!$D$2:$D$2000,'Product Variant Attribute'!$F$2:$F$2000,""),_xlfn.XLOOKUP(B124&amp;"|ATTR-24",'Product Variant Attribute'!$A$2:$A$2000&amp;"|"&amp;'Product Variant Attribute'!$D$2:$D$2000,'Product Variant Attribute'!$F$2:$F$2000,""))</f>
        <v>L</v>
      </c>
      <c r="F124" s="11" t="s">
        <v>816</v>
      </c>
      <c r="G124" s="11" t="s">
        <v>929</v>
      </c>
      <c r="H124" s="13">
        <f t="shared" si="4"/>
        <v>1</v>
      </c>
      <c r="I124" s="16" t="str">
        <f>_xlfn.XLOOKUP(C124,Product!$A:$A,Product!$G:$G,"NOT FOUND")</f>
        <v>đôi</v>
      </c>
      <c r="J124" s="22"/>
      <c r="K124" s="15" t="s">
        <v>1468</v>
      </c>
      <c r="L124" s="21">
        <v>178</v>
      </c>
      <c r="M124" s="10" t="s">
        <v>930</v>
      </c>
      <c r="N124" s="12">
        <v>509</v>
      </c>
      <c r="O124" t="str">
        <f t="shared" si="3"/>
        <v>INSERT INTO public.medical_supply_sellable_unit (code, price, quantity, sale_uom, product_variant_code) VALUES ('PRODUCT-00054-003-01', NULL, 1, 'Hộp', 'PRODUCT-00054-003');</v>
      </c>
    </row>
    <row r="125" spans="1:15" x14ac:dyDescent="0.25">
      <c r="A125" s="10" t="str">
        <f>B125&amp;"-"&amp;TEXT(COUNTIF(B$2:B125,B125),"00")</f>
        <v>PRODUCT-00055-001-01</v>
      </c>
      <c r="B125" s="11" t="s">
        <v>1737</v>
      </c>
      <c r="C125" s="10" t="str">
        <f>_xlfn.XLOOKUP(B125,'Product Variant'!$A:$A,'Product Variant'!$B:$B,"NOT FOUND")</f>
        <v>PRODUCT-00055</v>
      </c>
      <c r="D125" s="10" t="str">
        <f>_xlfn.XLOOKUP(B125,'Product Variant'!$A:$A,'Product Variant'!$C:$C,"NOT FOUND")</f>
        <v>[CODY Health] Vớ gối y khoa giãn tĩnh mạch</v>
      </c>
      <c r="E125" s="10" t="str" cm="1">
        <f t="array" ref="E125">_xlfn.TEXTJOIN(" / ",TRUE,_xlfn.XLOOKUP(B125&amp;"|ATTR-27",'Product Variant Attribute'!$A$2:$A$2000&amp;"|"&amp;'Product Variant Attribute'!$D$2:$D$2000,'Product Variant Attribute'!$F$2:$F$2000,""),_xlfn.XLOOKUP(B125&amp;"|ATTR-24",'Product Variant Attribute'!$A$2:$A$2000&amp;"|"&amp;'Product Variant Attribute'!$D$2:$D$2000,'Product Variant Attribute'!$F$2:$F$2000,""))</f>
        <v>S</v>
      </c>
      <c r="F125" s="11" t="s">
        <v>816</v>
      </c>
      <c r="G125" s="11" t="s">
        <v>929</v>
      </c>
      <c r="H125" s="13">
        <f t="shared" si="4"/>
        <v>1</v>
      </c>
      <c r="I125" s="16" t="str">
        <f>_xlfn.XLOOKUP(C125,Product!$A:$A,Product!$G:$G,"NOT FOUND")</f>
        <v>đôi</v>
      </c>
      <c r="J125" s="22"/>
      <c r="K125" s="15" t="s">
        <v>1468</v>
      </c>
      <c r="L125" s="21">
        <v>173</v>
      </c>
      <c r="M125" s="10" t="s">
        <v>931</v>
      </c>
      <c r="N125" s="12">
        <v>510</v>
      </c>
      <c r="O125" t="str">
        <f t="shared" si="3"/>
        <v>INSERT INTO public.medical_supply_sellable_unit (code, price, quantity, sale_uom, product_variant_code) VALUES ('PRODUCT-00055-001-01', NULL, 1, 'Hộp', 'PRODUCT-00055-001');</v>
      </c>
    </row>
    <row r="126" spans="1:15" x14ac:dyDescent="0.25">
      <c r="A126" s="10" t="str">
        <f>B126&amp;"-"&amp;TEXT(COUNTIF(B$2:B126,B126),"00")</f>
        <v>PRODUCT-00055-002-01</v>
      </c>
      <c r="B126" s="11" t="s">
        <v>1738</v>
      </c>
      <c r="C126" s="10" t="str">
        <f>_xlfn.XLOOKUP(B126,'Product Variant'!$A:$A,'Product Variant'!$B:$B,"NOT FOUND")</f>
        <v>PRODUCT-00055</v>
      </c>
      <c r="D126" s="10" t="str">
        <f>_xlfn.XLOOKUP(B126,'Product Variant'!$A:$A,'Product Variant'!$C:$C,"NOT FOUND")</f>
        <v>[CODY Health] Vớ gối y khoa giãn tĩnh mạch</v>
      </c>
      <c r="E126" s="10" t="str" cm="1">
        <f t="array" ref="E126">_xlfn.TEXTJOIN(" / ",TRUE,_xlfn.XLOOKUP(B126&amp;"|ATTR-27",'Product Variant Attribute'!$A$2:$A$2000&amp;"|"&amp;'Product Variant Attribute'!$D$2:$D$2000,'Product Variant Attribute'!$F$2:$F$2000,""),_xlfn.XLOOKUP(B126&amp;"|ATTR-24",'Product Variant Attribute'!$A$2:$A$2000&amp;"|"&amp;'Product Variant Attribute'!$D$2:$D$2000,'Product Variant Attribute'!$F$2:$F$2000,""))</f>
        <v>M</v>
      </c>
      <c r="F126" s="11" t="s">
        <v>816</v>
      </c>
      <c r="G126" s="11" t="s">
        <v>929</v>
      </c>
      <c r="H126" s="13">
        <f t="shared" si="4"/>
        <v>1</v>
      </c>
      <c r="I126" s="16" t="str">
        <f>_xlfn.XLOOKUP(C126,Product!$A:$A,Product!$G:$G,"NOT FOUND")</f>
        <v>đôi</v>
      </c>
      <c r="J126" s="22"/>
      <c r="K126" s="15" t="s">
        <v>1468</v>
      </c>
      <c r="L126" s="21">
        <v>174</v>
      </c>
      <c r="M126" s="10" t="s">
        <v>931</v>
      </c>
      <c r="N126" s="12">
        <v>511</v>
      </c>
      <c r="O126" t="str">
        <f t="shared" si="3"/>
        <v>INSERT INTO public.medical_supply_sellable_unit (code, price, quantity, sale_uom, product_variant_code) VALUES ('PRODUCT-00055-002-01', NULL, 1, 'Hộp', 'PRODUCT-00055-002');</v>
      </c>
    </row>
    <row r="127" spans="1:15" x14ac:dyDescent="0.25">
      <c r="A127" s="10" t="str">
        <f>B127&amp;"-"&amp;TEXT(COUNTIF(B$2:B127,B127),"00")</f>
        <v>PRODUCT-00055-003-01</v>
      </c>
      <c r="B127" s="11" t="s">
        <v>1739</v>
      </c>
      <c r="C127" s="10" t="str">
        <f>_xlfn.XLOOKUP(B127,'Product Variant'!$A:$A,'Product Variant'!$B:$B,"NOT FOUND")</f>
        <v>PRODUCT-00055</v>
      </c>
      <c r="D127" s="10" t="str">
        <f>_xlfn.XLOOKUP(B127,'Product Variant'!$A:$A,'Product Variant'!$C:$C,"NOT FOUND")</f>
        <v>[CODY Health] Vớ gối y khoa giãn tĩnh mạch</v>
      </c>
      <c r="E127" s="10" t="str" cm="1">
        <f t="array" ref="E127">_xlfn.TEXTJOIN(" / ",TRUE,_xlfn.XLOOKUP(B127&amp;"|ATTR-27",'Product Variant Attribute'!$A$2:$A$2000&amp;"|"&amp;'Product Variant Attribute'!$D$2:$D$2000,'Product Variant Attribute'!$F$2:$F$2000,""),_xlfn.XLOOKUP(B127&amp;"|ATTR-24",'Product Variant Attribute'!$A$2:$A$2000&amp;"|"&amp;'Product Variant Attribute'!$D$2:$D$2000,'Product Variant Attribute'!$F$2:$F$2000,""))</f>
        <v>L</v>
      </c>
      <c r="F127" s="11" t="s">
        <v>816</v>
      </c>
      <c r="G127" s="11" t="s">
        <v>929</v>
      </c>
      <c r="H127" s="13">
        <f t="shared" si="4"/>
        <v>1</v>
      </c>
      <c r="I127" s="16" t="str">
        <f>_xlfn.XLOOKUP(C127,Product!$A:$A,Product!$G:$G,"NOT FOUND")</f>
        <v>đôi</v>
      </c>
      <c r="J127" s="22"/>
      <c r="K127" s="15" t="s">
        <v>1468</v>
      </c>
      <c r="L127" s="21">
        <v>175</v>
      </c>
      <c r="M127" s="10" t="s">
        <v>931</v>
      </c>
      <c r="N127" s="12">
        <v>512</v>
      </c>
      <c r="O127" t="str">
        <f t="shared" si="3"/>
        <v>INSERT INTO public.medical_supply_sellable_unit (code, price, quantity, sale_uom, product_variant_code) VALUES ('PRODUCT-00055-003-01', NULL, 1, 'Hộp', 'PRODUCT-00055-003');</v>
      </c>
    </row>
    <row r="128" spans="1:15" x14ac:dyDescent="0.25">
      <c r="A128" s="10" t="str">
        <f>B128&amp;"-"&amp;TEXT(COUNTIF(B$2:B128,B128),"00")</f>
        <v>PRODUCT-00056-001-01</v>
      </c>
      <c r="B128" s="11" t="s">
        <v>1740</v>
      </c>
      <c r="C128" s="10" t="str">
        <f>_xlfn.XLOOKUP(B128,'Product Variant'!$A:$A,'Product Variant'!$B:$B,"NOT FOUND")</f>
        <v>PRODUCT-00056</v>
      </c>
      <c r="D128" s="10" t="str">
        <f>_xlfn.XLOOKUP(B128,'Product Variant'!$A:$A,'Product Variant'!$C:$C,"NOT FOUND")</f>
        <v>[CODY Health] Vớ y khoa giãn tĩnh mạch (Vớ gối)</v>
      </c>
      <c r="E128" s="10" t="str" cm="1">
        <f t="array" ref="E128">_xlfn.TEXTJOIN(" / ",TRUE,_xlfn.XLOOKUP(B128&amp;"|ATTR-27",'Product Variant Attribute'!$A$2:$A$2000&amp;"|"&amp;'Product Variant Attribute'!$D$2:$D$2000,'Product Variant Attribute'!$F$2:$F$2000,""),_xlfn.XLOOKUP(B128&amp;"|ATTR-24",'Product Variant Attribute'!$A$2:$A$2000&amp;"|"&amp;'Product Variant Attribute'!$D$2:$D$2000,'Product Variant Attribute'!$F$2:$F$2000,""))</f>
        <v>S</v>
      </c>
      <c r="F128" s="11" t="s">
        <v>816</v>
      </c>
      <c r="G128" s="11" t="s">
        <v>929</v>
      </c>
      <c r="H128" s="13">
        <f t="shared" si="4"/>
        <v>1</v>
      </c>
      <c r="I128" s="16" t="str">
        <f>_xlfn.XLOOKUP(C128,Product!$A:$A,Product!$G:$G,"NOT FOUND")</f>
        <v>đôi</v>
      </c>
      <c r="J128" s="22"/>
      <c r="K128" s="15" t="s">
        <v>1468</v>
      </c>
      <c r="L128" s="21">
        <v>144</v>
      </c>
      <c r="M128" s="10" t="s">
        <v>932</v>
      </c>
      <c r="N128" s="12">
        <v>534</v>
      </c>
      <c r="O128" t="str">
        <f t="shared" si="3"/>
        <v>INSERT INTO public.medical_supply_sellable_unit (code, price, quantity, sale_uom, product_variant_code) VALUES ('PRODUCT-00056-001-01', NULL, 1, 'Hộp', 'PRODUCT-00056-001');</v>
      </c>
    </row>
    <row r="129" spans="1:15" x14ac:dyDescent="0.25">
      <c r="A129" s="10" t="str">
        <f>B129&amp;"-"&amp;TEXT(COUNTIF(B$2:B129,B129),"00")</f>
        <v>PRODUCT-00056-002-01</v>
      </c>
      <c r="B129" s="11" t="s">
        <v>1741</v>
      </c>
      <c r="C129" s="10" t="str">
        <f>_xlfn.XLOOKUP(B129,'Product Variant'!$A:$A,'Product Variant'!$B:$B,"NOT FOUND")</f>
        <v>PRODUCT-00056</v>
      </c>
      <c r="D129" s="10" t="str">
        <f>_xlfn.XLOOKUP(B129,'Product Variant'!$A:$A,'Product Variant'!$C:$C,"NOT FOUND")</f>
        <v>[CODY Health] Vớ y khoa giãn tĩnh mạch (Vớ gối)</v>
      </c>
      <c r="E129" s="10" t="str" cm="1">
        <f t="array" ref="E129">_xlfn.TEXTJOIN(" / ",TRUE,_xlfn.XLOOKUP(B129&amp;"|ATTR-27",'Product Variant Attribute'!$A$2:$A$2000&amp;"|"&amp;'Product Variant Attribute'!$D$2:$D$2000,'Product Variant Attribute'!$F$2:$F$2000,""),_xlfn.XLOOKUP(B129&amp;"|ATTR-24",'Product Variant Attribute'!$A$2:$A$2000&amp;"|"&amp;'Product Variant Attribute'!$D$2:$D$2000,'Product Variant Attribute'!$F$2:$F$2000,""))</f>
        <v>M</v>
      </c>
      <c r="F129" s="11" t="s">
        <v>816</v>
      </c>
      <c r="G129" s="11" t="s">
        <v>929</v>
      </c>
      <c r="H129" s="13">
        <f t="shared" si="4"/>
        <v>1</v>
      </c>
      <c r="I129" s="16" t="str">
        <f>_xlfn.XLOOKUP(C129,Product!$A:$A,Product!$G:$G,"NOT FOUND")</f>
        <v>đôi</v>
      </c>
      <c r="J129" s="22"/>
      <c r="K129" s="15" t="s">
        <v>1468</v>
      </c>
      <c r="L129" s="21">
        <v>145</v>
      </c>
      <c r="M129" s="10" t="s">
        <v>932</v>
      </c>
      <c r="N129" s="12">
        <v>535</v>
      </c>
      <c r="O129" t="str">
        <f t="shared" si="3"/>
        <v>INSERT INTO public.medical_supply_sellable_unit (code, price, quantity, sale_uom, product_variant_code) VALUES ('PRODUCT-00056-002-01', NULL, 1, 'Hộp', 'PRODUCT-00056-002');</v>
      </c>
    </row>
    <row r="130" spans="1:15" x14ac:dyDescent="0.25">
      <c r="A130" s="10" t="str">
        <f>B130&amp;"-"&amp;TEXT(COUNTIF(B$2:B130,B130),"00")</f>
        <v>PRODUCT-00056-003-01</v>
      </c>
      <c r="B130" s="11" t="s">
        <v>1742</v>
      </c>
      <c r="C130" s="10" t="str">
        <f>_xlfn.XLOOKUP(B130,'Product Variant'!$A:$A,'Product Variant'!$B:$B,"NOT FOUND")</f>
        <v>PRODUCT-00056</v>
      </c>
      <c r="D130" s="10" t="str">
        <f>_xlfn.XLOOKUP(B130,'Product Variant'!$A:$A,'Product Variant'!$C:$C,"NOT FOUND")</f>
        <v>[CODY Health] Vớ y khoa giãn tĩnh mạch (Vớ gối)</v>
      </c>
      <c r="E130" s="10" t="str" cm="1">
        <f t="array" ref="E130">_xlfn.TEXTJOIN(" / ",TRUE,_xlfn.XLOOKUP(B130&amp;"|ATTR-27",'Product Variant Attribute'!$A$2:$A$2000&amp;"|"&amp;'Product Variant Attribute'!$D$2:$D$2000,'Product Variant Attribute'!$F$2:$F$2000,""),_xlfn.XLOOKUP(B130&amp;"|ATTR-24",'Product Variant Attribute'!$A$2:$A$2000&amp;"|"&amp;'Product Variant Attribute'!$D$2:$D$2000,'Product Variant Attribute'!$F$2:$F$2000,""))</f>
        <v>L</v>
      </c>
      <c r="F130" s="11" t="s">
        <v>816</v>
      </c>
      <c r="G130" s="11" t="s">
        <v>929</v>
      </c>
      <c r="H130" s="13">
        <f t="shared" si="4"/>
        <v>1</v>
      </c>
      <c r="I130" s="16" t="str">
        <f>_xlfn.XLOOKUP(C130,Product!$A:$A,Product!$G:$G,"NOT FOUND")</f>
        <v>đôi</v>
      </c>
      <c r="J130" s="22"/>
      <c r="K130" s="15" t="s">
        <v>1468</v>
      </c>
      <c r="L130" s="21">
        <v>146</v>
      </c>
      <c r="M130" s="10" t="s">
        <v>932</v>
      </c>
      <c r="N130" s="12">
        <v>536</v>
      </c>
      <c r="O130" t="str">
        <f t="shared" si="3"/>
        <v>INSERT INTO public.medical_supply_sellable_unit (code, price, quantity, sale_uom, product_variant_code) VALUES ('PRODUCT-00056-003-01', NULL, 1, 'Hộp', 'PRODUCT-00056-003');</v>
      </c>
    </row>
    <row r="131" spans="1:15" x14ac:dyDescent="0.25">
      <c r="A131" s="10" t="str">
        <f>B131&amp;"-"&amp;TEXT(COUNTIF(B$2:B131,B131),"00")</f>
        <v>PRODUCT-00296-001-01</v>
      </c>
      <c r="B131" s="11" t="s">
        <v>1743</v>
      </c>
      <c r="C131" s="10" t="str">
        <f>_xlfn.XLOOKUP(B131,'Product Variant'!$A:$A,'Product Variant'!$B:$B,"NOT FOUND")</f>
        <v>PRODUCT-00296</v>
      </c>
      <c r="D131" s="10" t="str">
        <f>_xlfn.XLOOKUP(B131,'Product Variant'!$A:$A,'Product Variant'!$C:$C,"NOT FOUND")</f>
        <v>[CODY Health] Vớ y khoa giãn tĩnh mạch (Vớ đùi)</v>
      </c>
      <c r="E131" s="10" t="str" cm="1">
        <f t="array" ref="E131">_xlfn.TEXTJOIN(" / ",TRUE,_xlfn.XLOOKUP(B131&amp;"|ATTR-27",'Product Variant Attribute'!$A$2:$A$2000&amp;"|"&amp;'Product Variant Attribute'!$D$2:$D$2000,'Product Variant Attribute'!$F$2:$F$2000,""),_xlfn.XLOOKUP(B131&amp;"|ATTR-24",'Product Variant Attribute'!$A$2:$A$2000&amp;"|"&amp;'Product Variant Attribute'!$D$2:$D$2000,'Product Variant Attribute'!$F$2:$F$2000,""))</f>
        <v>S</v>
      </c>
      <c r="F131" s="11" t="s">
        <v>816</v>
      </c>
      <c r="G131" s="11" t="s">
        <v>929</v>
      </c>
      <c r="H131" s="13">
        <f t="shared" si="4"/>
        <v>1</v>
      </c>
      <c r="I131" s="16" t="str">
        <f>_xlfn.XLOOKUP(C131,Product!$A:$A,Product!$G:$G,"NOT FOUND")</f>
        <v>đôi</v>
      </c>
      <c r="J131" s="22"/>
      <c r="K131" s="15" t="s">
        <v>1468</v>
      </c>
      <c r="L131" s="21">
        <v>147</v>
      </c>
      <c r="M131" s="10" t="s">
        <v>932</v>
      </c>
      <c r="N131" s="12">
        <v>537</v>
      </c>
      <c r="O131" t="str">
        <f t="shared" ref="O131:O194" si="5">"INSERT INTO public.medical_supply_sellable_unit (code, price, quantity, sale_uom, product_variant_code) VALUES ('"&amp;A131&amp;"', "&amp;IF(J131="","NULL",J131)&amp;", "&amp;IF(H131="","NULL",H131)&amp;", "&amp;IF(F131="","NULL","'"&amp;SUBSTITUTE(F131,"'","''")&amp;"'")&amp;", '"&amp;B131&amp;"');"</f>
        <v>INSERT INTO public.medical_supply_sellable_unit (code, price, quantity, sale_uom, product_variant_code) VALUES ('PRODUCT-00296-001-01', NULL, 1, 'Hộp', 'PRODUCT-00296-001');</v>
      </c>
    </row>
    <row r="132" spans="1:15" x14ac:dyDescent="0.25">
      <c r="A132" s="10" t="str">
        <f>B132&amp;"-"&amp;TEXT(COUNTIF(B$2:B132,B132),"00")</f>
        <v>PRODUCT-00296-002-01</v>
      </c>
      <c r="B132" s="11" t="s">
        <v>1744</v>
      </c>
      <c r="C132" s="10" t="str">
        <f>_xlfn.XLOOKUP(B132,'Product Variant'!$A:$A,'Product Variant'!$B:$B,"NOT FOUND")</f>
        <v>PRODUCT-00296</v>
      </c>
      <c r="D132" s="10" t="str">
        <f>_xlfn.XLOOKUP(B132,'Product Variant'!$A:$A,'Product Variant'!$C:$C,"NOT FOUND")</f>
        <v>[CODY Health] Vớ y khoa giãn tĩnh mạch (Vớ đùi)</v>
      </c>
      <c r="E132" s="10" t="str" cm="1">
        <f t="array" ref="E132">_xlfn.TEXTJOIN(" / ",TRUE,_xlfn.XLOOKUP(B132&amp;"|ATTR-27",'Product Variant Attribute'!$A$2:$A$2000&amp;"|"&amp;'Product Variant Attribute'!$D$2:$D$2000,'Product Variant Attribute'!$F$2:$F$2000,""),_xlfn.XLOOKUP(B132&amp;"|ATTR-24",'Product Variant Attribute'!$A$2:$A$2000&amp;"|"&amp;'Product Variant Attribute'!$D$2:$D$2000,'Product Variant Attribute'!$F$2:$F$2000,""))</f>
        <v>M</v>
      </c>
      <c r="F132" s="11" t="s">
        <v>816</v>
      </c>
      <c r="G132" s="11" t="s">
        <v>929</v>
      </c>
      <c r="H132" s="13">
        <f t="shared" si="4"/>
        <v>1</v>
      </c>
      <c r="I132" s="16" t="str">
        <f>_xlfn.XLOOKUP(C132,Product!$A:$A,Product!$G:$G,"NOT FOUND")</f>
        <v>đôi</v>
      </c>
      <c r="J132" s="22"/>
      <c r="K132" s="15" t="s">
        <v>1468</v>
      </c>
      <c r="L132" s="21">
        <v>148</v>
      </c>
      <c r="M132" s="10" t="s">
        <v>932</v>
      </c>
      <c r="N132" s="12">
        <v>538</v>
      </c>
      <c r="O132" t="str">
        <f t="shared" si="5"/>
        <v>INSERT INTO public.medical_supply_sellable_unit (code, price, quantity, sale_uom, product_variant_code) VALUES ('PRODUCT-00296-002-01', NULL, 1, 'Hộp', 'PRODUCT-00296-002');</v>
      </c>
    </row>
    <row r="133" spans="1:15" x14ac:dyDescent="0.25">
      <c r="A133" s="10" t="str">
        <f>B133&amp;"-"&amp;TEXT(COUNTIF(B$2:B133,B133),"00")</f>
        <v>PRODUCT-00296-003-01</v>
      </c>
      <c r="B133" s="11" t="s">
        <v>1745</v>
      </c>
      <c r="C133" s="10" t="str">
        <f>_xlfn.XLOOKUP(B133,'Product Variant'!$A:$A,'Product Variant'!$B:$B,"NOT FOUND")</f>
        <v>PRODUCT-00296</v>
      </c>
      <c r="D133" s="10" t="str">
        <f>_xlfn.XLOOKUP(B133,'Product Variant'!$A:$A,'Product Variant'!$C:$C,"NOT FOUND")</f>
        <v>[CODY Health] Vớ y khoa giãn tĩnh mạch (Vớ đùi)</v>
      </c>
      <c r="E133" s="10" t="str" cm="1">
        <f t="array" ref="E133">_xlfn.TEXTJOIN(" / ",TRUE,_xlfn.XLOOKUP(B133&amp;"|ATTR-27",'Product Variant Attribute'!$A$2:$A$2000&amp;"|"&amp;'Product Variant Attribute'!$D$2:$D$2000,'Product Variant Attribute'!$F$2:$F$2000,""),_xlfn.XLOOKUP(B133&amp;"|ATTR-24",'Product Variant Attribute'!$A$2:$A$2000&amp;"|"&amp;'Product Variant Attribute'!$D$2:$D$2000,'Product Variant Attribute'!$F$2:$F$2000,""))</f>
        <v>L</v>
      </c>
      <c r="F133" s="11" t="s">
        <v>816</v>
      </c>
      <c r="G133" s="11" t="s">
        <v>929</v>
      </c>
      <c r="H133" s="13">
        <f t="shared" si="4"/>
        <v>1</v>
      </c>
      <c r="I133" s="16" t="str">
        <f>_xlfn.XLOOKUP(C133,Product!$A:$A,Product!$G:$G,"NOT FOUND")</f>
        <v>đôi</v>
      </c>
      <c r="J133" s="22"/>
      <c r="K133" s="15" t="s">
        <v>1468</v>
      </c>
      <c r="L133" s="21">
        <v>149</v>
      </c>
      <c r="M133" s="10" t="s">
        <v>932</v>
      </c>
      <c r="N133" s="12">
        <v>539</v>
      </c>
      <c r="O133" t="str">
        <f t="shared" si="5"/>
        <v>INSERT INTO public.medical_supply_sellable_unit (code, price, quantity, sale_uom, product_variant_code) VALUES ('PRODUCT-00296-003-01', NULL, 1, 'Hộp', 'PRODUCT-00296-003');</v>
      </c>
    </row>
    <row r="134" spans="1:15" x14ac:dyDescent="0.25">
      <c r="A134" s="10" t="str">
        <f>B134&amp;"-"&amp;TEXT(COUNTIF(B$2:B134,B134),"00")</f>
        <v>PRODUCT-00057-001-01</v>
      </c>
      <c r="B134" s="11" t="s">
        <v>1746</v>
      </c>
      <c r="C134" s="10" t="str">
        <f>_xlfn.XLOOKUP(B134,'Product Variant'!$A:$A,'Product Variant'!$B:$B,"NOT FOUND")</f>
        <v>PRODUCT-00057</v>
      </c>
      <c r="D134" s="10" t="str">
        <f>_xlfn.XLOOKUP(B134,'Product Variant'!$A:$A,'Product Variant'!$C:$C,"NOT FOUND")</f>
        <v>[Hapaku] Đai chườm thảo dược bàn chân làm nóng bằng điện</v>
      </c>
      <c r="E134" s="10" t="str" cm="1">
        <f t="array" ref="E134">_xlfn.TEXTJOIN(" / ",TRUE,_xlfn.XLOOKUP(B134&amp;"|ATTR-27",'Product Variant Attribute'!$A$2:$A$2000&amp;"|"&amp;'Product Variant Attribute'!$D$2:$D$2000,'Product Variant Attribute'!$F$2:$F$2000,""),_xlfn.XLOOKUP(B134&amp;"|ATTR-24",'Product Variant Attribute'!$A$2:$A$2000&amp;"|"&amp;'Product Variant Attribute'!$D$2:$D$2000,'Product Variant Attribute'!$F$2:$F$2000,""))</f>
        <v/>
      </c>
      <c r="F134" s="11" t="s">
        <v>815</v>
      </c>
      <c r="G134" s="11" t="s">
        <v>826</v>
      </c>
      <c r="H134" s="13">
        <f t="shared" si="4"/>
        <v>1</v>
      </c>
      <c r="I134" s="16" t="str">
        <f>_xlfn.XLOOKUP(C134,Product!$A:$A,Product!$G:$G,"NOT FOUND")</f>
        <v>bộ</v>
      </c>
      <c r="J134" s="20">
        <v>1195000</v>
      </c>
      <c r="K134" s="15" t="s">
        <v>1323</v>
      </c>
      <c r="L134" s="21">
        <v>343</v>
      </c>
      <c r="M134" s="10" t="s">
        <v>933</v>
      </c>
      <c r="N134" s="12">
        <v>144</v>
      </c>
      <c r="O134" t="str">
        <f t="shared" si="5"/>
        <v>INSERT INTO public.medical_supply_sellable_unit (code, price, quantity, sale_uom, product_variant_code) VALUES ('PRODUCT-00057-001-01', 1195000, 1, 'Bộ', 'PRODUCT-00057-001');</v>
      </c>
    </row>
    <row r="135" spans="1:15" x14ac:dyDescent="0.25">
      <c r="A135" s="10" t="str">
        <f>B135&amp;"-"&amp;TEXT(COUNTIF(B$2:B135,B135),"00")</f>
        <v>PRODUCT-00058-001-01</v>
      </c>
      <c r="B135" s="11" t="s">
        <v>1747</v>
      </c>
      <c r="C135" s="10" t="str">
        <f>_xlfn.XLOOKUP(B135,'Product Variant'!$A:$A,'Product Variant'!$B:$B,"NOT FOUND")</f>
        <v>PRODUCT-00058</v>
      </c>
      <c r="D135" s="10" t="str">
        <f>_xlfn.XLOOKUP(B135,'Product Variant'!$A:$A,'Product Variant'!$C:$C,"NOT FOUND")</f>
        <v>[Hapaku] Đai chườm thảo dược cổ gáy làm nóng bằng điện (50cmx11cm)</v>
      </c>
      <c r="E135" s="10" t="str" cm="1">
        <f t="array" ref="E135">_xlfn.TEXTJOIN(" / ",TRUE,_xlfn.XLOOKUP(B135&amp;"|ATTR-27",'Product Variant Attribute'!$A$2:$A$2000&amp;"|"&amp;'Product Variant Attribute'!$D$2:$D$2000,'Product Variant Attribute'!$F$2:$F$2000,""),_xlfn.XLOOKUP(B135&amp;"|ATTR-24",'Product Variant Attribute'!$A$2:$A$2000&amp;"|"&amp;'Product Variant Attribute'!$D$2:$D$2000,'Product Variant Attribute'!$F$2:$F$2000,""))</f>
        <v/>
      </c>
      <c r="F135" s="11" t="s">
        <v>815</v>
      </c>
      <c r="G135" s="11" t="s">
        <v>826</v>
      </c>
      <c r="H135" s="13">
        <f t="shared" si="4"/>
        <v>1</v>
      </c>
      <c r="I135" s="16" t="str">
        <f>_xlfn.XLOOKUP(C135,Product!$A:$A,Product!$G:$G,"NOT FOUND")</f>
        <v>bộ</v>
      </c>
      <c r="J135" s="20">
        <v>529000</v>
      </c>
      <c r="K135" s="15" t="s">
        <v>1323</v>
      </c>
      <c r="L135" s="21">
        <v>339</v>
      </c>
      <c r="M135" s="10" t="s">
        <v>934</v>
      </c>
      <c r="N135" s="12">
        <v>145</v>
      </c>
      <c r="O135" t="str">
        <f t="shared" si="5"/>
        <v>INSERT INTO public.medical_supply_sellable_unit (code, price, quantity, sale_uom, product_variant_code) VALUES ('PRODUCT-00058-001-01', 529000, 1, 'Bộ', 'PRODUCT-00058-001');</v>
      </c>
    </row>
    <row r="136" spans="1:15" x14ac:dyDescent="0.25">
      <c r="A136" s="10" t="str">
        <f>B136&amp;"-"&amp;TEXT(COUNTIF(B$2:B136,B136),"00")</f>
        <v>PRODUCT-00059-001-01</v>
      </c>
      <c r="B136" s="11" t="s">
        <v>1748</v>
      </c>
      <c r="C136" s="10" t="str">
        <f>_xlfn.XLOOKUP(B136,'Product Variant'!$A:$A,'Product Variant'!$B:$B,"NOT FOUND")</f>
        <v>PRODUCT-00059</v>
      </c>
      <c r="D136" s="10" t="str">
        <f>_xlfn.XLOOKUP(B136,'Product Variant'!$A:$A,'Product Variant'!$C:$C,"NOT FOUND")</f>
        <v>[Hapaku] Đai chườm thảo dược lưng bụng làm nóng bằng điện</v>
      </c>
      <c r="E136" s="10" t="str" cm="1">
        <f t="array" ref="E136">_xlfn.TEXTJOIN(" / ",TRUE,_xlfn.XLOOKUP(B136&amp;"|ATTR-27",'Product Variant Attribute'!$A$2:$A$2000&amp;"|"&amp;'Product Variant Attribute'!$D$2:$D$2000,'Product Variant Attribute'!$F$2:$F$2000,""),_xlfn.XLOOKUP(B136&amp;"|ATTR-24",'Product Variant Attribute'!$A$2:$A$2000&amp;"|"&amp;'Product Variant Attribute'!$D$2:$D$2000,'Product Variant Attribute'!$F$2:$F$2000,""))</f>
        <v/>
      </c>
      <c r="F136" s="11" t="s">
        <v>815</v>
      </c>
      <c r="G136" s="11" t="s">
        <v>826</v>
      </c>
      <c r="H136" s="13">
        <f t="shared" si="4"/>
        <v>1</v>
      </c>
      <c r="I136" s="16" t="str">
        <f>_xlfn.XLOOKUP(C136,Product!$A:$A,Product!$G:$G,"NOT FOUND")</f>
        <v>bộ</v>
      </c>
      <c r="J136" s="20">
        <v>1065000</v>
      </c>
      <c r="K136" s="15" t="s">
        <v>1323</v>
      </c>
      <c r="L136" s="21">
        <v>342</v>
      </c>
      <c r="M136" s="10" t="s">
        <v>935</v>
      </c>
      <c r="N136" s="12">
        <v>146</v>
      </c>
      <c r="O136" t="str">
        <f t="shared" si="5"/>
        <v>INSERT INTO public.medical_supply_sellable_unit (code, price, quantity, sale_uom, product_variant_code) VALUES ('PRODUCT-00059-001-01', 1065000, 1, 'Bộ', 'PRODUCT-00059-001');</v>
      </c>
    </row>
    <row r="137" spans="1:15" x14ac:dyDescent="0.25">
      <c r="A137" s="10" t="str">
        <f>B137&amp;"-"&amp;TEXT(COUNTIF(B$2:B137,B137),"00")</f>
        <v>PRODUCT-00060-001-01</v>
      </c>
      <c r="B137" s="11" t="s">
        <v>1749</v>
      </c>
      <c r="C137" s="10" t="str">
        <f>_xlfn.XLOOKUP(B137,'Product Variant'!$A:$A,'Product Variant'!$B:$B,"NOT FOUND")</f>
        <v>PRODUCT-00060</v>
      </c>
      <c r="D137" s="10" t="str">
        <f>_xlfn.XLOOKUP(B137,'Product Variant'!$A:$A,'Product Variant'!$C:$C,"NOT FOUND")</f>
        <v>[Hapaku] Đai chườm thảo dược vai gáy cổ làm nóng bằng điện (35cmx48cm)</v>
      </c>
      <c r="E137" s="10" t="str" cm="1">
        <f t="array" ref="E137">_xlfn.TEXTJOIN(" / ",TRUE,_xlfn.XLOOKUP(B137&amp;"|ATTR-27",'Product Variant Attribute'!$A$2:$A$2000&amp;"|"&amp;'Product Variant Attribute'!$D$2:$D$2000,'Product Variant Attribute'!$F$2:$F$2000,""),_xlfn.XLOOKUP(B137&amp;"|ATTR-24",'Product Variant Attribute'!$A$2:$A$2000&amp;"|"&amp;'Product Variant Attribute'!$D$2:$D$2000,'Product Variant Attribute'!$F$2:$F$2000,""))</f>
        <v/>
      </c>
      <c r="F137" s="11" t="s">
        <v>815</v>
      </c>
      <c r="G137" s="11" t="s">
        <v>826</v>
      </c>
      <c r="H137" s="13">
        <f t="shared" si="4"/>
        <v>1</v>
      </c>
      <c r="I137" s="16" t="str">
        <f>_xlfn.XLOOKUP(C137,Product!$A:$A,Product!$G:$G,"NOT FOUND")</f>
        <v>bộ</v>
      </c>
      <c r="J137" s="20">
        <v>1075000</v>
      </c>
      <c r="K137" s="15" t="s">
        <v>1323</v>
      </c>
      <c r="L137" s="21">
        <v>340</v>
      </c>
      <c r="M137" s="10" t="s">
        <v>936</v>
      </c>
      <c r="N137" s="12">
        <v>147</v>
      </c>
      <c r="O137" t="str">
        <f t="shared" si="5"/>
        <v>INSERT INTO public.medical_supply_sellable_unit (code, price, quantity, sale_uom, product_variant_code) VALUES ('PRODUCT-00060-001-01', 1075000, 1, 'Bộ', 'PRODUCT-00060-001');</v>
      </c>
    </row>
    <row r="138" spans="1:15" x14ac:dyDescent="0.25">
      <c r="A138" s="10" t="str">
        <f>B138&amp;"-"&amp;TEXT(COUNTIF(B$2:B138,B138),"00")</f>
        <v>PRODUCT-00061-001-01</v>
      </c>
      <c r="B138" s="11" t="s">
        <v>1750</v>
      </c>
      <c r="C138" s="10" t="str">
        <f>_xlfn.XLOOKUP(B138,'Product Variant'!$A:$A,'Product Variant'!$B:$B,"NOT FOUND")</f>
        <v>PRODUCT-00061</v>
      </c>
      <c r="D138" s="10" t="str">
        <f>_xlfn.XLOOKUP(B138,'Product Variant'!$A:$A,'Product Variant'!$C:$C,"NOT FOUND")</f>
        <v>[Hapaku] Gối chườm thảo dược đa năng làm nóng bằng điện (34cmx24cm)</v>
      </c>
      <c r="E138" s="10" t="str" cm="1">
        <f t="array" ref="E138">_xlfn.TEXTJOIN(" / ",TRUE,_xlfn.XLOOKUP(B138&amp;"|ATTR-27",'Product Variant Attribute'!$A$2:$A$2000&amp;"|"&amp;'Product Variant Attribute'!$D$2:$D$2000,'Product Variant Attribute'!$F$2:$F$2000,""),_xlfn.XLOOKUP(B138&amp;"|ATTR-24",'Product Variant Attribute'!$A$2:$A$2000&amp;"|"&amp;'Product Variant Attribute'!$D$2:$D$2000,'Product Variant Attribute'!$F$2:$F$2000,""))</f>
        <v/>
      </c>
      <c r="F138" s="11" t="s">
        <v>815</v>
      </c>
      <c r="G138" s="11" t="s">
        <v>826</v>
      </c>
      <c r="H138" s="13">
        <f t="shared" si="4"/>
        <v>1</v>
      </c>
      <c r="I138" s="16" t="str">
        <f>_xlfn.XLOOKUP(C138,Product!$A:$A,Product!$G:$G,"NOT FOUND")</f>
        <v>bộ</v>
      </c>
      <c r="J138" s="20">
        <v>995000</v>
      </c>
      <c r="K138" s="15" t="s">
        <v>1323</v>
      </c>
      <c r="L138" s="21">
        <v>341</v>
      </c>
      <c r="M138" s="10" t="s">
        <v>937</v>
      </c>
      <c r="N138" s="12">
        <v>266</v>
      </c>
      <c r="O138" t="str">
        <f t="shared" si="5"/>
        <v>INSERT INTO public.medical_supply_sellable_unit (code, price, quantity, sale_uom, product_variant_code) VALUES ('PRODUCT-00061-001-01', 995000, 1, 'Bộ', 'PRODUCT-00061-001');</v>
      </c>
    </row>
    <row r="139" spans="1:15" x14ac:dyDescent="0.25">
      <c r="A139" s="10" t="str">
        <f>B139&amp;"-"&amp;TEXT(COUNTIF(B$2:B139,B139),"00")</f>
        <v>PRODUCT-00062-001-01</v>
      </c>
      <c r="B139" s="11" t="s">
        <v>1751</v>
      </c>
      <c r="C139" s="10" t="str">
        <f>_xlfn.XLOOKUP(B139,'Product Variant'!$A:$A,'Product Variant'!$B:$B,"NOT FOUND")</f>
        <v>PRODUCT-00062</v>
      </c>
      <c r="D139" s="10" t="str">
        <f>_xlfn.XLOOKUP(B139,'Product Variant'!$A:$A,'Product Variant'!$C:$C,"NOT FOUND")</f>
        <v>[Merisocks] Đai hỗ trợ đầu gối</v>
      </c>
      <c r="E139" s="10" t="str" cm="1">
        <f t="array" ref="E139">_xlfn.TEXTJOIN(" / ",TRUE,_xlfn.XLOOKUP(B139&amp;"|ATTR-27",'Product Variant Attribute'!$A$2:$A$2000&amp;"|"&amp;'Product Variant Attribute'!$D$2:$D$2000,'Product Variant Attribute'!$F$2:$F$2000,""),_xlfn.XLOOKUP(B139&amp;"|ATTR-24",'Product Variant Attribute'!$A$2:$A$2000&amp;"|"&amp;'Product Variant Attribute'!$D$2:$D$2000,'Product Variant Attribute'!$F$2:$F$2000,""))</f>
        <v>M</v>
      </c>
      <c r="F139" s="11" t="s">
        <v>816</v>
      </c>
      <c r="G139" s="11" t="s">
        <v>929</v>
      </c>
      <c r="H139" s="13">
        <f t="shared" si="4"/>
        <v>1</v>
      </c>
      <c r="I139" s="16" t="str">
        <f>_xlfn.XLOOKUP(C139,Product!$A:$A,Product!$G:$G,"NOT FOUND")</f>
        <v>đôi</v>
      </c>
      <c r="J139" s="20">
        <v>1400000</v>
      </c>
      <c r="K139" s="15" t="s">
        <v>1327</v>
      </c>
      <c r="L139" s="21">
        <v>55</v>
      </c>
      <c r="M139" s="10" t="s">
        <v>938</v>
      </c>
      <c r="N139" s="12">
        <v>149</v>
      </c>
      <c r="O139" t="str">
        <f t="shared" si="5"/>
        <v>INSERT INTO public.medical_supply_sellable_unit (code, price, quantity, sale_uom, product_variant_code) VALUES ('PRODUCT-00062-001-01', 1400000, 1, 'Hộp', 'PRODUCT-00062-001');</v>
      </c>
    </row>
    <row r="140" spans="1:15" x14ac:dyDescent="0.25">
      <c r="A140" s="10" t="str">
        <f>B140&amp;"-"&amp;TEXT(COUNTIF(B$2:B140,B140),"00")</f>
        <v>PRODUCT-00062-002-01</v>
      </c>
      <c r="B140" s="11" t="s">
        <v>1752</v>
      </c>
      <c r="C140" s="10" t="str">
        <f>_xlfn.XLOOKUP(B140,'Product Variant'!$A:$A,'Product Variant'!$B:$B,"NOT FOUND")</f>
        <v>PRODUCT-00062</v>
      </c>
      <c r="D140" s="10" t="str">
        <f>_xlfn.XLOOKUP(B140,'Product Variant'!$A:$A,'Product Variant'!$C:$C,"NOT FOUND")</f>
        <v>[Merisocks] Đai hỗ trợ đầu gối</v>
      </c>
      <c r="E140" s="10" t="str" cm="1">
        <f t="array" ref="E140">_xlfn.TEXTJOIN(" / ",TRUE,_xlfn.XLOOKUP(B140&amp;"|ATTR-27",'Product Variant Attribute'!$A$2:$A$2000&amp;"|"&amp;'Product Variant Attribute'!$D$2:$D$2000,'Product Variant Attribute'!$F$2:$F$2000,""),_xlfn.XLOOKUP(B140&amp;"|ATTR-24",'Product Variant Attribute'!$A$2:$A$2000&amp;"|"&amp;'Product Variant Attribute'!$D$2:$D$2000,'Product Variant Attribute'!$F$2:$F$2000,""))</f>
        <v>L</v>
      </c>
      <c r="F140" s="11" t="s">
        <v>816</v>
      </c>
      <c r="G140" s="11" t="s">
        <v>929</v>
      </c>
      <c r="H140" s="13">
        <f t="shared" si="4"/>
        <v>1</v>
      </c>
      <c r="I140" s="16" t="str">
        <f>_xlfn.XLOOKUP(C140,Product!$A:$A,Product!$G:$G,"NOT FOUND")</f>
        <v>đôi</v>
      </c>
      <c r="J140" s="20">
        <v>1400000</v>
      </c>
      <c r="K140" s="15" t="s">
        <v>1327</v>
      </c>
      <c r="L140" s="21">
        <v>56</v>
      </c>
      <c r="M140" s="10" t="s">
        <v>938</v>
      </c>
      <c r="N140" s="12">
        <v>150</v>
      </c>
      <c r="O140" t="str">
        <f t="shared" si="5"/>
        <v>INSERT INTO public.medical_supply_sellable_unit (code, price, quantity, sale_uom, product_variant_code) VALUES ('PRODUCT-00062-002-01', 1400000, 1, 'Hộp', 'PRODUCT-00062-002');</v>
      </c>
    </row>
    <row r="141" spans="1:15" x14ac:dyDescent="0.25">
      <c r="A141" s="10" t="str">
        <f>B141&amp;"-"&amp;TEXT(COUNTIF(B$2:B141,B141),"00")</f>
        <v>PRODUCT-00062-003-01</v>
      </c>
      <c r="B141" s="11" t="s">
        <v>1753</v>
      </c>
      <c r="C141" s="10" t="str">
        <f>_xlfn.XLOOKUP(B141,'Product Variant'!$A:$A,'Product Variant'!$B:$B,"NOT FOUND")</f>
        <v>PRODUCT-00062</v>
      </c>
      <c r="D141" s="10" t="str">
        <f>_xlfn.XLOOKUP(B141,'Product Variant'!$A:$A,'Product Variant'!$C:$C,"NOT FOUND")</f>
        <v>[Merisocks] Đai hỗ trợ đầu gối</v>
      </c>
      <c r="E141" s="10" t="str" cm="1">
        <f t="array" ref="E141">_xlfn.TEXTJOIN(" / ",TRUE,_xlfn.XLOOKUP(B141&amp;"|ATTR-27",'Product Variant Attribute'!$A$2:$A$2000&amp;"|"&amp;'Product Variant Attribute'!$D$2:$D$2000,'Product Variant Attribute'!$F$2:$F$2000,""),_xlfn.XLOOKUP(B141&amp;"|ATTR-24",'Product Variant Attribute'!$A$2:$A$2000&amp;"|"&amp;'Product Variant Attribute'!$D$2:$D$2000,'Product Variant Attribute'!$F$2:$F$2000,""))</f>
        <v>LL</v>
      </c>
      <c r="F141" s="11" t="s">
        <v>816</v>
      </c>
      <c r="G141" s="11" t="s">
        <v>929</v>
      </c>
      <c r="H141" s="13">
        <f t="shared" si="4"/>
        <v>1</v>
      </c>
      <c r="I141" s="16" t="str">
        <f>_xlfn.XLOOKUP(C141,Product!$A:$A,Product!$G:$G,"NOT FOUND")</f>
        <v>đôi</v>
      </c>
      <c r="J141" s="20">
        <v>1400000</v>
      </c>
      <c r="K141" s="15" t="s">
        <v>1327</v>
      </c>
      <c r="L141" s="21">
        <v>57</v>
      </c>
      <c r="M141" s="10" t="s">
        <v>938</v>
      </c>
      <c r="N141" s="12">
        <v>151</v>
      </c>
      <c r="O141" t="str">
        <f t="shared" si="5"/>
        <v>INSERT INTO public.medical_supply_sellable_unit (code, price, quantity, sale_uom, product_variant_code) VALUES ('PRODUCT-00062-003-01', 1400000, 1, 'Hộp', 'PRODUCT-00062-003');</v>
      </c>
    </row>
    <row r="142" spans="1:15" x14ac:dyDescent="0.25">
      <c r="A142" s="10" t="str">
        <f>B142&amp;"-"&amp;TEXT(COUNTIF(B$2:B142,B142),"00")</f>
        <v>PRODUCT-00063-001-01</v>
      </c>
      <c r="B142" s="11" t="s">
        <v>1754</v>
      </c>
      <c r="C142" s="10" t="str">
        <f>_xlfn.XLOOKUP(B142,'Product Variant'!$A:$A,'Product Variant'!$B:$B,"NOT FOUND")</f>
        <v>PRODUCT-00063</v>
      </c>
      <c r="D142" s="10" t="str">
        <f>_xlfn.XLOOKUP(B142,'Product Variant'!$A:$A,'Product Variant'!$C:$C,"NOT FOUND")</f>
        <v>[Merisocks] Vớ nén bắp chân chống suy giãn tĩnh mạch</v>
      </c>
      <c r="E142" s="10" t="str" cm="1">
        <f t="array" ref="E142">_xlfn.TEXTJOIN(" / ",TRUE,_xlfn.XLOOKUP(B142&amp;"|ATTR-27",'Product Variant Attribute'!$A$2:$A$2000&amp;"|"&amp;'Product Variant Attribute'!$D$2:$D$2000,'Product Variant Attribute'!$F$2:$F$2000,""),_xlfn.XLOOKUP(B142&amp;"|ATTR-24",'Product Variant Attribute'!$A$2:$A$2000&amp;"|"&amp;'Product Variant Attribute'!$D$2:$D$2000,'Product Variant Attribute'!$F$2:$F$2000,""))</f>
        <v>S</v>
      </c>
      <c r="F142" s="11" t="s">
        <v>816</v>
      </c>
      <c r="G142" s="11" t="s">
        <v>929</v>
      </c>
      <c r="H142" s="13">
        <f t="shared" si="4"/>
        <v>1</v>
      </c>
      <c r="I142" s="16" t="str">
        <f>_xlfn.XLOOKUP(C142,Product!$A:$A,Product!$G:$G,"NOT FOUND")</f>
        <v>đôi</v>
      </c>
      <c r="J142" s="20">
        <v>650000</v>
      </c>
      <c r="K142" s="15" t="s">
        <v>1327</v>
      </c>
      <c r="L142" s="21" t="s">
        <v>1357</v>
      </c>
      <c r="M142" s="10" t="s">
        <v>939</v>
      </c>
      <c r="N142" s="12" t="s">
        <v>1192</v>
      </c>
      <c r="O142" t="str">
        <f t="shared" si="5"/>
        <v>INSERT INTO public.medical_supply_sellable_unit (code, price, quantity, sale_uom, product_variant_code) VALUES ('PRODUCT-00063-001-01', 650000, 1, 'Hộp', 'PRODUCT-00063-001');</v>
      </c>
    </row>
    <row r="143" spans="1:15" x14ac:dyDescent="0.25">
      <c r="A143" s="10" t="str">
        <f>B143&amp;"-"&amp;TEXT(COUNTIF(B$2:B143,B143),"00")</f>
        <v>PRODUCT-00063-002-01</v>
      </c>
      <c r="B143" s="11" t="s">
        <v>1755</v>
      </c>
      <c r="C143" s="10" t="str">
        <f>_xlfn.XLOOKUP(B143,'Product Variant'!$A:$A,'Product Variant'!$B:$B,"NOT FOUND")</f>
        <v>PRODUCT-00063</v>
      </c>
      <c r="D143" s="10" t="str">
        <f>_xlfn.XLOOKUP(B143,'Product Variant'!$A:$A,'Product Variant'!$C:$C,"NOT FOUND")</f>
        <v>[Merisocks] Vớ nén bắp chân chống suy giãn tĩnh mạch</v>
      </c>
      <c r="E143" s="10" t="str" cm="1">
        <f t="array" ref="E143">_xlfn.TEXTJOIN(" / ",TRUE,_xlfn.XLOOKUP(B143&amp;"|ATTR-27",'Product Variant Attribute'!$A$2:$A$2000&amp;"|"&amp;'Product Variant Attribute'!$D$2:$D$2000,'Product Variant Attribute'!$F$2:$F$2000,""),_xlfn.XLOOKUP(B143&amp;"|ATTR-24",'Product Variant Attribute'!$A$2:$A$2000&amp;"|"&amp;'Product Variant Attribute'!$D$2:$D$2000,'Product Variant Attribute'!$F$2:$F$2000,""))</f>
        <v>M</v>
      </c>
      <c r="F143" s="11" t="s">
        <v>816</v>
      </c>
      <c r="G143" s="11" t="s">
        <v>929</v>
      </c>
      <c r="H143" s="13">
        <f t="shared" si="4"/>
        <v>1</v>
      </c>
      <c r="I143" s="16" t="str">
        <f>_xlfn.XLOOKUP(C143,Product!$A:$A,Product!$G:$G,"NOT FOUND")</f>
        <v>đôi</v>
      </c>
      <c r="J143" s="20">
        <v>650000</v>
      </c>
      <c r="K143" s="15" t="s">
        <v>1327</v>
      </c>
      <c r="L143" s="21" t="s">
        <v>1358</v>
      </c>
      <c r="M143" s="10" t="s">
        <v>939</v>
      </c>
      <c r="N143" s="12" t="s">
        <v>1193</v>
      </c>
      <c r="O143" t="str">
        <f t="shared" si="5"/>
        <v>INSERT INTO public.medical_supply_sellable_unit (code, price, quantity, sale_uom, product_variant_code) VALUES ('PRODUCT-00063-002-01', 650000, 1, 'Hộp', 'PRODUCT-00063-002');</v>
      </c>
    </row>
    <row r="144" spans="1:15" x14ac:dyDescent="0.25">
      <c r="A144" s="10" t="str">
        <f>B144&amp;"-"&amp;TEXT(COUNTIF(B$2:B144,B144),"00")</f>
        <v>PRODUCT-00063-003-01</v>
      </c>
      <c r="B144" s="11" t="s">
        <v>1756</v>
      </c>
      <c r="C144" s="10" t="str">
        <f>_xlfn.XLOOKUP(B144,'Product Variant'!$A:$A,'Product Variant'!$B:$B,"NOT FOUND")</f>
        <v>PRODUCT-00063</v>
      </c>
      <c r="D144" s="10" t="str">
        <f>_xlfn.XLOOKUP(B144,'Product Variant'!$A:$A,'Product Variant'!$C:$C,"NOT FOUND")</f>
        <v>[Merisocks] Vớ nén bắp chân chống suy giãn tĩnh mạch</v>
      </c>
      <c r="E144" s="10" t="str" cm="1">
        <f t="array" ref="E144">_xlfn.TEXTJOIN(" / ",TRUE,_xlfn.XLOOKUP(B144&amp;"|ATTR-27",'Product Variant Attribute'!$A$2:$A$2000&amp;"|"&amp;'Product Variant Attribute'!$D$2:$D$2000,'Product Variant Attribute'!$F$2:$F$2000,""),_xlfn.XLOOKUP(B144&amp;"|ATTR-24",'Product Variant Attribute'!$A$2:$A$2000&amp;"|"&amp;'Product Variant Attribute'!$D$2:$D$2000,'Product Variant Attribute'!$F$2:$F$2000,""))</f>
        <v>L</v>
      </c>
      <c r="F144" s="11" t="s">
        <v>816</v>
      </c>
      <c r="G144" s="11" t="s">
        <v>929</v>
      </c>
      <c r="H144" s="13">
        <f t="shared" si="4"/>
        <v>1</v>
      </c>
      <c r="I144" s="16" t="str">
        <f>_xlfn.XLOOKUP(C144,Product!$A:$A,Product!$G:$G,"NOT FOUND")</f>
        <v>đôi</v>
      </c>
      <c r="J144" s="20">
        <v>650000</v>
      </c>
      <c r="K144" s="15" t="s">
        <v>1327</v>
      </c>
      <c r="L144" s="21" t="s">
        <v>1359</v>
      </c>
      <c r="M144" s="10" t="s">
        <v>939</v>
      </c>
      <c r="N144" s="12" t="s">
        <v>1194</v>
      </c>
      <c r="O144" t="str">
        <f t="shared" si="5"/>
        <v>INSERT INTO public.medical_supply_sellable_unit (code, price, quantity, sale_uom, product_variant_code) VALUES ('PRODUCT-00063-003-01', 650000, 1, 'Hộp', 'PRODUCT-00063-003');</v>
      </c>
    </row>
    <row r="145" spans="1:15" x14ac:dyDescent="0.25">
      <c r="A145" s="10" t="str">
        <f>B145&amp;"-"&amp;TEXT(COUNTIF(B$2:B145,B145),"00")</f>
        <v>PRODUCT-00063-004-01</v>
      </c>
      <c r="B145" s="11" t="s">
        <v>1757</v>
      </c>
      <c r="C145" s="10" t="str">
        <f>_xlfn.XLOOKUP(B145,'Product Variant'!$A:$A,'Product Variant'!$B:$B,"NOT FOUND")</f>
        <v>PRODUCT-00063</v>
      </c>
      <c r="D145" s="10" t="str">
        <f>_xlfn.XLOOKUP(B145,'Product Variant'!$A:$A,'Product Variant'!$C:$C,"NOT FOUND")</f>
        <v>[Merisocks] Vớ nén bắp chân chống suy giãn tĩnh mạch</v>
      </c>
      <c r="E145" s="10" t="str" cm="1">
        <f t="array" ref="E145">_xlfn.TEXTJOIN(" / ",TRUE,_xlfn.XLOOKUP(B145&amp;"|ATTR-27",'Product Variant Attribute'!$A$2:$A$2000&amp;"|"&amp;'Product Variant Attribute'!$D$2:$D$2000,'Product Variant Attribute'!$F$2:$F$2000,""),_xlfn.XLOOKUP(B145&amp;"|ATTR-24",'Product Variant Attribute'!$A$2:$A$2000&amp;"|"&amp;'Product Variant Attribute'!$D$2:$D$2000,'Product Variant Attribute'!$F$2:$F$2000,""))</f>
        <v>LL</v>
      </c>
      <c r="F145" s="11" t="s">
        <v>816</v>
      </c>
      <c r="G145" s="11" t="s">
        <v>929</v>
      </c>
      <c r="H145" s="13">
        <f t="shared" si="4"/>
        <v>1</v>
      </c>
      <c r="I145" s="16" t="str">
        <f>_xlfn.XLOOKUP(C145,Product!$A:$A,Product!$G:$G,"NOT FOUND")</f>
        <v>đôi</v>
      </c>
      <c r="J145" s="20">
        <v>650000</v>
      </c>
      <c r="K145" s="15" t="s">
        <v>1327</v>
      </c>
      <c r="L145" s="21" t="s">
        <v>1360</v>
      </c>
      <c r="M145" s="10" t="s">
        <v>939</v>
      </c>
      <c r="N145" s="12" t="s">
        <v>1195</v>
      </c>
      <c r="O145" t="str">
        <f t="shared" si="5"/>
        <v>INSERT INTO public.medical_supply_sellable_unit (code, price, quantity, sale_uom, product_variant_code) VALUES ('PRODUCT-00063-004-01', 650000, 1, 'Hộp', 'PRODUCT-00063-004');</v>
      </c>
    </row>
    <row r="146" spans="1:15" x14ac:dyDescent="0.25">
      <c r="A146" s="10" t="str">
        <f>B146&amp;"-"&amp;TEXT(COUNTIF(B$2:B146,B146),"00")</f>
        <v>PRODUCT-00063-005-01</v>
      </c>
      <c r="B146" s="11" t="s">
        <v>1758</v>
      </c>
      <c r="C146" s="10" t="str">
        <f>_xlfn.XLOOKUP(B146,'Product Variant'!$A:$A,'Product Variant'!$B:$B,"NOT FOUND")</f>
        <v>PRODUCT-00063</v>
      </c>
      <c r="D146" s="10" t="str">
        <f>_xlfn.XLOOKUP(B146,'Product Variant'!$A:$A,'Product Variant'!$C:$C,"NOT FOUND")</f>
        <v>[Merisocks] Vớ nén bắp chân chống suy giãn tĩnh mạch</v>
      </c>
      <c r="E146" s="10" t="str" cm="1">
        <f t="array" ref="E146">_xlfn.TEXTJOIN(" / ",TRUE,_xlfn.XLOOKUP(B146&amp;"|ATTR-27",'Product Variant Attribute'!$A$2:$A$2000&amp;"|"&amp;'Product Variant Attribute'!$D$2:$D$2000,'Product Variant Attribute'!$F$2:$F$2000,""),_xlfn.XLOOKUP(B146&amp;"|ATTR-24",'Product Variant Attribute'!$A$2:$A$2000&amp;"|"&amp;'Product Variant Attribute'!$D$2:$D$2000,'Product Variant Attribute'!$F$2:$F$2000,""))</f>
        <v>S / Đen-xám</v>
      </c>
      <c r="F146" s="11" t="s">
        <v>816</v>
      </c>
      <c r="G146" s="11" t="s">
        <v>929</v>
      </c>
      <c r="H146" s="13">
        <f t="shared" si="4"/>
        <v>1</v>
      </c>
      <c r="I146" s="16" t="str">
        <f>_xlfn.XLOOKUP(C146,Product!$A:$A,Product!$G:$G,"NOT FOUND")</f>
        <v>đôi</v>
      </c>
      <c r="J146" s="20">
        <v>650000</v>
      </c>
      <c r="K146" s="15" t="s">
        <v>1327</v>
      </c>
      <c r="L146" s="21">
        <v>66</v>
      </c>
      <c r="M146" s="10" t="s">
        <v>940</v>
      </c>
      <c r="N146" s="12">
        <v>521</v>
      </c>
      <c r="O146" t="str">
        <f t="shared" si="5"/>
        <v>INSERT INTO public.medical_supply_sellable_unit (code, price, quantity, sale_uom, product_variant_code) VALUES ('PRODUCT-00063-005-01', 650000, 1, 'Hộp', 'PRODUCT-00063-005');</v>
      </c>
    </row>
    <row r="147" spans="1:15" x14ac:dyDescent="0.25">
      <c r="A147" s="10" t="str">
        <f>B147&amp;"-"&amp;TEXT(COUNTIF(B$2:B147,B147),"00")</f>
        <v>PRODUCT-00063-006-01</v>
      </c>
      <c r="B147" s="11" t="s">
        <v>1759</v>
      </c>
      <c r="C147" s="10" t="str">
        <f>_xlfn.XLOOKUP(B147,'Product Variant'!$A:$A,'Product Variant'!$B:$B,"NOT FOUND")</f>
        <v>PRODUCT-00063</v>
      </c>
      <c r="D147" s="10" t="str">
        <f>_xlfn.XLOOKUP(B147,'Product Variant'!$A:$A,'Product Variant'!$C:$C,"NOT FOUND")</f>
        <v>[Merisocks] Vớ nén bắp chân chống suy giãn tĩnh mạch</v>
      </c>
      <c r="E147" s="10" t="str" cm="1">
        <f t="array" ref="E147">_xlfn.TEXTJOIN(" / ",TRUE,_xlfn.XLOOKUP(B147&amp;"|ATTR-27",'Product Variant Attribute'!$A$2:$A$2000&amp;"|"&amp;'Product Variant Attribute'!$D$2:$D$2000,'Product Variant Attribute'!$F$2:$F$2000,""),_xlfn.XLOOKUP(B147&amp;"|ATTR-24",'Product Variant Attribute'!$A$2:$A$2000&amp;"|"&amp;'Product Variant Attribute'!$D$2:$D$2000,'Product Variant Attribute'!$F$2:$F$2000,""))</f>
        <v>M / Đen-xám</v>
      </c>
      <c r="F147" s="11" t="s">
        <v>816</v>
      </c>
      <c r="G147" s="11" t="s">
        <v>929</v>
      </c>
      <c r="H147" s="13">
        <f t="shared" si="4"/>
        <v>1</v>
      </c>
      <c r="I147" s="16" t="str">
        <f>_xlfn.XLOOKUP(C147,Product!$A:$A,Product!$G:$G,"NOT FOUND")</f>
        <v>đôi</v>
      </c>
      <c r="J147" s="20">
        <v>650000</v>
      </c>
      <c r="K147" s="15" t="s">
        <v>1327</v>
      </c>
      <c r="L147" s="21">
        <v>67</v>
      </c>
      <c r="M147" s="10" t="s">
        <v>940</v>
      </c>
      <c r="N147" s="12">
        <v>522</v>
      </c>
      <c r="O147" t="str">
        <f t="shared" si="5"/>
        <v>INSERT INTO public.medical_supply_sellable_unit (code, price, quantity, sale_uom, product_variant_code) VALUES ('PRODUCT-00063-006-01', 650000, 1, 'Hộp', 'PRODUCT-00063-006');</v>
      </c>
    </row>
    <row r="148" spans="1:15" x14ac:dyDescent="0.25">
      <c r="A148" s="10" t="str">
        <f>B148&amp;"-"&amp;TEXT(COUNTIF(B$2:B148,B148),"00")</f>
        <v>PRODUCT-00063-007-01</v>
      </c>
      <c r="B148" s="11" t="s">
        <v>1760</v>
      </c>
      <c r="C148" s="10" t="str">
        <f>_xlfn.XLOOKUP(B148,'Product Variant'!$A:$A,'Product Variant'!$B:$B,"NOT FOUND")</f>
        <v>PRODUCT-00063</v>
      </c>
      <c r="D148" s="10" t="str">
        <f>_xlfn.XLOOKUP(B148,'Product Variant'!$A:$A,'Product Variant'!$C:$C,"NOT FOUND")</f>
        <v>[Merisocks] Vớ nén bắp chân chống suy giãn tĩnh mạch</v>
      </c>
      <c r="E148" s="10" t="str" cm="1">
        <f t="array" ref="E148">_xlfn.TEXTJOIN(" / ",TRUE,_xlfn.XLOOKUP(B148&amp;"|ATTR-27",'Product Variant Attribute'!$A$2:$A$2000&amp;"|"&amp;'Product Variant Attribute'!$D$2:$D$2000,'Product Variant Attribute'!$F$2:$F$2000,""),_xlfn.XLOOKUP(B148&amp;"|ATTR-24",'Product Variant Attribute'!$A$2:$A$2000&amp;"|"&amp;'Product Variant Attribute'!$D$2:$D$2000,'Product Variant Attribute'!$F$2:$F$2000,""))</f>
        <v>L / Đen-xám</v>
      </c>
      <c r="F148" s="11" t="s">
        <v>816</v>
      </c>
      <c r="G148" s="11" t="s">
        <v>929</v>
      </c>
      <c r="H148" s="13">
        <f t="shared" si="4"/>
        <v>1</v>
      </c>
      <c r="I148" s="16" t="str">
        <f>_xlfn.XLOOKUP(C148,Product!$A:$A,Product!$G:$G,"NOT FOUND")</f>
        <v>đôi</v>
      </c>
      <c r="J148" s="20">
        <v>650000</v>
      </c>
      <c r="K148" s="15" t="s">
        <v>1327</v>
      </c>
      <c r="L148" s="21">
        <v>68</v>
      </c>
      <c r="M148" s="10" t="s">
        <v>940</v>
      </c>
      <c r="N148" s="12">
        <v>523</v>
      </c>
      <c r="O148" t="str">
        <f t="shared" si="5"/>
        <v>INSERT INTO public.medical_supply_sellable_unit (code, price, quantity, sale_uom, product_variant_code) VALUES ('PRODUCT-00063-007-01', 650000, 1, 'Hộp', 'PRODUCT-00063-007');</v>
      </c>
    </row>
    <row r="149" spans="1:15" x14ac:dyDescent="0.25">
      <c r="A149" s="10" t="str">
        <f>B149&amp;"-"&amp;TEXT(COUNTIF(B$2:B149,B149),"00")</f>
        <v>PRODUCT-00063-008-01</v>
      </c>
      <c r="B149" s="11" t="s">
        <v>1761</v>
      </c>
      <c r="C149" s="10" t="str">
        <f>_xlfn.XLOOKUP(B149,'Product Variant'!$A:$A,'Product Variant'!$B:$B,"NOT FOUND")</f>
        <v>PRODUCT-00063</v>
      </c>
      <c r="D149" s="10" t="str">
        <f>_xlfn.XLOOKUP(B149,'Product Variant'!$A:$A,'Product Variant'!$C:$C,"NOT FOUND")</f>
        <v>[Merisocks] Vớ nén bắp chân chống suy giãn tĩnh mạch</v>
      </c>
      <c r="E149" s="10" t="str" cm="1">
        <f t="array" ref="E149">_xlfn.TEXTJOIN(" / ",TRUE,_xlfn.XLOOKUP(B149&amp;"|ATTR-27",'Product Variant Attribute'!$A$2:$A$2000&amp;"|"&amp;'Product Variant Attribute'!$D$2:$D$2000,'Product Variant Attribute'!$F$2:$F$2000,""),_xlfn.XLOOKUP(B149&amp;"|ATTR-24",'Product Variant Attribute'!$A$2:$A$2000&amp;"|"&amp;'Product Variant Attribute'!$D$2:$D$2000,'Product Variant Attribute'!$F$2:$F$2000,""))</f>
        <v>LL / Đen-xám</v>
      </c>
      <c r="F149" s="11" t="s">
        <v>816</v>
      </c>
      <c r="G149" s="11" t="s">
        <v>929</v>
      </c>
      <c r="H149" s="13">
        <f t="shared" si="4"/>
        <v>1</v>
      </c>
      <c r="I149" s="16" t="str">
        <f>_xlfn.XLOOKUP(C149,Product!$A:$A,Product!$G:$G,"NOT FOUND")</f>
        <v>đôi</v>
      </c>
      <c r="J149" s="20">
        <v>650000</v>
      </c>
      <c r="K149" s="15" t="s">
        <v>1327</v>
      </c>
      <c r="L149" s="21">
        <v>69</v>
      </c>
      <c r="M149" s="10" t="s">
        <v>940</v>
      </c>
      <c r="N149" s="12">
        <v>524</v>
      </c>
      <c r="O149" t="str">
        <f t="shared" si="5"/>
        <v>INSERT INTO public.medical_supply_sellable_unit (code, price, quantity, sale_uom, product_variant_code) VALUES ('PRODUCT-00063-008-01', 650000, 1, 'Hộp', 'PRODUCT-00063-008');</v>
      </c>
    </row>
    <row r="150" spans="1:15" x14ac:dyDescent="0.25">
      <c r="A150" s="10" t="str">
        <f>B150&amp;"-"&amp;TEXT(COUNTIF(B$2:B150,B150),"00")</f>
        <v>PRODUCT-00063-009-01</v>
      </c>
      <c r="B150" s="11" t="s">
        <v>1762</v>
      </c>
      <c r="C150" s="10" t="str">
        <f>_xlfn.XLOOKUP(B150,'Product Variant'!$A:$A,'Product Variant'!$B:$B,"NOT FOUND")</f>
        <v>PRODUCT-00063</v>
      </c>
      <c r="D150" s="10" t="str">
        <f>_xlfn.XLOOKUP(B150,'Product Variant'!$A:$A,'Product Variant'!$C:$C,"NOT FOUND")</f>
        <v>[Merisocks] Vớ nén bắp chân chống suy giãn tĩnh mạch</v>
      </c>
      <c r="E150" s="10" t="str" cm="1">
        <f t="array" ref="E150">_xlfn.TEXTJOIN(" / ",TRUE,_xlfn.XLOOKUP(B150&amp;"|ATTR-27",'Product Variant Attribute'!$A$2:$A$2000&amp;"|"&amp;'Product Variant Attribute'!$D$2:$D$2000,'Product Variant Attribute'!$F$2:$F$2000,""),_xlfn.XLOOKUP(B150&amp;"|ATTR-24",'Product Variant Attribute'!$A$2:$A$2000&amp;"|"&amp;'Product Variant Attribute'!$D$2:$D$2000,'Product Variant Attribute'!$F$2:$F$2000,""))</f>
        <v>S / Đen-đỏ</v>
      </c>
      <c r="F150" s="11" t="s">
        <v>816</v>
      </c>
      <c r="G150" s="11" t="s">
        <v>929</v>
      </c>
      <c r="H150" s="13">
        <f t="shared" si="4"/>
        <v>1</v>
      </c>
      <c r="I150" s="16" t="str">
        <f>_xlfn.XLOOKUP(C150,Product!$A:$A,Product!$G:$G,"NOT FOUND")</f>
        <v>đôi</v>
      </c>
      <c r="J150" s="20">
        <v>650000</v>
      </c>
      <c r="K150" s="15" t="s">
        <v>1327</v>
      </c>
      <c r="L150" s="21">
        <v>70</v>
      </c>
      <c r="M150" s="10" t="s">
        <v>940</v>
      </c>
      <c r="N150" s="12">
        <v>525</v>
      </c>
      <c r="O150" t="str">
        <f t="shared" si="5"/>
        <v>INSERT INTO public.medical_supply_sellable_unit (code, price, quantity, sale_uom, product_variant_code) VALUES ('PRODUCT-00063-009-01', 650000, 1, 'Hộp', 'PRODUCT-00063-009');</v>
      </c>
    </row>
    <row r="151" spans="1:15" x14ac:dyDescent="0.25">
      <c r="A151" s="10" t="str">
        <f>B151&amp;"-"&amp;TEXT(COUNTIF(B$2:B151,B151),"00")</f>
        <v>PRODUCT-00063-010-01</v>
      </c>
      <c r="B151" s="11" t="s">
        <v>1763</v>
      </c>
      <c r="C151" s="10" t="str">
        <f>_xlfn.XLOOKUP(B151,'Product Variant'!$A:$A,'Product Variant'!$B:$B,"NOT FOUND")</f>
        <v>PRODUCT-00063</v>
      </c>
      <c r="D151" s="10" t="str">
        <f>_xlfn.XLOOKUP(B151,'Product Variant'!$A:$A,'Product Variant'!$C:$C,"NOT FOUND")</f>
        <v>[Merisocks] Vớ nén bắp chân chống suy giãn tĩnh mạch</v>
      </c>
      <c r="E151" s="10" t="str" cm="1">
        <f t="array" ref="E151">_xlfn.TEXTJOIN(" / ",TRUE,_xlfn.XLOOKUP(B151&amp;"|ATTR-27",'Product Variant Attribute'!$A$2:$A$2000&amp;"|"&amp;'Product Variant Attribute'!$D$2:$D$2000,'Product Variant Attribute'!$F$2:$F$2000,""),_xlfn.XLOOKUP(B151&amp;"|ATTR-24",'Product Variant Attribute'!$A$2:$A$2000&amp;"|"&amp;'Product Variant Attribute'!$D$2:$D$2000,'Product Variant Attribute'!$F$2:$F$2000,""))</f>
        <v>M / Đen-đỏ</v>
      </c>
      <c r="F151" s="11" t="s">
        <v>816</v>
      </c>
      <c r="G151" s="11" t="s">
        <v>929</v>
      </c>
      <c r="H151" s="13">
        <f t="shared" si="4"/>
        <v>1</v>
      </c>
      <c r="I151" s="16" t="str">
        <f>_xlfn.XLOOKUP(C151,Product!$A:$A,Product!$G:$G,"NOT FOUND")</f>
        <v>đôi</v>
      </c>
      <c r="J151" s="20">
        <v>650000</v>
      </c>
      <c r="K151" s="15" t="s">
        <v>1327</v>
      </c>
      <c r="L151" s="21">
        <v>71</v>
      </c>
      <c r="M151" s="10" t="s">
        <v>940</v>
      </c>
      <c r="N151" s="12">
        <v>526</v>
      </c>
      <c r="O151" t="str">
        <f t="shared" si="5"/>
        <v>INSERT INTO public.medical_supply_sellable_unit (code, price, quantity, sale_uom, product_variant_code) VALUES ('PRODUCT-00063-010-01', 650000, 1, 'Hộp', 'PRODUCT-00063-010');</v>
      </c>
    </row>
    <row r="152" spans="1:15" x14ac:dyDescent="0.25">
      <c r="A152" s="10" t="str">
        <f>B152&amp;"-"&amp;TEXT(COUNTIF(B$2:B152,B152),"00")</f>
        <v>PRODUCT-00063-011-01</v>
      </c>
      <c r="B152" s="11" t="s">
        <v>1764</v>
      </c>
      <c r="C152" s="10" t="str">
        <f>_xlfn.XLOOKUP(B152,'Product Variant'!$A:$A,'Product Variant'!$B:$B,"NOT FOUND")</f>
        <v>PRODUCT-00063</v>
      </c>
      <c r="D152" s="10" t="str">
        <f>_xlfn.XLOOKUP(B152,'Product Variant'!$A:$A,'Product Variant'!$C:$C,"NOT FOUND")</f>
        <v>[Merisocks] Vớ nén bắp chân chống suy giãn tĩnh mạch</v>
      </c>
      <c r="E152" s="10" t="str" cm="1">
        <f t="array" ref="E152">_xlfn.TEXTJOIN(" / ",TRUE,_xlfn.XLOOKUP(B152&amp;"|ATTR-27",'Product Variant Attribute'!$A$2:$A$2000&amp;"|"&amp;'Product Variant Attribute'!$D$2:$D$2000,'Product Variant Attribute'!$F$2:$F$2000,""),_xlfn.XLOOKUP(B152&amp;"|ATTR-24",'Product Variant Attribute'!$A$2:$A$2000&amp;"|"&amp;'Product Variant Attribute'!$D$2:$D$2000,'Product Variant Attribute'!$F$2:$F$2000,""))</f>
        <v>L / Đen-đỏ</v>
      </c>
      <c r="F152" s="11" t="s">
        <v>816</v>
      </c>
      <c r="G152" s="11" t="s">
        <v>929</v>
      </c>
      <c r="H152" s="13">
        <f t="shared" si="4"/>
        <v>1</v>
      </c>
      <c r="I152" s="16" t="str">
        <f>_xlfn.XLOOKUP(C152,Product!$A:$A,Product!$G:$G,"NOT FOUND")</f>
        <v>đôi</v>
      </c>
      <c r="J152" s="20">
        <v>650000</v>
      </c>
      <c r="K152" s="15" t="s">
        <v>1327</v>
      </c>
      <c r="L152" s="21">
        <v>72</v>
      </c>
      <c r="M152" s="10" t="s">
        <v>940</v>
      </c>
      <c r="N152" s="12">
        <v>527</v>
      </c>
      <c r="O152" t="str">
        <f t="shared" si="5"/>
        <v>INSERT INTO public.medical_supply_sellable_unit (code, price, quantity, sale_uom, product_variant_code) VALUES ('PRODUCT-00063-011-01', 650000, 1, 'Hộp', 'PRODUCT-00063-011');</v>
      </c>
    </row>
    <row r="153" spans="1:15" x14ac:dyDescent="0.25">
      <c r="A153" s="10" t="str">
        <f>B153&amp;"-"&amp;TEXT(COUNTIF(B$2:B153,B153),"00")</f>
        <v>PRODUCT-00063-012-01</v>
      </c>
      <c r="B153" s="11" t="s">
        <v>1765</v>
      </c>
      <c r="C153" s="10" t="str">
        <f>_xlfn.XLOOKUP(B153,'Product Variant'!$A:$A,'Product Variant'!$B:$B,"NOT FOUND")</f>
        <v>PRODUCT-00063</v>
      </c>
      <c r="D153" s="10" t="str">
        <f>_xlfn.XLOOKUP(B153,'Product Variant'!$A:$A,'Product Variant'!$C:$C,"NOT FOUND")</f>
        <v>[Merisocks] Vớ nén bắp chân chống suy giãn tĩnh mạch</v>
      </c>
      <c r="E153" s="10" t="str" cm="1">
        <f t="array" ref="E153">_xlfn.TEXTJOIN(" / ",TRUE,_xlfn.XLOOKUP(B153&amp;"|ATTR-27",'Product Variant Attribute'!$A$2:$A$2000&amp;"|"&amp;'Product Variant Attribute'!$D$2:$D$2000,'Product Variant Attribute'!$F$2:$F$2000,""),_xlfn.XLOOKUP(B153&amp;"|ATTR-24",'Product Variant Attribute'!$A$2:$A$2000&amp;"|"&amp;'Product Variant Attribute'!$D$2:$D$2000,'Product Variant Attribute'!$F$2:$F$2000,""))</f>
        <v>LL / Đen-đỏ</v>
      </c>
      <c r="F153" s="11" t="s">
        <v>816</v>
      </c>
      <c r="G153" s="11" t="s">
        <v>929</v>
      </c>
      <c r="H153" s="13">
        <f t="shared" si="4"/>
        <v>1</v>
      </c>
      <c r="I153" s="16" t="str">
        <f>_xlfn.XLOOKUP(C153,Product!$A:$A,Product!$G:$G,"NOT FOUND")</f>
        <v>đôi</v>
      </c>
      <c r="J153" s="20">
        <v>650000</v>
      </c>
      <c r="K153" s="15" t="s">
        <v>1327</v>
      </c>
      <c r="L153" s="21">
        <v>73</v>
      </c>
      <c r="M153" s="10" t="s">
        <v>940</v>
      </c>
      <c r="N153" s="12">
        <v>528</v>
      </c>
      <c r="O153" t="str">
        <f t="shared" si="5"/>
        <v>INSERT INTO public.medical_supply_sellable_unit (code, price, quantity, sale_uom, product_variant_code) VALUES ('PRODUCT-00063-012-01', 650000, 1, 'Hộp', 'PRODUCT-00063-012');</v>
      </c>
    </row>
    <row r="154" spans="1:15" x14ac:dyDescent="0.25">
      <c r="A154" s="10" t="str">
        <f>B154&amp;"-"&amp;TEXT(COUNTIF(B$2:B154,B154),"00")</f>
        <v>PRODUCT-00064-001-01</v>
      </c>
      <c r="B154" s="11" t="s">
        <v>1766</v>
      </c>
      <c r="C154" s="10" t="str">
        <f>_xlfn.XLOOKUP(B154,'Product Variant'!$A:$A,'Product Variant'!$B:$B,"NOT FOUND")</f>
        <v>PRODUCT-00064</v>
      </c>
      <c r="D154" s="10" t="str">
        <f>_xlfn.XLOOKUP(B154,'Product Variant'!$A:$A,'Product Variant'!$C:$C,"NOT FOUND")</f>
        <v>[Omron] Máy massage xung điện trị liệu - HV-F013</v>
      </c>
      <c r="E154" s="10" t="str" cm="1">
        <f t="array" ref="E154">_xlfn.TEXTJOIN(" / ",TRUE,_xlfn.XLOOKUP(B154&amp;"|ATTR-27",'Product Variant Attribute'!$A$2:$A$2000&amp;"|"&amp;'Product Variant Attribute'!$D$2:$D$2000,'Product Variant Attribute'!$F$2:$F$2000,""),_xlfn.XLOOKUP(B154&amp;"|ATTR-24",'Product Variant Attribute'!$A$2:$A$2000&amp;"|"&amp;'Product Variant Attribute'!$D$2:$D$2000,'Product Variant Attribute'!$F$2:$F$2000,""))</f>
        <v/>
      </c>
      <c r="F154" s="11" t="s">
        <v>815</v>
      </c>
      <c r="G154" s="11" t="s">
        <v>826</v>
      </c>
      <c r="H154" s="13">
        <f t="shared" si="4"/>
        <v>1</v>
      </c>
      <c r="I154" s="16" t="str">
        <f>_xlfn.XLOOKUP(C154,Product!$A:$A,Product!$G:$G,"NOT FOUND")</f>
        <v>bộ</v>
      </c>
      <c r="J154" s="20">
        <v>990000</v>
      </c>
      <c r="K154" s="15" t="s">
        <v>1323</v>
      </c>
      <c r="L154" s="21">
        <v>494</v>
      </c>
      <c r="M154" s="10" t="s">
        <v>941</v>
      </c>
      <c r="N154" s="12">
        <v>324</v>
      </c>
      <c r="O154" t="str">
        <f t="shared" si="5"/>
        <v>INSERT INTO public.medical_supply_sellable_unit (code, price, quantity, sale_uom, product_variant_code) VALUES ('PRODUCT-00064-001-01', 990000, 1, 'Bộ', 'PRODUCT-00064-001');</v>
      </c>
    </row>
    <row r="155" spans="1:15" x14ac:dyDescent="0.25">
      <c r="A155" s="10" t="str">
        <f>B155&amp;"-"&amp;TEXT(COUNTIF(B$2:B155,B155),"00")</f>
        <v>PRODUCT-00065-001-01</v>
      </c>
      <c r="B155" s="11" t="s">
        <v>1767</v>
      </c>
      <c r="C155" s="10" t="str">
        <f>_xlfn.XLOOKUP(B155,'Product Variant'!$A:$A,'Product Variant'!$B:$B,"NOT FOUND")</f>
        <v>PRODUCT-00065</v>
      </c>
      <c r="D155" s="10" t="str">
        <f>_xlfn.XLOOKUP(B155,'Product Variant'!$A:$A,'Product Variant'!$C:$C,"NOT FOUND")</f>
        <v>[Omron] Máy massage xung điện trị liệu - HV-F127</v>
      </c>
      <c r="E155" s="10" t="str" cm="1">
        <f t="array" ref="E155">_xlfn.TEXTJOIN(" / ",TRUE,_xlfn.XLOOKUP(B155&amp;"|ATTR-27",'Product Variant Attribute'!$A$2:$A$2000&amp;"|"&amp;'Product Variant Attribute'!$D$2:$D$2000,'Product Variant Attribute'!$F$2:$F$2000,""),_xlfn.XLOOKUP(B155&amp;"|ATTR-24",'Product Variant Attribute'!$A$2:$A$2000&amp;"|"&amp;'Product Variant Attribute'!$D$2:$D$2000,'Product Variant Attribute'!$F$2:$F$2000,""))</f>
        <v/>
      </c>
      <c r="F155" s="11" t="s">
        <v>815</v>
      </c>
      <c r="G155" s="11" t="s">
        <v>826</v>
      </c>
      <c r="H155" s="13">
        <f t="shared" si="4"/>
        <v>1</v>
      </c>
      <c r="I155" s="16" t="str">
        <f>_xlfn.XLOOKUP(C155,Product!$A:$A,Product!$G:$G,"NOT FOUND")</f>
        <v>bộ</v>
      </c>
      <c r="J155" s="20">
        <v>1250000</v>
      </c>
      <c r="K155" s="15" t="s">
        <v>1323</v>
      </c>
      <c r="L155" s="21">
        <v>493</v>
      </c>
      <c r="M155" s="10" t="s">
        <v>942</v>
      </c>
      <c r="N155" s="12">
        <v>325</v>
      </c>
      <c r="O155" t="str">
        <f t="shared" si="5"/>
        <v>INSERT INTO public.medical_supply_sellable_unit (code, price, quantity, sale_uom, product_variant_code) VALUES ('PRODUCT-00065-001-01', 1250000, 1, 'Bộ', 'PRODUCT-00065-001');</v>
      </c>
    </row>
    <row r="156" spans="1:15" x14ac:dyDescent="0.25">
      <c r="A156" s="10" t="str">
        <f>B156&amp;"-"&amp;TEXT(COUNTIF(B$2:B156,B156),"00")</f>
        <v>PRODUCT-00066-001-01</v>
      </c>
      <c r="B156" s="11" t="s">
        <v>1768</v>
      </c>
      <c r="C156" s="10" t="str">
        <f>_xlfn.XLOOKUP(B156,'Product Variant'!$A:$A,'Product Variant'!$B:$B,"NOT FOUND")</f>
        <v>PRODUCT-00066</v>
      </c>
      <c r="D156" s="10" t="str">
        <f>_xlfn.XLOOKUP(B156,'Product Variant'!$A:$A,'Product Variant'!$C:$C,"NOT FOUND")</f>
        <v>[Omron] Máy massage xung điện trị liệu - HV-F128</v>
      </c>
      <c r="E156" s="10" t="str" cm="1">
        <f t="array" ref="E156">_xlfn.TEXTJOIN(" / ",TRUE,_xlfn.XLOOKUP(B156&amp;"|ATTR-27",'Product Variant Attribute'!$A$2:$A$2000&amp;"|"&amp;'Product Variant Attribute'!$D$2:$D$2000,'Product Variant Attribute'!$F$2:$F$2000,""),_xlfn.XLOOKUP(B156&amp;"|ATTR-24",'Product Variant Attribute'!$A$2:$A$2000&amp;"|"&amp;'Product Variant Attribute'!$D$2:$D$2000,'Product Variant Attribute'!$F$2:$F$2000,""))</f>
        <v/>
      </c>
      <c r="F156" s="11" t="s">
        <v>815</v>
      </c>
      <c r="G156" s="11" t="s">
        <v>826</v>
      </c>
      <c r="H156" s="13">
        <f t="shared" si="4"/>
        <v>1</v>
      </c>
      <c r="I156" s="16" t="str">
        <f>_xlfn.XLOOKUP(C156,Product!$A:$A,Product!$G:$G,"NOT FOUND")</f>
        <v>bộ</v>
      </c>
      <c r="J156" s="20">
        <v>1500000</v>
      </c>
      <c r="K156" s="15" t="s">
        <v>1323</v>
      </c>
      <c r="L156" s="21">
        <v>492</v>
      </c>
      <c r="M156" s="10" t="s">
        <v>943</v>
      </c>
      <c r="N156" s="12">
        <v>326</v>
      </c>
      <c r="O156" t="str">
        <f t="shared" si="5"/>
        <v>INSERT INTO public.medical_supply_sellable_unit (code, price, quantity, sale_uom, product_variant_code) VALUES ('PRODUCT-00066-001-01', 1500000, 1, 'Bộ', 'PRODUCT-00066-001');</v>
      </c>
    </row>
    <row r="157" spans="1:15" x14ac:dyDescent="0.25">
      <c r="A157" s="10" t="str">
        <f>B157&amp;"-"&amp;TEXT(COUNTIF(B$2:B157,B157),"00")</f>
        <v>PRODUCT-00067-001-01</v>
      </c>
      <c r="B157" s="11" t="s">
        <v>1769</v>
      </c>
      <c r="C157" s="10" t="str">
        <f>_xlfn.XLOOKUP(B157,'Product Variant'!$A:$A,'Product Variant'!$B:$B,"NOT FOUND")</f>
        <v>PRODUCT-00067</v>
      </c>
      <c r="D157" s="10" t="str">
        <f>_xlfn.XLOOKUP(B157,'Product Variant'!$A:$A,'Product Variant'!$C:$C,"NOT FOUND")</f>
        <v>[Omron] Miếng dán điện cực máy massage xung điện - Long Life Pad HV-LLPAD-C1</v>
      </c>
      <c r="E157" s="10" t="str" cm="1">
        <f t="array" ref="E157">_xlfn.TEXTJOIN(" / ",TRUE,_xlfn.XLOOKUP(B157&amp;"|ATTR-27",'Product Variant Attribute'!$A$2:$A$2000&amp;"|"&amp;'Product Variant Attribute'!$D$2:$D$2000,'Product Variant Attribute'!$F$2:$F$2000,""),_xlfn.XLOOKUP(B157&amp;"|ATTR-24",'Product Variant Attribute'!$A$2:$A$2000&amp;"|"&amp;'Product Variant Attribute'!$D$2:$D$2000,'Product Variant Attribute'!$F$2:$F$2000,""))</f>
        <v/>
      </c>
      <c r="F157" s="11" t="s">
        <v>816</v>
      </c>
      <c r="G157" s="11" t="s">
        <v>944</v>
      </c>
      <c r="H157" s="13">
        <f t="shared" si="4"/>
        <v>1</v>
      </c>
      <c r="I157" s="16" t="str">
        <f>_xlfn.XLOOKUP(C157,Product!$A:$A,Product!$G:$G,"NOT FOUND")</f>
        <v>cặp</v>
      </c>
      <c r="J157" s="20">
        <v>340000</v>
      </c>
      <c r="K157" s="15" t="s">
        <v>1323</v>
      </c>
      <c r="L157" s="21">
        <v>216</v>
      </c>
      <c r="M157" s="10" t="s">
        <v>945</v>
      </c>
      <c r="N157" s="12">
        <v>340</v>
      </c>
      <c r="O157" t="str">
        <f t="shared" si="5"/>
        <v>INSERT INTO public.medical_supply_sellable_unit (code, price, quantity, sale_uom, product_variant_code) VALUES ('PRODUCT-00067-001-01', 340000, 1, 'Hộp', 'PRODUCT-00067-001');</v>
      </c>
    </row>
    <row r="158" spans="1:15" x14ac:dyDescent="0.25">
      <c r="A158" s="10" t="str">
        <f>B158&amp;"-"&amp;TEXT(COUNTIF(B$2:B158,B158),"00")</f>
        <v>PRODUCT-00068-001-01</v>
      </c>
      <c r="B158" s="11" t="s">
        <v>1770</v>
      </c>
      <c r="C158" s="10" t="str">
        <f>_xlfn.XLOOKUP(B158,'Product Variant'!$A:$A,'Product Variant'!$B:$B,"NOT FOUND")</f>
        <v>PRODUCT-00068</v>
      </c>
      <c r="D158" s="10" t="str">
        <f>_xlfn.XLOOKUP(B158,'Product Variant'!$A:$A,'Product Variant'!$C:$C,"NOT FOUND")</f>
        <v>[Orbe] Đai chống gù lưng</v>
      </c>
      <c r="E158" s="10" t="str" cm="1">
        <f t="array" ref="E158">_xlfn.TEXTJOIN(" / ",TRUE,_xlfn.XLOOKUP(B158&amp;"|ATTR-27",'Product Variant Attribute'!$A$2:$A$2000&amp;"|"&amp;'Product Variant Attribute'!$D$2:$D$2000,'Product Variant Attribute'!$F$2:$F$2000,""),_xlfn.XLOOKUP(B158&amp;"|ATTR-24",'Product Variant Attribute'!$A$2:$A$2000&amp;"|"&amp;'Product Variant Attribute'!$D$2:$D$2000,'Product Variant Attribute'!$F$2:$F$2000,""))</f>
        <v>XS</v>
      </c>
      <c r="F158" s="11" t="s">
        <v>818</v>
      </c>
      <c r="G158" s="11" t="s">
        <v>927</v>
      </c>
      <c r="H158" s="13">
        <f t="shared" si="4"/>
        <v>1</v>
      </c>
      <c r="I158" s="16" t="str">
        <f>_xlfn.XLOOKUP(C158,Product!$A:$A,Product!$G:$G,"NOT FOUND")</f>
        <v>cái</v>
      </c>
      <c r="J158" s="20">
        <v>190000</v>
      </c>
      <c r="K158" s="15" t="s">
        <v>1327</v>
      </c>
      <c r="L158" s="21">
        <v>310</v>
      </c>
      <c r="M158" s="10" t="s">
        <v>946</v>
      </c>
      <c r="N158" s="12">
        <v>139</v>
      </c>
      <c r="O158" t="str">
        <f t="shared" si="5"/>
        <v>INSERT INTO public.medical_supply_sellable_unit (code, price, quantity, sale_uom, product_variant_code) VALUES ('PRODUCT-00068-001-01', 190000, 1, 'Cái', 'PRODUCT-00068-001');</v>
      </c>
    </row>
    <row r="159" spans="1:15" x14ac:dyDescent="0.25">
      <c r="A159" s="10" t="str">
        <f>B159&amp;"-"&amp;TEXT(COUNTIF(B$2:B159,B159),"00")</f>
        <v>PRODUCT-00068-002-01</v>
      </c>
      <c r="B159" s="11" t="s">
        <v>1771</v>
      </c>
      <c r="C159" s="10" t="str">
        <f>_xlfn.XLOOKUP(B159,'Product Variant'!$A:$A,'Product Variant'!$B:$B,"NOT FOUND")</f>
        <v>PRODUCT-00068</v>
      </c>
      <c r="D159" s="10" t="str">
        <f>_xlfn.XLOOKUP(B159,'Product Variant'!$A:$A,'Product Variant'!$C:$C,"NOT FOUND")</f>
        <v>[Orbe] Đai chống gù lưng</v>
      </c>
      <c r="E159" s="10" t="str" cm="1">
        <f t="array" ref="E159">_xlfn.TEXTJOIN(" / ",TRUE,_xlfn.XLOOKUP(B159&amp;"|ATTR-27",'Product Variant Attribute'!$A$2:$A$2000&amp;"|"&amp;'Product Variant Attribute'!$D$2:$D$2000,'Product Variant Attribute'!$F$2:$F$2000,""),_xlfn.XLOOKUP(B159&amp;"|ATTR-24",'Product Variant Attribute'!$A$2:$A$2000&amp;"|"&amp;'Product Variant Attribute'!$D$2:$D$2000,'Product Variant Attribute'!$F$2:$F$2000,""))</f>
        <v>S</v>
      </c>
      <c r="F159" s="11" t="s">
        <v>818</v>
      </c>
      <c r="G159" s="11" t="s">
        <v>927</v>
      </c>
      <c r="H159" s="13">
        <f t="shared" si="4"/>
        <v>1</v>
      </c>
      <c r="I159" s="16" t="str">
        <f>_xlfn.XLOOKUP(C159,Product!$A:$A,Product!$G:$G,"NOT FOUND")</f>
        <v>cái</v>
      </c>
      <c r="J159" s="20">
        <v>190000</v>
      </c>
      <c r="K159" s="15" t="s">
        <v>1327</v>
      </c>
      <c r="L159" s="21">
        <v>311</v>
      </c>
      <c r="M159" s="10" t="s">
        <v>946</v>
      </c>
      <c r="N159" s="12">
        <v>140</v>
      </c>
      <c r="O159" t="str">
        <f t="shared" si="5"/>
        <v>INSERT INTO public.medical_supply_sellable_unit (code, price, quantity, sale_uom, product_variant_code) VALUES ('PRODUCT-00068-002-01', 190000, 1, 'Cái', 'PRODUCT-00068-002');</v>
      </c>
    </row>
    <row r="160" spans="1:15" x14ac:dyDescent="0.25">
      <c r="A160" s="10" t="str">
        <f>B160&amp;"-"&amp;TEXT(COUNTIF(B$2:B160,B160),"00")</f>
        <v>PRODUCT-00068-003-01</v>
      </c>
      <c r="B160" s="11" t="s">
        <v>1772</v>
      </c>
      <c r="C160" s="10" t="str">
        <f>_xlfn.XLOOKUP(B160,'Product Variant'!$A:$A,'Product Variant'!$B:$B,"NOT FOUND")</f>
        <v>PRODUCT-00068</v>
      </c>
      <c r="D160" s="10" t="str">
        <f>_xlfn.XLOOKUP(B160,'Product Variant'!$A:$A,'Product Variant'!$C:$C,"NOT FOUND")</f>
        <v>[Orbe] Đai chống gù lưng</v>
      </c>
      <c r="E160" s="10" t="str" cm="1">
        <f t="array" ref="E160">_xlfn.TEXTJOIN(" / ",TRUE,_xlfn.XLOOKUP(B160&amp;"|ATTR-27",'Product Variant Attribute'!$A$2:$A$2000&amp;"|"&amp;'Product Variant Attribute'!$D$2:$D$2000,'Product Variant Attribute'!$F$2:$F$2000,""),_xlfn.XLOOKUP(B160&amp;"|ATTR-24",'Product Variant Attribute'!$A$2:$A$2000&amp;"|"&amp;'Product Variant Attribute'!$D$2:$D$2000,'Product Variant Attribute'!$F$2:$F$2000,""))</f>
        <v>M</v>
      </c>
      <c r="F160" s="11" t="s">
        <v>818</v>
      </c>
      <c r="G160" s="11" t="s">
        <v>927</v>
      </c>
      <c r="H160" s="13">
        <f t="shared" si="4"/>
        <v>1</v>
      </c>
      <c r="I160" s="16" t="str">
        <f>_xlfn.XLOOKUP(C160,Product!$A:$A,Product!$G:$G,"NOT FOUND")</f>
        <v>cái</v>
      </c>
      <c r="J160" s="20">
        <v>190000</v>
      </c>
      <c r="K160" s="15" t="s">
        <v>1327</v>
      </c>
      <c r="L160" s="21">
        <v>312</v>
      </c>
      <c r="M160" s="10" t="s">
        <v>946</v>
      </c>
      <c r="N160" s="12">
        <v>141</v>
      </c>
      <c r="O160" t="str">
        <f t="shared" si="5"/>
        <v>INSERT INTO public.medical_supply_sellable_unit (code, price, quantity, sale_uom, product_variant_code) VALUES ('PRODUCT-00068-003-01', 190000, 1, 'Cái', 'PRODUCT-00068-003');</v>
      </c>
    </row>
    <row r="161" spans="1:15" x14ac:dyDescent="0.25">
      <c r="A161" s="10" t="str">
        <f>B161&amp;"-"&amp;TEXT(COUNTIF(B$2:B161,B161),"00")</f>
        <v>PRODUCT-00068-004-01</v>
      </c>
      <c r="B161" s="11" t="s">
        <v>1773</v>
      </c>
      <c r="C161" s="10" t="str">
        <f>_xlfn.XLOOKUP(B161,'Product Variant'!$A:$A,'Product Variant'!$B:$B,"NOT FOUND")</f>
        <v>PRODUCT-00068</v>
      </c>
      <c r="D161" s="10" t="str">
        <f>_xlfn.XLOOKUP(B161,'Product Variant'!$A:$A,'Product Variant'!$C:$C,"NOT FOUND")</f>
        <v>[Orbe] Đai chống gù lưng</v>
      </c>
      <c r="E161" s="10" t="str" cm="1">
        <f t="array" ref="E161">_xlfn.TEXTJOIN(" / ",TRUE,_xlfn.XLOOKUP(B161&amp;"|ATTR-27",'Product Variant Attribute'!$A$2:$A$2000&amp;"|"&amp;'Product Variant Attribute'!$D$2:$D$2000,'Product Variant Attribute'!$F$2:$F$2000,""),_xlfn.XLOOKUP(B161&amp;"|ATTR-24",'Product Variant Attribute'!$A$2:$A$2000&amp;"|"&amp;'Product Variant Attribute'!$D$2:$D$2000,'Product Variant Attribute'!$F$2:$F$2000,""))</f>
        <v>L</v>
      </c>
      <c r="F161" s="11" t="s">
        <v>818</v>
      </c>
      <c r="G161" s="11" t="s">
        <v>927</v>
      </c>
      <c r="H161" s="13">
        <f t="shared" si="4"/>
        <v>1</v>
      </c>
      <c r="I161" s="16" t="str">
        <f>_xlfn.XLOOKUP(C161,Product!$A:$A,Product!$G:$G,"NOT FOUND")</f>
        <v>cái</v>
      </c>
      <c r="J161" s="20">
        <v>190000</v>
      </c>
      <c r="K161" s="15" t="s">
        <v>1327</v>
      </c>
      <c r="L161" s="21">
        <v>313</v>
      </c>
      <c r="M161" s="10" t="s">
        <v>946</v>
      </c>
      <c r="N161" s="12">
        <v>142</v>
      </c>
      <c r="O161" t="str">
        <f t="shared" si="5"/>
        <v>INSERT INTO public.medical_supply_sellable_unit (code, price, quantity, sale_uom, product_variant_code) VALUES ('PRODUCT-00068-004-01', 190000, 1, 'Cái', 'PRODUCT-00068-004');</v>
      </c>
    </row>
    <row r="162" spans="1:15" x14ac:dyDescent="0.25">
      <c r="A162" s="10" t="str">
        <f>B162&amp;"-"&amp;TEXT(COUNTIF(B$2:B162,B162),"00")</f>
        <v>PRODUCT-00068-005-01</v>
      </c>
      <c r="B162" s="11" t="s">
        <v>1774</v>
      </c>
      <c r="C162" s="10" t="str">
        <f>_xlfn.XLOOKUP(B162,'Product Variant'!$A:$A,'Product Variant'!$B:$B,"NOT FOUND")</f>
        <v>PRODUCT-00068</v>
      </c>
      <c r="D162" s="10" t="str">
        <f>_xlfn.XLOOKUP(B162,'Product Variant'!$A:$A,'Product Variant'!$C:$C,"NOT FOUND")</f>
        <v>[Orbe] Đai chống gù lưng</v>
      </c>
      <c r="E162" s="10" t="str" cm="1">
        <f t="array" ref="E162">_xlfn.TEXTJOIN(" / ",TRUE,_xlfn.XLOOKUP(B162&amp;"|ATTR-27",'Product Variant Attribute'!$A$2:$A$2000&amp;"|"&amp;'Product Variant Attribute'!$D$2:$D$2000,'Product Variant Attribute'!$F$2:$F$2000,""),_xlfn.XLOOKUP(B162&amp;"|ATTR-24",'Product Variant Attribute'!$A$2:$A$2000&amp;"|"&amp;'Product Variant Attribute'!$D$2:$D$2000,'Product Variant Attribute'!$F$2:$F$2000,""))</f>
        <v>XL</v>
      </c>
      <c r="F162" s="11" t="s">
        <v>818</v>
      </c>
      <c r="G162" s="11" t="s">
        <v>927</v>
      </c>
      <c r="H162" s="13">
        <f t="shared" si="4"/>
        <v>1</v>
      </c>
      <c r="I162" s="16" t="str">
        <f>_xlfn.XLOOKUP(C162,Product!$A:$A,Product!$G:$G,"NOT FOUND")</f>
        <v>cái</v>
      </c>
      <c r="J162" s="20">
        <v>190000</v>
      </c>
      <c r="K162" s="15" t="s">
        <v>1327</v>
      </c>
      <c r="L162" s="21">
        <v>314</v>
      </c>
      <c r="M162" s="10" t="s">
        <v>946</v>
      </c>
      <c r="N162" s="12">
        <v>143</v>
      </c>
      <c r="O162" t="str">
        <f t="shared" si="5"/>
        <v>INSERT INTO public.medical_supply_sellable_unit (code, price, quantity, sale_uom, product_variant_code) VALUES ('PRODUCT-00068-005-01', 190000, 1, 'Cái', 'PRODUCT-00068-005');</v>
      </c>
    </row>
    <row r="163" spans="1:15" x14ac:dyDescent="0.25">
      <c r="A163" s="10" t="str">
        <f>B163&amp;"-"&amp;TEXT(COUNTIF(B$2:B163,B163),"00")</f>
        <v>PRODUCT-00069-001-01</v>
      </c>
      <c r="B163" s="11" t="s">
        <v>1775</v>
      </c>
      <c r="C163" s="10" t="str">
        <f>_xlfn.XLOOKUP(B163,'Product Variant'!$A:$A,'Product Variant'!$B:$B,"NOT FOUND")</f>
        <v>PRODUCT-00069</v>
      </c>
      <c r="D163" s="10" t="str">
        <f>_xlfn.XLOOKUP(B163,'Product Variant'!$A:$A,'Product Variant'!$C:$C,"NOT FOUND")</f>
        <v>[Orbe] Đai thắt lưng cột sống cao cấp - Olumba</v>
      </c>
      <c r="E163" s="10" t="str" cm="1">
        <f t="array" ref="E163">_xlfn.TEXTJOIN(" / ",TRUE,_xlfn.XLOOKUP(B163&amp;"|ATTR-27",'Product Variant Attribute'!$A$2:$A$2000&amp;"|"&amp;'Product Variant Attribute'!$D$2:$D$2000,'Product Variant Attribute'!$F$2:$F$2000,""),_xlfn.XLOOKUP(B163&amp;"|ATTR-24",'Product Variant Attribute'!$A$2:$A$2000&amp;"|"&amp;'Product Variant Attribute'!$D$2:$D$2000,'Product Variant Attribute'!$F$2:$F$2000,""))</f>
        <v>S</v>
      </c>
      <c r="F163" s="11" t="s">
        <v>818</v>
      </c>
      <c r="G163" s="11" t="s">
        <v>927</v>
      </c>
      <c r="H163" s="13">
        <f t="shared" si="4"/>
        <v>1</v>
      </c>
      <c r="I163" s="16" t="str">
        <f>_xlfn.XLOOKUP(C163,Product!$A:$A,Product!$G:$G,"NOT FOUND")</f>
        <v>cái</v>
      </c>
      <c r="J163" s="20">
        <v>290000</v>
      </c>
      <c r="K163" s="15" t="s">
        <v>1327</v>
      </c>
      <c r="L163" s="21" t="s">
        <v>1361</v>
      </c>
      <c r="M163" s="10" t="s">
        <v>947</v>
      </c>
      <c r="N163" s="12" t="s">
        <v>1196</v>
      </c>
      <c r="O163" t="str">
        <f t="shared" si="5"/>
        <v>INSERT INTO public.medical_supply_sellable_unit (code, price, quantity, sale_uom, product_variant_code) VALUES ('PRODUCT-00069-001-01', 290000, 1, 'Cái', 'PRODUCT-00069-001');</v>
      </c>
    </row>
    <row r="164" spans="1:15" x14ac:dyDescent="0.25">
      <c r="A164" s="10" t="str">
        <f>B164&amp;"-"&amp;TEXT(COUNTIF(B$2:B164,B164),"00")</f>
        <v>PRODUCT-00069-002-01</v>
      </c>
      <c r="B164" s="11" t="s">
        <v>1776</v>
      </c>
      <c r="C164" s="10" t="str">
        <f>_xlfn.XLOOKUP(B164,'Product Variant'!$A:$A,'Product Variant'!$B:$B,"NOT FOUND")</f>
        <v>PRODUCT-00069</v>
      </c>
      <c r="D164" s="10" t="str">
        <f>_xlfn.XLOOKUP(B164,'Product Variant'!$A:$A,'Product Variant'!$C:$C,"NOT FOUND")</f>
        <v>[Orbe] Đai thắt lưng cột sống cao cấp - Olumba</v>
      </c>
      <c r="E164" s="10" t="str" cm="1">
        <f t="array" ref="E164">_xlfn.TEXTJOIN(" / ",TRUE,_xlfn.XLOOKUP(B164&amp;"|ATTR-27",'Product Variant Attribute'!$A$2:$A$2000&amp;"|"&amp;'Product Variant Attribute'!$D$2:$D$2000,'Product Variant Attribute'!$F$2:$F$2000,""),_xlfn.XLOOKUP(B164&amp;"|ATTR-24",'Product Variant Attribute'!$A$2:$A$2000&amp;"|"&amp;'Product Variant Attribute'!$D$2:$D$2000,'Product Variant Attribute'!$F$2:$F$2000,""))</f>
        <v>M</v>
      </c>
      <c r="F164" s="11" t="s">
        <v>818</v>
      </c>
      <c r="G164" s="11" t="s">
        <v>927</v>
      </c>
      <c r="H164" s="13">
        <f t="shared" si="4"/>
        <v>1</v>
      </c>
      <c r="I164" s="16" t="str">
        <f>_xlfn.XLOOKUP(C164,Product!$A:$A,Product!$G:$G,"NOT FOUND")</f>
        <v>cái</v>
      </c>
      <c r="J164" s="20">
        <v>290000</v>
      </c>
      <c r="K164" s="15" t="s">
        <v>1327</v>
      </c>
      <c r="L164" s="21" t="s">
        <v>1362</v>
      </c>
      <c r="M164" s="10" t="s">
        <v>947</v>
      </c>
      <c r="N164" s="12" t="s">
        <v>1197</v>
      </c>
      <c r="O164" t="str">
        <f t="shared" si="5"/>
        <v>INSERT INTO public.medical_supply_sellable_unit (code, price, quantity, sale_uom, product_variant_code) VALUES ('PRODUCT-00069-002-01', 290000, 1, 'Cái', 'PRODUCT-00069-002');</v>
      </c>
    </row>
    <row r="165" spans="1:15" x14ac:dyDescent="0.25">
      <c r="A165" s="10" t="str">
        <f>B165&amp;"-"&amp;TEXT(COUNTIF(B$2:B165,B165),"00")</f>
        <v>PRODUCT-00069-003-01</v>
      </c>
      <c r="B165" s="11" t="s">
        <v>1777</v>
      </c>
      <c r="C165" s="10" t="str">
        <f>_xlfn.XLOOKUP(B165,'Product Variant'!$A:$A,'Product Variant'!$B:$B,"NOT FOUND")</f>
        <v>PRODUCT-00069</v>
      </c>
      <c r="D165" s="10" t="str">
        <f>_xlfn.XLOOKUP(B165,'Product Variant'!$A:$A,'Product Variant'!$C:$C,"NOT FOUND")</f>
        <v>[Orbe] Đai thắt lưng cột sống cao cấp - Olumba</v>
      </c>
      <c r="E165" s="10" t="str" cm="1">
        <f t="array" ref="E165">_xlfn.TEXTJOIN(" / ",TRUE,_xlfn.XLOOKUP(B165&amp;"|ATTR-27",'Product Variant Attribute'!$A$2:$A$2000&amp;"|"&amp;'Product Variant Attribute'!$D$2:$D$2000,'Product Variant Attribute'!$F$2:$F$2000,""),_xlfn.XLOOKUP(B165&amp;"|ATTR-24",'Product Variant Attribute'!$A$2:$A$2000&amp;"|"&amp;'Product Variant Attribute'!$D$2:$D$2000,'Product Variant Attribute'!$F$2:$F$2000,""))</f>
        <v>L</v>
      </c>
      <c r="F165" s="11" t="s">
        <v>818</v>
      </c>
      <c r="G165" s="11" t="s">
        <v>927</v>
      </c>
      <c r="H165" s="13">
        <f t="shared" si="4"/>
        <v>1</v>
      </c>
      <c r="I165" s="16" t="str">
        <f>_xlfn.XLOOKUP(C165,Product!$A:$A,Product!$G:$G,"NOT FOUND")</f>
        <v>cái</v>
      </c>
      <c r="J165" s="20">
        <v>290000</v>
      </c>
      <c r="K165" s="15" t="s">
        <v>1327</v>
      </c>
      <c r="L165" s="21" t="s">
        <v>1363</v>
      </c>
      <c r="M165" s="10" t="s">
        <v>947</v>
      </c>
      <c r="N165" s="12" t="s">
        <v>1198</v>
      </c>
      <c r="O165" t="str">
        <f t="shared" si="5"/>
        <v>INSERT INTO public.medical_supply_sellable_unit (code, price, quantity, sale_uom, product_variant_code) VALUES ('PRODUCT-00069-003-01', 290000, 1, 'Cái', 'PRODUCT-00069-003');</v>
      </c>
    </row>
    <row r="166" spans="1:15" x14ac:dyDescent="0.25">
      <c r="A166" s="10" t="str">
        <f>B166&amp;"-"&amp;TEXT(COUNTIF(B$2:B166,B166),"00")</f>
        <v>PRODUCT-00069-004-01</v>
      </c>
      <c r="B166" s="11" t="s">
        <v>1778</v>
      </c>
      <c r="C166" s="10" t="str">
        <f>_xlfn.XLOOKUP(B166,'Product Variant'!$A:$A,'Product Variant'!$B:$B,"NOT FOUND")</f>
        <v>PRODUCT-00069</v>
      </c>
      <c r="D166" s="10" t="str">
        <f>_xlfn.XLOOKUP(B166,'Product Variant'!$A:$A,'Product Variant'!$C:$C,"NOT FOUND")</f>
        <v>[Orbe] Đai thắt lưng cột sống cao cấp - Olumba</v>
      </c>
      <c r="E166" s="10" t="str" cm="1">
        <f t="array" ref="E166">_xlfn.TEXTJOIN(" / ",TRUE,_xlfn.XLOOKUP(B166&amp;"|ATTR-27",'Product Variant Attribute'!$A$2:$A$2000&amp;"|"&amp;'Product Variant Attribute'!$D$2:$D$2000,'Product Variant Attribute'!$F$2:$F$2000,""),_xlfn.XLOOKUP(B166&amp;"|ATTR-24",'Product Variant Attribute'!$A$2:$A$2000&amp;"|"&amp;'Product Variant Attribute'!$D$2:$D$2000,'Product Variant Attribute'!$F$2:$F$2000,""))</f>
        <v>XL</v>
      </c>
      <c r="F166" s="11" t="s">
        <v>818</v>
      </c>
      <c r="G166" s="11" t="s">
        <v>927</v>
      </c>
      <c r="H166" s="13">
        <f t="shared" si="4"/>
        <v>1</v>
      </c>
      <c r="I166" s="16" t="str">
        <f>_xlfn.XLOOKUP(C166,Product!$A:$A,Product!$G:$G,"NOT FOUND")</f>
        <v>cái</v>
      </c>
      <c r="J166" s="20">
        <v>290000</v>
      </c>
      <c r="K166" s="15" t="s">
        <v>1327</v>
      </c>
      <c r="L166" s="21" t="s">
        <v>1364</v>
      </c>
      <c r="M166" s="10" t="s">
        <v>947</v>
      </c>
      <c r="N166" s="12" t="s">
        <v>1199</v>
      </c>
      <c r="O166" t="str">
        <f t="shared" si="5"/>
        <v>INSERT INTO public.medical_supply_sellable_unit (code, price, quantity, sale_uom, product_variant_code) VALUES ('PRODUCT-00069-004-01', 290000, 1, 'Cái', 'PRODUCT-00069-004');</v>
      </c>
    </row>
    <row r="167" spans="1:15" x14ac:dyDescent="0.25">
      <c r="A167" s="10" t="str">
        <f>B167&amp;"-"&amp;TEXT(COUNTIF(B$2:B167,B167),"00")</f>
        <v>PRODUCT-00069-005-01</v>
      </c>
      <c r="B167" s="11" t="s">
        <v>1779</v>
      </c>
      <c r="C167" s="10" t="str">
        <f>_xlfn.XLOOKUP(B167,'Product Variant'!$A:$A,'Product Variant'!$B:$B,"NOT FOUND")</f>
        <v>PRODUCT-00069</v>
      </c>
      <c r="D167" s="10" t="str">
        <f>_xlfn.XLOOKUP(B167,'Product Variant'!$A:$A,'Product Variant'!$C:$C,"NOT FOUND")</f>
        <v>[Orbe] Đai thắt lưng cột sống cao cấp - Olumba</v>
      </c>
      <c r="E167" s="10" t="str" cm="1">
        <f t="array" ref="E167">_xlfn.TEXTJOIN(" / ",TRUE,_xlfn.XLOOKUP(B167&amp;"|ATTR-27",'Product Variant Attribute'!$A$2:$A$2000&amp;"|"&amp;'Product Variant Attribute'!$D$2:$D$2000,'Product Variant Attribute'!$F$2:$F$2000,""),_xlfn.XLOOKUP(B167&amp;"|ATTR-24",'Product Variant Attribute'!$A$2:$A$2000&amp;"|"&amp;'Product Variant Attribute'!$D$2:$D$2000,'Product Variant Attribute'!$F$2:$F$2000,""))</f>
        <v>XXL</v>
      </c>
      <c r="F167" s="11" t="s">
        <v>818</v>
      </c>
      <c r="G167" s="11" t="s">
        <v>927</v>
      </c>
      <c r="H167" s="13">
        <f t="shared" si="4"/>
        <v>1</v>
      </c>
      <c r="I167" s="16" t="str">
        <f>_xlfn.XLOOKUP(C167,Product!$A:$A,Product!$G:$G,"NOT FOUND")</f>
        <v>cái</v>
      </c>
      <c r="J167" s="20">
        <v>290000</v>
      </c>
      <c r="K167" s="15" t="s">
        <v>1327</v>
      </c>
      <c r="L167" s="21" t="s">
        <v>1365</v>
      </c>
      <c r="M167" s="10" t="s">
        <v>947</v>
      </c>
      <c r="N167" s="12" t="s">
        <v>1200</v>
      </c>
      <c r="O167" t="str">
        <f t="shared" si="5"/>
        <v>INSERT INTO public.medical_supply_sellable_unit (code, price, quantity, sale_uom, product_variant_code) VALUES ('PRODUCT-00069-005-01', 290000, 1, 'Cái', 'PRODUCT-00069-005');</v>
      </c>
    </row>
    <row r="168" spans="1:15" x14ac:dyDescent="0.25">
      <c r="A168" s="10" t="str">
        <f>B168&amp;"-"&amp;TEXT(COUNTIF(B$2:B168,B168),"00")</f>
        <v>PRODUCT-00070-001-01</v>
      </c>
      <c r="B168" s="11" t="s">
        <v>1780</v>
      </c>
      <c r="C168" s="10" t="str">
        <f>_xlfn.XLOOKUP(B168,'Product Variant'!$A:$A,'Product Variant'!$B:$B,"NOT FOUND")</f>
        <v>PRODUCT-00070</v>
      </c>
      <c r="D168" s="10" t="str">
        <f>_xlfn.XLOOKUP(B168,'Product Variant'!$A:$A,'Product Variant'!$C:$C,"NOT FOUND")</f>
        <v>[Timelock] Găng tay robot phục hồi chức năng bàn tay (Bên trái)</v>
      </c>
      <c r="E168" s="10" t="str" cm="1">
        <f t="array" ref="E168">_xlfn.TEXTJOIN(" / ",TRUE,_xlfn.XLOOKUP(B168&amp;"|ATTR-27",'Product Variant Attribute'!$A$2:$A$2000&amp;"|"&amp;'Product Variant Attribute'!$D$2:$D$2000,'Product Variant Attribute'!$F$2:$F$2000,""),_xlfn.XLOOKUP(B168&amp;"|ATTR-24",'Product Variant Attribute'!$A$2:$A$2000&amp;"|"&amp;'Product Variant Attribute'!$D$2:$D$2000,'Product Variant Attribute'!$F$2:$F$2000,""))</f>
        <v>M</v>
      </c>
      <c r="F168" s="11" t="s">
        <v>815</v>
      </c>
      <c r="G168" s="11" t="s">
        <v>826</v>
      </c>
      <c r="H168" s="13">
        <f t="shared" si="4"/>
        <v>1</v>
      </c>
      <c r="I168" s="16" t="str">
        <f>_xlfn.XLOOKUP(C168,Product!$A:$A,Product!$G:$G,"NOT FOUND")</f>
        <v>bộ</v>
      </c>
      <c r="J168" s="20">
        <v>1700000</v>
      </c>
      <c r="K168" s="15" t="s">
        <v>1327</v>
      </c>
      <c r="L168" s="21">
        <v>262</v>
      </c>
      <c r="M168" s="10" t="s">
        <v>948</v>
      </c>
      <c r="N168" s="12">
        <v>256</v>
      </c>
      <c r="O168" t="str">
        <f t="shared" si="5"/>
        <v>INSERT INTO public.medical_supply_sellable_unit (code, price, quantity, sale_uom, product_variant_code) VALUES ('PRODUCT-00070-001-01', 1700000, 1, 'Bộ', 'PRODUCT-00070-001');</v>
      </c>
    </row>
    <row r="169" spans="1:15" x14ac:dyDescent="0.25">
      <c r="A169" s="10" t="str">
        <f>B169&amp;"-"&amp;TEXT(COUNTIF(B$2:B169,B169),"00")</f>
        <v>PRODUCT-00297-001-01</v>
      </c>
      <c r="B169" s="11" t="s">
        <v>1781</v>
      </c>
      <c r="C169" s="10" t="str">
        <f>_xlfn.XLOOKUP(B169,'Product Variant'!$A:$A,'Product Variant'!$B:$B,"NOT FOUND")</f>
        <v>PRODUCT-00297</v>
      </c>
      <c r="D169" s="10" t="str">
        <f>_xlfn.XLOOKUP(B169,'Product Variant'!$A:$A,'Product Variant'!$C:$C,"NOT FOUND")</f>
        <v>[Timelock] Găng tay robot phục hồi chức năng bàn tay (Bên phải)</v>
      </c>
      <c r="E169" s="10" t="str" cm="1">
        <f t="array" ref="E169">_xlfn.TEXTJOIN(" / ",TRUE,_xlfn.XLOOKUP(B169&amp;"|ATTR-27",'Product Variant Attribute'!$A$2:$A$2000&amp;"|"&amp;'Product Variant Attribute'!$D$2:$D$2000,'Product Variant Attribute'!$F$2:$F$2000,""),_xlfn.XLOOKUP(B169&amp;"|ATTR-24",'Product Variant Attribute'!$A$2:$A$2000&amp;"|"&amp;'Product Variant Attribute'!$D$2:$D$2000,'Product Variant Attribute'!$F$2:$F$2000,""))</f>
        <v>M</v>
      </c>
      <c r="F169" s="11" t="s">
        <v>815</v>
      </c>
      <c r="G169" s="11" t="s">
        <v>826</v>
      </c>
      <c r="H169" s="13">
        <f t="shared" si="4"/>
        <v>1</v>
      </c>
      <c r="I169" s="16" t="str">
        <f>_xlfn.XLOOKUP(C169,Product!$A:$A,Product!$G:$G,"NOT FOUND")</f>
        <v>bộ</v>
      </c>
      <c r="J169" s="20">
        <v>1700000</v>
      </c>
      <c r="K169" s="15" t="s">
        <v>1327</v>
      </c>
      <c r="L169" s="21">
        <v>263</v>
      </c>
      <c r="M169" s="10" t="s">
        <v>948</v>
      </c>
      <c r="N169" s="12">
        <v>257</v>
      </c>
      <c r="O169" t="str">
        <f t="shared" si="5"/>
        <v>INSERT INTO public.medical_supply_sellable_unit (code, price, quantity, sale_uom, product_variant_code) VALUES ('PRODUCT-00297-001-01', 1700000, 1, 'Bộ', 'PRODUCT-00297-001');</v>
      </c>
    </row>
    <row r="170" spans="1:15" x14ac:dyDescent="0.25">
      <c r="A170" s="10" t="str">
        <f>B170&amp;"-"&amp;TEXT(COUNTIF(B$2:B170,B170),"00")</f>
        <v>PRODUCT-00070-002-01</v>
      </c>
      <c r="B170" s="11" t="s">
        <v>1782</v>
      </c>
      <c r="C170" s="10" t="str">
        <f>_xlfn.XLOOKUP(B170,'Product Variant'!$A:$A,'Product Variant'!$B:$B,"NOT FOUND")</f>
        <v>PRODUCT-00070</v>
      </c>
      <c r="D170" s="10" t="str">
        <f>_xlfn.XLOOKUP(B170,'Product Variant'!$A:$A,'Product Variant'!$C:$C,"NOT FOUND")</f>
        <v>[Timelock] Găng tay robot phục hồi chức năng bàn tay (Bên trái)</v>
      </c>
      <c r="E170" s="10" t="str" cm="1">
        <f t="array" ref="E170">_xlfn.TEXTJOIN(" / ",TRUE,_xlfn.XLOOKUP(B170&amp;"|ATTR-27",'Product Variant Attribute'!$A$2:$A$2000&amp;"|"&amp;'Product Variant Attribute'!$D$2:$D$2000,'Product Variant Attribute'!$F$2:$F$2000,""),_xlfn.XLOOKUP(B170&amp;"|ATTR-24",'Product Variant Attribute'!$A$2:$A$2000&amp;"|"&amp;'Product Variant Attribute'!$D$2:$D$2000,'Product Variant Attribute'!$F$2:$F$2000,""))</f>
        <v>L</v>
      </c>
      <c r="F170" s="11" t="s">
        <v>815</v>
      </c>
      <c r="G170" s="11" t="s">
        <v>826</v>
      </c>
      <c r="H170" s="13">
        <f t="shared" si="4"/>
        <v>1</v>
      </c>
      <c r="I170" s="16" t="str">
        <f>_xlfn.XLOOKUP(C170,Product!$A:$A,Product!$G:$G,"NOT FOUND")</f>
        <v>bộ</v>
      </c>
      <c r="J170" s="20">
        <v>1700000</v>
      </c>
      <c r="K170" s="15" t="s">
        <v>1327</v>
      </c>
      <c r="L170" s="21">
        <v>264</v>
      </c>
      <c r="M170" s="10" t="s">
        <v>948</v>
      </c>
      <c r="N170" s="12">
        <v>258</v>
      </c>
      <c r="O170" t="str">
        <f t="shared" si="5"/>
        <v>INSERT INTO public.medical_supply_sellable_unit (code, price, quantity, sale_uom, product_variant_code) VALUES ('PRODUCT-00070-002-01', 1700000, 1, 'Bộ', 'PRODUCT-00070-002');</v>
      </c>
    </row>
    <row r="171" spans="1:15" x14ac:dyDescent="0.25">
      <c r="A171" s="10" t="str">
        <f>B171&amp;"-"&amp;TEXT(COUNTIF(B$2:B171,B171),"00")</f>
        <v>PRODUCT-00297-002-01</v>
      </c>
      <c r="B171" s="11" t="s">
        <v>1783</v>
      </c>
      <c r="C171" s="10" t="str">
        <f>_xlfn.XLOOKUP(B171,'Product Variant'!$A:$A,'Product Variant'!$B:$B,"NOT FOUND")</f>
        <v>PRODUCT-00297</v>
      </c>
      <c r="D171" s="10" t="str">
        <f>_xlfn.XLOOKUP(B171,'Product Variant'!$A:$A,'Product Variant'!$C:$C,"NOT FOUND")</f>
        <v>[Timelock] Găng tay robot phục hồi chức năng bàn tay (Bên phải)</v>
      </c>
      <c r="E171" s="10" t="str" cm="1">
        <f t="array" ref="E171">_xlfn.TEXTJOIN(" / ",TRUE,_xlfn.XLOOKUP(B171&amp;"|ATTR-27",'Product Variant Attribute'!$A$2:$A$2000&amp;"|"&amp;'Product Variant Attribute'!$D$2:$D$2000,'Product Variant Attribute'!$F$2:$F$2000,""),_xlfn.XLOOKUP(B171&amp;"|ATTR-24",'Product Variant Attribute'!$A$2:$A$2000&amp;"|"&amp;'Product Variant Attribute'!$D$2:$D$2000,'Product Variant Attribute'!$F$2:$F$2000,""))</f>
        <v>L</v>
      </c>
      <c r="F171" s="11" t="s">
        <v>815</v>
      </c>
      <c r="G171" s="11" t="s">
        <v>826</v>
      </c>
      <c r="H171" s="13">
        <f t="shared" si="4"/>
        <v>1</v>
      </c>
      <c r="I171" s="16" t="str">
        <f>_xlfn.XLOOKUP(C171,Product!$A:$A,Product!$G:$G,"NOT FOUND")</f>
        <v>bộ</v>
      </c>
      <c r="J171" s="20">
        <v>2000000</v>
      </c>
      <c r="K171" s="15" t="s">
        <v>1327</v>
      </c>
      <c r="L171" s="21">
        <v>265</v>
      </c>
      <c r="M171" s="10" t="s">
        <v>948</v>
      </c>
      <c r="N171" s="12">
        <v>259</v>
      </c>
      <c r="O171" t="str">
        <f t="shared" si="5"/>
        <v>INSERT INTO public.medical_supply_sellable_unit (code, price, quantity, sale_uom, product_variant_code) VALUES ('PRODUCT-00297-002-01', 2000000, 1, 'Bộ', 'PRODUCT-00297-002');</v>
      </c>
    </row>
    <row r="172" spans="1:15" x14ac:dyDescent="0.25">
      <c r="A172" s="10" t="str">
        <f>B172&amp;"-"&amp;TEXT(COUNTIF(B$2:B172,B172),"00")</f>
        <v>PRODUCT-00071-001-01</v>
      </c>
      <c r="B172" s="11" t="s">
        <v>1784</v>
      </c>
      <c r="C172" s="10" t="str">
        <f>_xlfn.XLOOKUP(B172,'Product Variant'!$A:$A,'Product Variant'!$B:$B,"NOT FOUND")</f>
        <v>PRODUCT-00071</v>
      </c>
      <c r="D172" s="10" t="str">
        <f>_xlfn.XLOOKUP(B172,'Product Variant'!$A:$A,'Product Variant'!$C:$C,"NOT FOUND")</f>
        <v>[Venosan] Vớ y khoa hỗ trợ điều trị suy giãn tĩnh mạch - Venosan 6000</v>
      </c>
      <c r="E172" s="10" t="str" cm="1">
        <f t="array" ref="E172">_xlfn.TEXTJOIN(" / ",TRUE,_xlfn.XLOOKUP(B172&amp;"|ATTR-27",'Product Variant Attribute'!$A$2:$A$2000&amp;"|"&amp;'Product Variant Attribute'!$D$2:$D$2000,'Product Variant Attribute'!$F$2:$F$2000,""),_xlfn.XLOOKUP(B172&amp;"|ATTR-24",'Product Variant Attribute'!$A$2:$A$2000&amp;"|"&amp;'Product Variant Attribute'!$D$2:$D$2000,'Product Variant Attribute'!$F$2:$F$2000,""))</f>
        <v>XS</v>
      </c>
      <c r="F172" s="11" t="s">
        <v>816</v>
      </c>
      <c r="G172" s="11" t="s">
        <v>929</v>
      </c>
      <c r="H172" s="13">
        <f t="shared" si="4"/>
        <v>1</v>
      </c>
      <c r="I172" s="16" t="str">
        <f>_xlfn.XLOOKUP(C172,Product!$A:$A,Product!$G:$G,"NOT FOUND")</f>
        <v>đôi</v>
      </c>
      <c r="J172" s="22">
        <v>990000</v>
      </c>
      <c r="K172" s="15" t="s">
        <v>1366</v>
      </c>
      <c r="L172" s="21" t="s">
        <v>1367</v>
      </c>
      <c r="M172" s="10" t="s">
        <v>949</v>
      </c>
      <c r="N172" s="12" t="s">
        <v>1201</v>
      </c>
      <c r="O172" t="str">
        <f t="shared" si="5"/>
        <v>INSERT INTO public.medical_supply_sellable_unit (code, price, quantity, sale_uom, product_variant_code) VALUES ('PRODUCT-00071-001-01', 990000, 1, 'Hộp', 'PRODUCT-00071-001');</v>
      </c>
    </row>
    <row r="173" spans="1:15" x14ac:dyDescent="0.25">
      <c r="A173" s="10" t="str">
        <f>B173&amp;"-"&amp;TEXT(COUNTIF(B$2:B173,B173),"00")</f>
        <v>PRODUCT-00071-002-01</v>
      </c>
      <c r="B173" s="11" t="s">
        <v>1785</v>
      </c>
      <c r="C173" s="10" t="str">
        <f>_xlfn.XLOOKUP(B173,'Product Variant'!$A:$A,'Product Variant'!$B:$B,"NOT FOUND")</f>
        <v>PRODUCT-00071</v>
      </c>
      <c r="D173" s="10" t="str">
        <f>_xlfn.XLOOKUP(B173,'Product Variant'!$A:$A,'Product Variant'!$C:$C,"NOT FOUND")</f>
        <v>[Venosan] Vớ y khoa hỗ trợ điều trị suy giãn tĩnh mạch - Venosan 6000</v>
      </c>
      <c r="E173" s="10" t="str" cm="1">
        <f t="array" ref="E173">_xlfn.TEXTJOIN(" / ",TRUE,_xlfn.XLOOKUP(B173&amp;"|ATTR-27",'Product Variant Attribute'!$A$2:$A$2000&amp;"|"&amp;'Product Variant Attribute'!$D$2:$D$2000,'Product Variant Attribute'!$F$2:$F$2000,""),_xlfn.XLOOKUP(B173&amp;"|ATTR-24",'Product Variant Attribute'!$A$2:$A$2000&amp;"|"&amp;'Product Variant Attribute'!$D$2:$D$2000,'Product Variant Attribute'!$F$2:$F$2000,""))</f>
        <v>S</v>
      </c>
      <c r="F173" s="11" t="s">
        <v>816</v>
      </c>
      <c r="G173" s="11" t="s">
        <v>929</v>
      </c>
      <c r="H173" s="13">
        <f t="shared" si="4"/>
        <v>1</v>
      </c>
      <c r="I173" s="16" t="str">
        <f>_xlfn.XLOOKUP(C173,Product!$A:$A,Product!$G:$G,"NOT FOUND")</f>
        <v>đôi</v>
      </c>
      <c r="J173" s="22">
        <v>990000</v>
      </c>
      <c r="K173" s="15" t="s">
        <v>1366</v>
      </c>
      <c r="L173" s="21" t="s">
        <v>1368</v>
      </c>
      <c r="M173" s="10" t="s">
        <v>949</v>
      </c>
      <c r="N173" s="12" t="s">
        <v>1202</v>
      </c>
      <c r="O173" t="str">
        <f t="shared" si="5"/>
        <v>INSERT INTO public.medical_supply_sellable_unit (code, price, quantity, sale_uom, product_variant_code) VALUES ('PRODUCT-00071-002-01', 990000, 1, 'Hộp', 'PRODUCT-00071-002');</v>
      </c>
    </row>
    <row r="174" spans="1:15" x14ac:dyDescent="0.25">
      <c r="A174" s="10" t="str">
        <f>B174&amp;"-"&amp;TEXT(COUNTIF(B$2:B174,B174),"00")</f>
        <v>PRODUCT-00071-003-01</v>
      </c>
      <c r="B174" s="11" t="s">
        <v>1786</v>
      </c>
      <c r="C174" s="10" t="str">
        <f>_xlfn.XLOOKUP(B174,'Product Variant'!$A:$A,'Product Variant'!$B:$B,"NOT FOUND")</f>
        <v>PRODUCT-00071</v>
      </c>
      <c r="D174" s="10" t="str">
        <f>_xlfn.XLOOKUP(B174,'Product Variant'!$A:$A,'Product Variant'!$C:$C,"NOT FOUND")</f>
        <v>[Venosan] Vớ y khoa hỗ trợ điều trị suy giãn tĩnh mạch - Venosan 6000</v>
      </c>
      <c r="E174" s="10" t="str" cm="1">
        <f t="array" ref="E174">_xlfn.TEXTJOIN(" / ",TRUE,_xlfn.XLOOKUP(B174&amp;"|ATTR-27",'Product Variant Attribute'!$A$2:$A$2000&amp;"|"&amp;'Product Variant Attribute'!$D$2:$D$2000,'Product Variant Attribute'!$F$2:$F$2000,""),_xlfn.XLOOKUP(B174&amp;"|ATTR-24",'Product Variant Attribute'!$A$2:$A$2000&amp;"|"&amp;'Product Variant Attribute'!$D$2:$D$2000,'Product Variant Attribute'!$F$2:$F$2000,""))</f>
        <v>M</v>
      </c>
      <c r="F174" s="11" t="s">
        <v>816</v>
      </c>
      <c r="G174" s="11" t="s">
        <v>929</v>
      </c>
      <c r="H174" s="13">
        <f t="shared" si="4"/>
        <v>1</v>
      </c>
      <c r="I174" s="16" t="str">
        <f>_xlfn.XLOOKUP(C174,Product!$A:$A,Product!$G:$G,"NOT FOUND")</f>
        <v>đôi</v>
      </c>
      <c r="J174" s="22">
        <v>990000</v>
      </c>
      <c r="K174" s="15" t="s">
        <v>1366</v>
      </c>
      <c r="L174" s="21" t="s">
        <v>1369</v>
      </c>
      <c r="M174" s="10" t="s">
        <v>949</v>
      </c>
      <c r="N174" s="12" t="s">
        <v>1203</v>
      </c>
      <c r="O174" t="str">
        <f t="shared" si="5"/>
        <v>INSERT INTO public.medical_supply_sellable_unit (code, price, quantity, sale_uom, product_variant_code) VALUES ('PRODUCT-00071-003-01', 990000, 1, 'Hộp', 'PRODUCT-00071-003');</v>
      </c>
    </row>
    <row r="175" spans="1:15" x14ac:dyDescent="0.25">
      <c r="A175" s="10" t="str">
        <f>B175&amp;"-"&amp;TEXT(COUNTIF(B$2:B175,B175),"00")</f>
        <v>PRODUCT-00071-004-01</v>
      </c>
      <c r="B175" s="11" t="s">
        <v>1787</v>
      </c>
      <c r="C175" s="10" t="str">
        <f>_xlfn.XLOOKUP(B175,'Product Variant'!$A:$A,'Product Variant'!$B:$B,"NOT FOUND")</f>
        <v>PRODUCT-00071</v>
      </c>
      <c r="D175" s="10" t="str">
        <f>_xlfn.XLOOKUP(B175,'Product Variant'!$A:$A,'Product Variant'!$C:$C,"NOT FOUND")</f>
        <v>[Venosan] Vớ y khoa hỗ trợ điều trị suy giãn tĩnh mạch - Venosan 6000</v>
      </c>
      <c r="E175" s="10" t="str" cm="1">
        <f t="array" ref="E175">_xlfn.TEXTJOIN(" / ",TRUE,_xlfn.XLOOKUP(B175&amp;"|ATTR-27",'Product Variant Attribute'!$A$2:$A$2000&amp;"|"&amp;'Product Variant Attribute'!$D$2:$D$2000,'Product Variant Attribute'!$F$2:$F$2000,""),_xlfn.XLOOKUP(B175&amp;"|ATTR-24",'Product Variant Attribute'!$A$2:$A$2000&amp;"|"&amp;'Product Variant Attribute'!$D$2:$D$2000,'Product Variant Attribute'!$F$2:$F$2000,""))</f>
        <v>L</v>
      </c>
      <c r="F175" s="11" t="s">
        <v>816</v>
      </c>
      <c r="G175" s="11" t="s">
        <v>929</v>
      </c>
      <c r="H175" s="13">
        <f t="shared" si="4"/>
        <v>1</v>
      </c>
      <c r="I175" s="16" t="str">
        <f>_xlfn.XLOOKUP(C175,Product!$A:$A,Product!$G:$G,"NOT FOUND")</f>
        <v>đôi</v>
      </c>
      <c r="J175" s="22">
        <v>990000</v>
      </c>
      <c r="K175" s="15" t="s">
        <v>1366</v>
      </c>
      <c r="L175" s="21" t="s">
        <v>1370</v>
      </c>
      <c r="M175" s="10" t="s">
        <v>949</v>
      </c>
      <c r="N175" s="12" t="s">
        <v>1204</v>
      </c>
      <c r="O175" t="str">
        <f t="shared" si="5"/>
        <v>INSERT INTO public.medical_supply_sellable_unit (code, price, quantity, sale_uom, product_variant_code) VALUES ('PRODUCT-00071-004-01', 990000, 1, 'Hộp', 'PRODUCT-00071-004');</v>
      </c>
    </row>
    <row r="176" spans="1:15" x14ac:dyDescent="0.25">
      <c r="A176" s="10" t="str">
        <f>B176&amp;"-"&amp;TEXT(COUNTIF(B$2:B176,B176),"00")</f>
        <v>PRODUCT-00071-005-01</v>
      </c>
      <c r="B176" s="11" t="s">
        <v>1788</v>
      </c>
      <c r="C176" s="10" t="str">
        <f>_xlfn.XLOOKUP(B176,'Product Variant'!$A:$A,'Product Variant'!$B:$B,"NOT FOUND")</f>
        <v>PRODUCT-00071</v>
      </c>
      <c r="D176" s="10" t="str">
        <f>_xlfn.XLOOKUP(B176,'Product Variant'!$A:$A,'Product Variant'!$C:$C,"NOT FOUND")</f>
        <v>[Venosan] Vớ y khoa hỗ trợ điều trị suy giãn tĩnh mạch - Venosan 6000</v>
      </c>
      <c r="E176" s="10" t="str" cm="1">
        <f t="array" ref="E176">_xlfn.TEXTJOIN(" / ",TRUE,_xlfn.XLOOKUP(B176&amp;"|ATTR-27",'Product Variant Attribute'!$A$2:$A$2000&amp;"|"&amp;'Product Variant Attribute'!$D$2:$D$2000,'Product Variant Attribute'!$F$2:$F$2000,""),_xlfn.XLOOKUP(B176&amp;"|ATTR-24",'Product Variant Attribute'!$A$2:$A$2000&amp;"|"&amp;'Product Variant Attribute'!$D$2:$D$2000,'Product Variant Attribute'!$F$2:$F$2000,""))</f>
        <v>XL</v>
      </c>
      <c r="F176" s="11" t="s">
        <v>816</v>
      </c>
      <c r="G176" s="11" t="s">
        <v>929</v>
      </c>
      <c r="H176" s="13">
        <f t="shared" ref="H176:H239" si="6">IFERROR(--LEFT(G176,FIND(" ",G176&amp;" ")-1),"")</f>
        <v>1</v>
      </c>
      <c r="I176" s="16" t="str">
        <f>_xlfn.XLOOKUP(C176,Product!$A:$A,Product!$G:$G,"NOT FOUND")</f>
        <v>đôi</v>
      </c>
      <c r="J176" s="22">
        <v>990000</v>
      </c>
      <c r="K176" s="15" t="s">
        <v>1366</v>
      </c>
      <c r="L176" s="21" t="s">
        <v>1371</v>
      </c>
      <c r="M176" s="10" t="s">
        <v>949</v>
      </c>
      <c r="N176" s="12" t="s">
        <v>1205</v>
      </c>
      <c r="O176" t="str">
        <f t="shared" si="5"/>
        <v>INSERT INTO public.medical_supply_sellable_unit (code, price, quantity, sale_uom, product_variant_code) VALUES ('PRODUCT-00071-005-01', 990000, 1, 'Hộp', 'PRODUCT-00071-005');</v>
      </c>
    </row>
    <row r="177" spans="1:15" x14ac:dyDescent="0.25">
      <c r="A177" s="10" t="str">
        <f>B177&amp;"-"&amp;TEXT(COUNTIF(B$2:B177,B177),"00")</f>
        <v>PRODUCT-00298-001-01</v>
      </c>
      <c r="B177" s="11" t="s">
        <v>1789</v>
      </c>
      <c r="C177" s="10" t="str">
        <f>_xlfn.XLOOKUP(B177,'Product Variant'!$A:$A,'Product Variant'!$B:$B,"NOT FOUND")</f>
        <v>PRODUCT-00298</v>
      </c>
      <c r="D177" s="10" t="str">
        <f>_xlfn.XLOOKUP(B177,'Product Variant'!$A:$A,'Product Variant'!$C:$C,"NOT FOUND")</f>
        <v>[Venosan] Vớ y khoa hỗ trợ điều trị suy giãn tĩnh mạch - Venosan 6000 (Vớ gối)</v>
      </c>
      <c r="E177" s="10" t="str" cm="1">
        <f t="array" ref="E177">_xlfn.TEXTJOIN(" / ",TRUE,_xlfn.XLOOKUP(B177&amp;"|ATTR-27",'Product Variant Attribute'!$A$2:$A$2000&amp;"|"&amp;'Product Variant Attribute'!$D$2:$D$2000,'Product Variant Attribute'!$F$2:$F$2000,""),_xlfn.XLOOKUP(B177&amp;"|ATTR-24",'Product Variant Attribute'!$A$2:$A$2000&amp;"|"&amp;'Product Variant Attribute'!$D$2:$D$2000,'Product Variant Attribute'!$F$2:$F$2000,""))</f>
        <v/>
      </c>
      <c r="F177" s="11" t="s">
        <v>816</v>
      </c>
      <c r="G177" s="11" t="s">
        <v>929</v>
      </c>
      <c r="H177" s="13">
        <f t="shared" si="6"/>
        <v>1</v>
      </c>
      <c r="I177" s="16" t="str">
        <f>_xlfn.XLOOKUP(C177,Product!$A:$A,Product!$G:$G,"NOT FOUND")</f>
        <v>đôi</v>
      </c>
      <c r="J177" s="20">
        <v>660000</v>
      </c>
      <c r="K177" s="15" t="s">
        <v>1327</v>
      </c>
      <c r="L177" s="21">
        <v>505</v>
      </c>
      <c r="M177" s="10" t="s">
        <v>950</v>
      </c>
      <c r="N177" s="12">
        <v>540</v>
      </c>
      <c r="O177" t="str">
        <f t="shared" si="5"/>
        <v>INSERT INTO public.medical_supply_sellable_unit (code, price, quantity, sale_uom, product_variant_code) VALUES ('PRODUCT-00298-001-01', 660000, 1, 'Hộp', 'PRODUCT-00298-001');</v>
      </c>
    </row>
    <row r="178" spans="1:15" x14ac:dyDescent="0.25">
      <c r="A178" s="10" t="str">
        <f>B178&amp;"-"&amp;TEXT(COUNTIF(B$2:B178,B178),"00")</f>
        <v>PRODUCT-00299-001-01</v>
      </c>
      <c r="B178" s="11" t="s">
        <v>1790</v>
      </c>
      <c r="C178" s="10" t="str">
        <f>_xlfn.XLOOKUP(B178,'Product Variant'!$A:$A,'Product Variant'!$B:$B,"NOT FOUND")</f>
        <v>PRODUCT-00299</v>
      </c>
      <c r="D178" s="10" t="str">
        <f>_xlfn.XLOOKUP(B178,'Product Variant'!$A:$A,'Product Variant'!$C:$C,"NOT FOUND")</f>
        <v>[Venosan] Vớ y khoa hỗ trợ điều trị suy giãn tĩnh mạch - Venosan 6000 (Vớ đùi)</v>
      </c>
      <c r="E178" s="10" t="str" cm="1">
        <f t="array" ref="E178">_xlfn.TEXTJOIN(" / ",TRUE,_xlfn.XLOOKUP(B178&amp;"|ATTR-27",'Product Variant Attribute'!$A$2:$A$2000&amp;"|"&amp;'Product Variant Attribute'!$D$2:$D$2000,'Product Variant Attribute'!$F$2:$F$2000,""),_xlfn.XLOOKUP(B178&amp;"|ATTR-24",'Product Variant Attribute'!$A$2:$A$2000&amp;"|"&amp;'Product Variant Attribute'!$D$2:$D$2000,'Product Variant Attribute'!$F$2:$F$2000,""))</f>
        <v/>
      </c>
      <c r="F178" s="11" t="s">
        <v>816</v>
      </c>
      <c r="G178" s="11" t="s">
        <v>929</v>
      </c>
      <c r="H178" s="13">
        <f t="shared" si="6"/>
        <v>1</v>
      </c>
      <c r="I178" s="16" t="str">
        <f>_xlfn.XLOOKUP(C178,Product!$A:$A,Product!$G:$G,"NOT FOUND")</f>
        <v>đôi</v>
      </c>
      <c r="J178" s="20">
        <v>990000</v>
      </c>
      <c r="K178" s="15" t="s">
        <v>1327</v>
      </c>
      <c r="L178" s="21">
        <v>506</v>
      </c>
      <c r="M178" s="10" t="s">
        <v>950</v>
      </c>
      <c r="N178" s="12">
        <v>541</v>
      </c>
      <c r="O178" t="str">
        <f t="shared" si="5"/>
        <v>INSERT INTO public.medical_supply_sellable_unit (code, price, quantity, sale_uom, product_variant_code) VALUES ('PRODUCT-00299-001-01', 990000, 1, 'Hộp', 'PRODUCT-00299-001');</v>
      </c>
    </row>
    <row r="179" spans="1:15" x14ac:dyDescent="0.25">
      <c r="A179" s="10" t="str">
        <f>B179&amp;"-"&amp;TEXT(COUNTIF(B$2:B179,B179),"00")</f>
        <v>PRODUCT-00072-001-01</v>
      </c>
      <c r="B179" s="11" t="s">
        <v>1791</v>
      </c>
      <c r="C179" s="10" t="str">
        <f>_xlfn.XLOOKUP(B179,'Product Variant'!$A:$A,'Product Variant'!$B:$B,"NOT FOUND")</f>
        <v>PRODUCT-00072</v>
      </c>
      <c r="D179" s="10" t="str">
        <f>_xlfn.XLOOKUP(B179,'Product Variant'!$A:$A,'Product Variant'!$C:$C,"NOT FOUND")</f>
        <v>[ConvaTec] Bột hút ẩm chống loét hậu môn nhân tạo (28.3g)</v>
      </c>
      <c r="E179" s="10" t="str" cm="1">
        <f t="array" ref="E179">_xlfn.TEXTJOIN(" / ",TRUE,_xlfn.XLOOKUP(B179&amp;"|ATTR-27",'Product Variant Attribute'!$A$2:$A$2000&amp;"|"&amp;'Product Variant Attribute'!$D$2:$D$2000,'Product Variant Attribute'!$F$2:$F$2000,""),_xlfn.XLOOKUP(B179&amp;"|ATTR-24",'Product Variant Attribute'!$A$2:$A$2000&amp;"|"&amp;'Product Variant Attribute'!$D$2:$D$2000,'Product Variant Attribute'!$F$2:$F$2000,""))</f>
        <v/>
      </c>
      <c r="F179" s="11" t="s">
        <v>816</v>
      </c>
      <c r="G179" s="11" t="s">
        <v>951</v>
      </c>
      <c r="H179" s="13">
        <v>1</v>
      </c>
      <c r="I179" s="16" t="str">
        <f>_xlfn.XLOOKUP(C179,Product!$A:$A,Product!$G:$G,"NOT FOUND")</f>
        <v>lọ</v>
      </c>
      <c r="J179" s="20">
        <v>240000</v>
      </c>
      <c r="K179" s="15" t="s">
        <v>1323</v>
      </c>
      <c r="L179" s="21">
        <v>371</v>
      </c>
      <c r="M179" s="10" t="s">
        <v>952</v>
      </c>
      <c r="N179" s="12">
        <v>127</v>
      </c>
      <c r="O179" t="str">
        <f t="shared" si="5"/>
        <v>INSERT INTO public.medical_supply_sellable_unit (code, price, quantity, sale_uom, product_variant_code) VALUES ('PRODUCT-00072-001-01', 240000, 1, 'Hộp', 'PRODUCT-00072-001');</v>
      </c>
    </row>
    <row r="180" spans="1:15" x14ac:dyDescent="0.25">
      <c r="A180" s="10" t="str">
        <f>B180&amp;"-"&amp;TEXT(COUNTIF(B$2:B180,B180),"00")</f>
        <v>PRODUCT-00073-001-01</v>
      </c>
      <c r="B180" s="11" t="s">
        <v>1792</v>
      </c>
      <c r="C180" s="10" t="str">
        <f>_xlfn.XLOOKUP(B180,'Product Variant'!$A:$A,'Product Variant'!$B:$B,"NOT FOUND")</f>
        <v>PRODUCT-00073</v>
      </c>
      <c r="D180" s="10" t="str">
        <f>_xlfn.XLOOKUP(B180,'Product Variant'!$A:$A,'Product Variant'!$C:$C,"NOT FOUND")</f>
        <v>[ConvaTec] Keo làm đầy chống rò rỉ hậu môn nhân tạo (56.7g)</v>
      </c>
      <c r="E180" s="10" t="str" cm="1">
        <f t="array" ref="E180">_xlfn.TEXTJOIN(" / ",TRUE,_xlfn.XLOOKUP(B180&amp;"|ATTR-27",'Product Variant Attribute'!$A$2:$A$2000&amp;"|"&amp;'Product Variant Attribute'!$D$2:$D$2000,'Product Variant Attribute'!$F$2:$F$2000,""),_xlfn.XLOOKUP(B180&amp;"|ATTR-24",'Product Variant Attribute'!$A$2:$A$2000&amp;"|"&amp;'Product Variant Attribute'!$D$2:$D$2000,'Product Variant Attribute'!$F$2:$F$2000,""))</f>
        <v/>
      </c>
      <c r="F180" s="11" t="s">
        <v>816</v>
      </c>
      <c r="G180" s="11" t="s">
        <v>953</v>
      </c>
      <c r="H180" s="13">
        <f t="shared" si="6"/>
        <v>1</v>
      </c>
      <c r="I180" s="16" t="str">
        <f>_xlfn.XLOOKUP(C180,Product!$A:$A,Product!$G:$G,"NOT FOUND")</f>
        <v>tuýp</v>
      </c>
      <c r="J180" s="20">
        <v>245000</v>
      </c>
      <c r="K180" s="15" t="s">
        <v>1323</v>
      </c>
      <c r="L180" s="21">
        <v>370</v>
      </c>
      <c r="M180" s="10" t="s">
        <v>954</v>
      </c>
      <c r="N180" s="12">
        <v>276</v>
      </c>
      <c r="O180" t="str">
        <f t="shared" si="5"/>
        <v>INSERT INTO public.medical_supply_sellable_unit (code, price, quantity, sale_uom, product_variant_code) VALUES ('PRODUCT-00073-001-01', 245000, 1, 'Hộp', 'PRODUCT-00073-001');</v>
      </c>
    </row>
    <row r="181" spans="1:15" x14ac:dyDescent="0.25">
      <c r="A181" s="10" t="str">
        <f>B181&amp;"-"&amp;TEXT(COUNTIF(B$2:B181,B181),"00")</f>
        <v>PRODUCT-00074-001-01</v>
      </c>
      <c r="B181" s="11" t="s">
        <v>1793</v>
      </c>
      <c r="C181" s="10" t="str">
        <f>_xlfn.XLOOKUP(B181,'Product Variant'!$A:$A,'Product Variant'!$B:$B,"NOT FOUND")</f>
        <v>PRODUCT-00074</v>
      </c>
      <c r="D181" s="10" t="str">
        <f>_xlfn.XLOOKUP(B181,'Product Variant'!$A:$A,'Product Variant'!$C:$C,"NOT FOUND")</f>
        <v>[ConvaTec] Túi hậu môn nhân tạo 1 mảnh loại đục</v>
      </c>
      <c r="E181" s="10" t="str" cm="1">
        <f t="array" ref="E181">_xlfn.TEXTJOIN(" / ",TRUE,_xlfn.XLOOKUP(B181&amp;"|ATTR-27",'Product Variant Attribute'!$A$2:$A$2000&amp;"|"&amp;'Product Variant Attribute'!$D$2:$D$2000,'Product Variant Attribute'!$F$2:$F$2000,""),_xlfn.XLOOKUP(B181&amp;"|ATTR-24",'Product Variant Attribute'!$A$2:$A$2000&amp;"|"&amp;'Product Variant Attribute'!$D$2:$D$2000,'Product Variant Attribute'!$F$2:$F$2000,""))</f>
        <v/>
      </c>
      <c r="F181" s="11" t="s">
        <v>816</v>
      </c>
      <c r="G181" s="11" t="s">
        <v>955</v>
      </c>
      <c r="H181" s="13">
        <f t="shared" si="6"/>
        <v>30</v>
      </c>
      <c r="I181" s="16" t="str">
        <f>_xlfn.XLOOKUP(C181,Product!$A:$A,Product!$G:$G,"NOT FOUND")</f>
        <v>túi</v>
      </c>
      <c r="J181" s="22">
        <v>53000</v>
      </c>
      <c r="K181" s="15" t="s">
        <v>1372</v>
      </c>
      <c r="L181" s="21" t="s">
        <v>1373</v>
      </c>
      <c r="M181" s="10" t="s">
        <v>956</v>
      </c>
      <c r="N181" s="12" t="s">
        <v>1272</v>
      </c>
      <c r="O181" t="str">
        <f t="shared" si="5"/>
        <v>INSERT INTO public.medical_supply_sellable_unit (code, price, quantity, sale_uom, product_variant_code) VALUES ('PRODUCT-00074-001-01', 53000, 30, 'Hộp', 'PRODUCT-00074-001');</v>
      </c>
    </row>
    <row r="182" spans="1:15" x14ac:dyDescent="0.25">
      <c r="A182" s="10" t="str">
        <f>B182&amp;"-"&amp;TEXT(COUNTIF(B$2:B182,B182),"00")</f>
        <v>PRODUCT-00074-001-02</v>
      </c>
      <c r="B182" s="11" t="s">
        <v>1793</v>
      </c>
      <c r="C182" s="10" t="str">
        <f>_xlfn.XLOOKUP(B182,'Product Variant'!$A:$A,'Product Variant'!$B:$B,"NOT FOUND")</f>
        <v>PRODUCT-00074</v>
      </c>
      <c r="D182" s="10" t="str">
        <f>_xlfn.XLOOKUP(B182,'Product Variant'!$A:$A,'Product Variant'!$C:$C,"NOT FOUND")</f>
        <v>[ConvaTec] Túi hậu môn nhân tạo 1 mảnh loại đục</v>
      </c>
      <c r="E182" s="10" t="str" cm="1">
        <f t="array" ref="E182">_xlfn.TEXTJOIN(" / ",TRUE,_xlfn.XLOOKUP(B182&amp;"|ATTR-27",'Product Variant Attribute'!$A$2:$A$2000&amp;"|"&amp;'Product Variant Attribute'!$D$2:$D$2000,'Product Variant Attribute'!$F$2:$F$2000,""),_xlfn.XLOOKUP(B182&amp;"|ATTR-24",'Product Variant Attribute'!$A$2:$A$2000&amp;"|"&amp;'Product Variant Attribute'!$D$2:$D$2000,'Product Variant Attribute'!$F$2:$F$2000,""))</f>
        <v/>
      </c>
      <c r="F182" s="11" t="s">
        <v>816</v>
      </c>
      <c r="G182" s="11" t="s">
        <v>957</v>
      </c>
      <c r="H182" s="13">
        <f t="shared" si="6"/>
        <v>20</v>
      </c>
      <c r="I182" s="16" t="str">
        <f>_xlfn.XLOOKUP(C182,Product!$A:$A,Product!$G:$G,"NOT FOUND")</f>
        <v>túi</v>
      </c>
      <c r="J182" s="20">
        <v>45000</v>
      </c>
      <c r="K182" s="15" t="s">
        <v>1323</v>
      </c>
      <c r="L182" s="21">
        <v>27</v>
      </c>
      <c r="M182" s="10" t="s">
        <v>111</v>
      </c>
      <c r="N182" s="12">
        <v>486</v>
      </c>
      <c r="O182" t="str">
        <f t="shared" si="5"/>
        <v>INSERT INTO public.medical_supply_sellable_unit (code, price, quantity, sale_uom, product_variant_code) VALUES ('PRODUCT-00074-001-02', 45000, 20, 'Hộp', 'PRODUCT-00074-001');</v>
      </c>
    </row>
    <row r="183" spans="1:15" x14ac:dyDescent="0.25">
      <c r="A183" s="10" t="str">
        <f>B183&amp;"-"&amp;TEXT(COUNTIF(B$2:B183,B183),"00")</f>
        <v>PRODUCT-00075-001-01</v>
      </c>
      <c r="B183" s="11" t="s">
        <v>1794</v>
      </c>
      <c r="C183" s="10" t="str">
        <f>_xlfn.XLOOKUP(B183,'Product Variant'!$A:$A,'Product Variant'!$B:$B,"NOT FOUND")</f>
        <v>PRODUCT-00075</v>
      </c>
      <c r="D183" s="10" t="str">
        <f>_xlfn.XLOOKUP(B183,'Product Variant'!$A:$A,'Product Variant'!$C:$C,"NOT FOUND")</f>
        <v>[ConvaTec] Túi hậu môn nhân tạo 1 mảnh trong suốt</v>
      </c>
      <c r="E183" s="10" t="str" cm="1">
        <f t="array" ref="E183">_xlfn.TEXTJOIN(" / ",TRUE,_xlfn.XLOOKUP(B183&amp;"|ATTR-27",'Product Variant Attribute'!$A$2:$A$2000&amp;"|"&amp;'Product Variant Attribute'!$D$2:$D$2000,'Product Variant Attribute'!$F$2:$F$2000,""),_xlfn.XLOOKUP(B183&amp;"|ATTR-24",'Product Variant Attribute'!$A$2:$A$2000&amp;"|"&amp;'Product Variant Attribute'!$D$2:$D$2000,'Product Variant Attribute'!$F$2:$F$2000,""))</f>
        <v/>
      </c>
      <c r="F183" s="11" t="s">
        <v>816</v>
      </c>
      <c r="G183" s="11" t="s">
        <v>955</v>
      </c>
      <c r="H183" s="13">
        <f t="shared" si="6"/>
        <v>30</v>
      </c>
      <c r="I183" s="16" t="str">
        <f>_xlfn.XLOOKUP(C183,Product!$A:$A,Product!$G:$G,"NOT FOUND")</f>
        <v>túi</v>
      </c>
      <c r="J183" s="22">
        <v>53000</v>
      </c>
      <c r="K183" s="15" t="s">
        <v>1372</v>
      </c>
      <c r="L183" s="21" t="s">
        <v>1374</v>
      </c>
      <c r="M183" s="10" t="s">
        <v>958</v>
      </c>
      <c r="N183" s="12" t="s">
        <v>1206</v>
      </c>
      <c r="O183" t="str">
        <f t="shared" si="5"/>
        <v>INSERT INTO public.medical_supply_sellable_unit (code, price, quantity, sale_uom, product_variant_code) VALUES ('PRODUCT-00075-001-01', 53000, 30, 'Hộp', 'PRODUCT-00075-001');</v>
      </c>
    </row>
    <row r="184" spans="1:15" x14ac:dyDescent="0.25">
      <c r="A184" s="10" t="str">
        <f>B184&amp;"-"&amp;TEXT(COUNTIF(B$2:B184,B184),"00")</f>
        <v>PRODUCT-00076-001-01</v>
      </c>
      <c r="B184" s="11" t="s">
        <v>1795</v>
      </c>
      <c r="C184" s="10" t="str">
        <f>_xlfn.XLOOKUP(B184,'Product Variant'!$A:$A,'Product Variant'!$B:$B,"NOT FOUND")</f>
        <v>PRODUCT-00076</v>
      </c>
      <c r="D184" s="10" t="str">
        <f>_xlfn.XLOOKUP(B184,'Product Variant'!$A:$A,'Product Variant'!$C:$C,"NOT FOUND")</f>
        <v>[ConvaTec] Túi hậu môn nhân tạo 1 mảnh trong suốt - ActiveLife 22771</v>
      </c>
      <c r="E184" s="10" t="str" cm="1">
        <f t="array" ref="E184">_xlfn.TEXTJOIN(" / ",TRUE,_xlfn.XLOOKUP(B184&amp;"|ATTR-27",'Product Variant Attribute'!$A$2:$A$2000&amp;"|"&amp;'Product Variant Attribute'!$D$2:$D$2000,'Product Variant Attribute'!$F$2:$F$2000,""),_xlfn.XLOOKUP(B184&amp;"|ATTR-24",'Product Variant Attribute'!$A$2:$A$2000&amp;"|"&amp;'Product Variant Attribute'!$D$2:$D$2000,'Product Variant Attribute'!$F$2:$F$2000,""))</f>
        <v/>
      </c>
      <c r="F184" s="11" t="s">
        <v>816</v>
      </c>
      <c r="G184" s="11" t="s">
        <v>959</v>
      </c>
      <c r="H184" s="13">
        <f t="shared" si="6"/>
        <v>10</v>
      </c>
      <c r="I184" s="16" t="str">
        <f>_xlfn.XLOOKUP(C184,Product!$A:$A,Product!$G:$G,"NOT FOUND")</f>
        <v>túi</v>
      </c>
      <c r="J184" s="22">
        <v>93000</v>
      </c>
      <c r="K184" s="15" t="s">
        <v>1375</v>
      </c>
      <c r="L184" s="21" t="s">
        <v>1376</v>
      </c>
      <c r="M184" s="10" t="s">
        <v>960</v>
      </c>
      <c r="N184" s="12" t="s">
        <v>1207</v>
      </c>
      <c r="O184" t="str">
        <f t="shared" si="5"/>
        <v>INSERT INTO public.medical_supply_sellable_unit (code, price, quantity, sale_uom, product_variant_code) VALUES ('PRODUCT-00076-001-01', 93000, 10, 'Hộp', 'PRODUCT-00076-001');</v>
      </c>
    </row>
    <row r="185" spans="1:15" x14ac:dyDescent="0.25">
      <c r="A185" s="10" t="str">
        <f>B185&amp;"-"&amp;TEXT(COUNTIF(B$2:B185,B185),"00")</f>
        <v>PRODUCT-00077-001-01</v>
      </c>
      <c r="B185" s="11" t="s">
        <v>1796</v>
      </c>
      <c r="C185" s="10" t="str">
        <f>_xlfn.XLOOKUP(B185,'Product Variant'!$A:$A,'Product Variant'!$B:$B,"NOT FOUND")</f>
        <v>PRODUCT-00077</v>
      </c>
      <c r="D185" s="10" t="str">
        <f>_xlfn.XLOOKUP(B185,'Product Variant'!$A:$A,'Product Variant'!$C:$C,"NOT FOUND")</f>
        <v>[Hollister] Túi hậu môn nhân tạo 1 mảnh - 8631</v>
      </c>
      <c r="E185" s="10" t="str" cm="1">
        <f t="array" ref="E185">_xlfn.TEXTJOIN(" / ",TRUE,_xlfn.XLOOKUP(B185&amp;"|ATTR-27",'Product Variant Attribute'!$A$2:$A$2000&amp;"|"&amp;'Product Variant Attribute'!$D$2:$D$2000,'Product Variant Attribute'!$F$2:$F$2000,""),_xlfn.XLOOKUP(B185&amp;"|ATTR-24",'Product Variant Attribute'!$A$2:$A$2000&amp;"|"&amp;'Product Variant Attribute'!$D$2:$D$2000,'Product Variant Attribute'!$F$2:$F$2000,""))</f>
        <v/>
      </c>
      <c r="F185" s="11" t="s">
        <v>816</v>
      </c>
      <c r="G185" s="11" t="s">
        <v>959</v>
      </c>
      <c r="H185" s="13">
        <f t="shared" si="6"/>
        <v>10</v>
      </c>
      <c r="I185" s="16" t="str">
        <f>_xlfn.XLOOKUP(C185,Product!$A:$A,Product!$G:$G,"NOT FOUND")</f>
        <v>túi</v>
      </c>
      <c r="J185" s="20">
        <v>80000</v>
      </c>
      <c r="K185" s="15" t="s">
        <v>1327</v>
      </c>
      <c r="L185" s="21">
        <v>512</v>
      </c>
      <c r="M185" s="10" t="s">
        <v>961</v>
      </c>
      <c r="N185" s="12" t="s">
        <v>1208</v>
      </c>
      <c r="O185" t="str">
        <f t="shared" si="5"/>
        <v>INSERT INTO public.medical_supply_sellable_unit (code, price, quantity, sale_uom, product_variant_code) VALUES ('PRODUCT-00077-001-01', 80000, 10, 'Hộp', 'PRODUCT-00077-001');</v>
      </c>
    </row>
    <row r="186" spans="1:15" x14ac:dyDescent="0.25">
      <c r="A186" s="10" t="str">
        <f>B186&amp;"-"&amp;TEXT(COUNTIF(B$2:B186,B186),"00")</f>
        <v>PRODUCT-00078-001-01</v>
      </c>
      <c r="B186" s="11" t="s">
        <v>1797</v>
      </c>
      <c r="C186" s="10" t="str">
        <f>_xlfn.XLOOKUP(B186,'Product Variant'!$A:$A,'Product Variant'!$B:$B,"NOT FOUND")</f>
        <v>PRODUCT-00078</v>
      </c>
      <c r="D186" s="10" t="str">
        <f>_xlfn.XLOOKUP(B186,'Product Variant'!$A:$A,'Product Variant'!$C:$C,"NOT FOUND")</f>
        <v>[Hollister] Túi hậu môn nhân tạo cho trẻ sơ sinh - 3778</v>
      </c>
      <c r="E186" s="10" t="str" cm="1">
        <f t="array" ref="E186">_xlfn.TEXTJOIN(" / ",TRUE,_xlfn.XLOOKUP(B186&amp;"|ATTR-27",'Product Variant Attribute'!$A$2:$A$2000&amp;"|"&amp;'Product Variant Attribute'!$D$2:$D$2000,'Product Variant Attribute'!$F$2:$F$2000,""),_xlfn.XLOOKUP(B186&amp;"|ATTR-24",'Product Variant Attribute'!$A$2:$A$2000&amp;"|"&amp;'Product Variant Attribute'!$D$2:$D$2000,'Product Variant Attribute'!$F$2:$F$2000,""))</f>
        <v/>
      </c>
      <c r="F186" s="11" t="s">
        <v>816</v>
      </c>
      <c r="G186" s="11" t="s">
        <v>962</v>
      </c>
      <c r="H186" s="13">
        <f t="shared" si="6"/>
        <v>15</v>
      </c>
      <c r="I186" s="16" t="str">
        <f>_xlfn.XLOOKUP(C186,Product!$A:$A,Product!$G:$G,"NOT FOUND")</f>
        <v>túi</v>
      </c>
      <c r="J186" s="20">
        <v>105000</v>
      </c>
      <c r="K186" s="15" t="s">
        <v>1327</v>
      </c>
      <c r="L186" s="21">
        <v>204</v>
      </c>
      <c r="M186" s="10" t="s">
        <v>963</v>
      </c>
      <c r="N186" s="12" t="s">
        <v>1209</v>
      </c>
      <c r="O186" t="str">
        <f t="shared" si="5"/>
        <v>INSERT INTO public.medical_supply_sellable_unit (code, price, quantity, sale_uom, product_variant_code) VALUES ('PRODUCT-00078-001-01', 105000, 15, 'Hộp', 'PRODUCT-00078-001');</v>
      </c>
    </row>
    <row r="187" spans="1:15" x14ac:dyDescent="0.25">
      <c r="A187" s="10" t="str">
        <f>B187&amp;"-"&amp;TEXT(COUNTIF(B$2:B187,B187),"00")</f>
        <v>PRODUCT-00079-001-01</v>
      </c>
      <c r="B187" s="11" t="s">
        <v>1798</v>
      </c>
      <c r="C187" s="10" t="str">
        <f>_xlfn.XLOOKUP(B187,'Product Variant'!$A:$A,'Product Variant'!$B:$B,"NOT FOUND")</f>
        <v>PRODUCT-00079</v>
      </c>
      <c r="D187" s="10" t="str">
        <f>_xlfn.XLOOKUP(B187,'Product Variant'!$A:$A,'Product Variant'!$C:$C,"NOT FOUND")</f>
        <v>[Hollister] Bột hút ẩm chống loét hậu môn nhân tạo - Adapt Stoma Powder 7906 (28.3g)</v>
      </c>
      <c r="E187" s="10" t="str" cm="1">
        <f t="array" ref="E187">_xlfn.TEXTJOIN(" / ",TRUE,_xlfn.XLOOKUP(B187&amp;"|ATTR-27",'Product Variant Attribute'!$A$2:$A$2000&amp;"|"&amp;'Product Variant Attribute'!$D$2:$D$2000,'Product Variant Attribute'!$F$2:$F$2000,""),_xlfn.XLOOKUP(B187&amp;"|ATTR-24",'Product Variant Attribute'!$A$2:$A$2000&amp;"|"&amp;'Product Variant Attribute'!$D$2:$D$2000,'Product Variant Attribute'!$F$2:$F$2000,""))</f>
        <v/>
      </c>
      <c r="F187" s="11" t="s">
        <v>816</v>
      </c>
      <c r="G187" s="11" t="s">
        <v>951</v>
      </c>
      <c r="H187" s="13">
        <v>1</v>
      </c>
      <c r="I187" s="16" t="str">
        <f>_xlfn.XLOOKUP(C187,Product!$A:$A,Product!$G:$G,"NOT FOUND")</f>
        <v>lọ</v>
      </c>
      <c r="J187" s="20">
        <v>260000</v>
      </c>
      <c r="K187" s="15" t="s">
        <v>1323</v>
      </c>
      <c r="L187" s="21">
        <v>349</v>
      </c>
      <c r="M187" s="10" t="s">
        <v>964</v>
      </c>
      <c r="N187" s="12">
        <v>128</v>
      </c>
      <c r="O187" t="str">
        <f t="shared" si="5"/>
        <v>INSERT INTO public.medical_supply_sellable_unit (code, price, quantity, sale_uom, product_variant_code) VALUES ('PRODUCT-00079-001-01', 260000, 1, 'Hộp', 'PRODUCT-00079-001');</v>
      </c>
    </row>
    <row r="188" spans="1:15" x14ac:dyDescent="0.25">
      <c r="A188" s="10" t="str">
        <f>B188&amp;"-"&amp;TEXT(COUNTIF(B$2:B188,B188),"00")</f>
        <v>PRODUCT-00080-001-01</v>
      </c>
      <c r="B188" s="11" t="s">
        <v>1799</v>
      </c>
      <c r="C188" s="10" t="str">
        <f>_xlfn.XLOOKUP(B188,'Product Variant'!$A:$A,'Product Variant'!$B:$B,"NOT FOUND")</f>
        <v>PRODUCT-00080</v>
      </c>
      <c r="D188" s="10" t="str">
        <f>_xlfn.XLOOKUP(B188,'Product Variant'!$A:$A,'Product Variant'!$C:$C,"NOT FOUND")</f>
        <v>[Hollister] Chai xịt tẩy chất keo - 7737</v>
      </c>
      <c r="E188" s="10" t="str" cm="1">
        <f t="array" ref="E188">_xlfn.TEXTJOIN(" / ",TRUE,_xlfn.XLOOKUP(B188&amp;"|ATTR-27",'Product Variant Attribute'!$A$2:$A$2000&amp;"|"&amp;'Product Variant Attribute'!$D$2:$D$2000,'Product Variant Attribute'!$F$2:$F$2000,""),_xlfn.XLOOKUP(B188&amp;"|ATTR-24",'Product Variant Attribute'!$A$2:$A$2000&amp;"|"&amp;'Product Variant Attribute'!$D$2:$D$2000,'Product Variant Attribute'!$F$2:$F$2000,""))</f>
        <v/>
      </c>
      <c r="F188" s="11" t="s">
        <v>816</v>
      </c>
      <c r="G188" s="11" t="s">
        <v>854</v>
      </c>
      <c r="H188" s="13">
        <f t="shared" si="6"/>
        <v>1</v>
      </c>
      <c r="I188" s="16" t="str">
        <f>_xlfn.XLOOKUP(C188,Product!$A:$A,Product!$G:$G,"NOT FOUND")</f>
        <v>chai</v>
      </c>
      <c r="J188" s="20">
        <v>370000</v>
      </c>
      <c r="K188" s="15" t="s">
        <v>1323</v>
      </c>
      <c r="L188" s="21">
        <v>130</v>
      </c>
      <c r="M188" s="10" t="s">
        <v>965</v>
      </c>
      <c r="N188" s="12">
        <v>138</v>
      </c>
      <c r="O188" t="str">
        <f t="shared" si="5"/>
        <v>INSERT INTO public.medical_supply_sellable_unit (code, price, quantity, sale_uom, product_variant_code) VALUES ('PRODUCT-00080-001-01', 370000, 1, 'Hộp', 'PRODUCT-00080-001');</v>
      </c>
    </row>
    <row r="189" spans="1:15" x14ac:dyDescent="0.25">
      <c r="A189" s="10" t="str">
        <f>B189&amp;"-"&amp;TEXT(COUNTIF(B$2:B189,B189),"00")</f>
        <v>PRODUCT-00081-001-01</v>
      </c>
      <c r="B189" s="11" t="s">
        <v>1800</v>
      </c>
      <c r="C189" s="10" t="str">
        <f>_xlfn.XLOOKUP(B189,'Product Variant'!$A:$A,'Product Variant'!$B:$B,"NOT FOUND")</f>
        <v>PRODUCT-00081</v>
      </c>
      <c r="D189" s="10" t="str">
        <f>_xlfn.XLOOKUP(B189,'Product Variant'!$A:$A,'Product Variant'!$C:$C,"NOT FOUND")</f>
        <v>[Hollister] Dây nịt đeo túi hậu môn nhân tạo - 7300</v>
      </c>
      <c r="E189" s="10" t="str" cm="1">
        <f t="array" ref="E189">_xlfn.TEXTJOIN(" / ",TRUE,_xlfn.XLOOKUP(B189&amp;"|ATTR-27",'Product Variant Attribute'!$A$2:$A$2000&amp;"|"&amp;'Product Variant Attribute'!$D$2:$D$2000,'Product Variant Attribute'!$F$2:$F$2000,""),_xlfn.XLOOKUP(B189&amp;"|ATTR-24",'Product Variant Attribute'!$A$2:$A$2000&amp;"|"&amp;'Product Variant Attribute'!$D$2:$D$2000,'Product Variant Attribute'!$F$2:$F$2000,""))</f>
        <v/>
      </c>
      <c r="F189" s="11" t="s">
        <v>818</v>
      </c>
      <c r="G189" s="11" t="s">
        <v>927</v>
      </c>
      <c r="H189" s="13">
        <f t="shared" si="6"/>
        <v>1</v>
      </c>
      <c r="I189" s="16" t="str">
        <f>_xlfn.XLOOKUP(C189,Product!$A:$A,Product!$G:$G,"NOT FOUND")</f>
        <v>cái</v>
      </c>
      <c r="J189" s="20">
        <v>140000</v>
      </c>
      <c r="K189" s="15" t="s">
        <v>1322</v>
      </c>
      <c r="L189" s="21">
        <v>347</v>
      </c>
      <c r="M189" s="10" t="s">
        <v>966</v>
      </c>
      <c r="N189" s="12">
        <v>184</v>
      </c>
      <c r="O189" t="str">
        <f t="shared" si="5"/>
        <v>INSERT INTO public.medical_supply_sellable_unit (code, price, quantity, sale_uom, product_variant_code) VALUES ('PRODUCT-00081-001-01', 140000, 1, 'Cái', 'PRODUCT-00081-001');</v>
      </c>
    </row>
    <row r="190" spans="1:15" x14ac:dyDescent="0.25">
      <c r="A190" s="10" t="str">
        <f>B190&amp;"-"&amp;TEXT(COUNTIF(B$2:B190,B190),"00")</f>
        <v>PRODUCT-00082-001-01</v>
      </c>
      <c r="B190" s="11" t="s">
        <v>1801</v>
      </c>
      <c r="C190" s="10" t="str">
        <f>_xlfn.XLOOKUP(B190,'Product Variant'!$A:$A,'Product Variant'!$B:$B,"NOT FOUND")</f>
        <v>PRODUCT-00082</v>
      </c>
      <c r="D190" s="10" t="str">
        <f>_xlfn.XLOOKUP(B190,'Product Variant'!$A:$A,'Product Variant'!$C:$C,"NOT FOUND")</f>
        <v>[Hollister] Đế lồi túi hậu môn nhân tạo 2 mảnh</v>
      </c>
      <c r="E190" s="10" t="str" cm="1">
        <f t="array" ref="E190">_xlfn.TEXTJOIN(" / ",TRUE,_xlfn.XLOOKUP(B190&amp;"|ATTR-27",'Product Variant Attribute'!$A$2:$A$2000&amp;"|"&amp;'Product Variant Attribute'!$D$2:$D$2000,'Product Variant Attribute'!$F$2:$F$2000,""),_xlfn.XLOOKUP(B190&amp;"|ATTR-24",'Product Variant Attribute'!$A$2:$A$2000&amp;"|"&amp;'Product Variant Attribute'!$D$2:$D$2000,'Product Variant Attribute'!$F$2:$F$2000,""))</f>
        <v/>
      </c>
      <c r="F190" s="11" t="s">
        <v>816</v>
      </c>
      <c r="G190" s="11" t="s">
        <v>967</v>
      </c>
      <c r="H190" s="13">
        <f t="shared" si="6"/>
        <v>5</v>
      </c>
      <c r="I190" s="16" t="str">
        <f>_xlfn.XLOOKUP(C190,Product!$A:$A,Product!$G:$G,"NOT FOUND")</f>
        <v>chiếc</v>
      </c>
      <c r="J190" s="22">
        <v>95000</v>
      </c>
      <c r="K190" s="15" t="s">
        <v>1377</v>
      </c>
      <c r="L190" s="21" t="s">
        <v>1378</v>
      </c>
      <c r="M190" s="10" t="s">
        <v>968</v>
      </c>
      <c r="N190" s="12" t="s">
        <v>1210</v>
      </c>
      <c r="O190" t="str">
        <f t="shared" si="5"/>
        <v>INSERT INTO public.medical_supply_sellable_unit (code, price, quantity, sale_uom, product_variant_code) VALUES ('PRODUCT-00082-001-01', 95000, 5, 'Hộp', 'PRODUCT-00082-001');</v>
      </c>
    </row>
    <row r="191" spans="1:15" x14ac:dyDescent="0.25">
      <c r="A191" s="10" t="str">
        <f>B191&amp;"-"&amp;TEXT(COUNTIF(B$2:B191,B191),"00")</f>
        <v>PRODUCT-00083-001-01</v>
      </c>
      <c r="B191" s="11" t="s">
        <v>1802</v>
      </c>
      <c r="C191" s="10" t="str">
        <f>_xlfn.XLOOKUP(B191,'Product Variant'!$A:$A,'Product Variant'!$B:$B,"NOT FOUND")</f>
        <v>PRODUCT-00083</v>
      </c>
      <c r="D191" s="10" t="str">
        <f>_xlfn.XLOOKUP(B191,'Product Variant'!$A:$A,'Product Variant'!$C:$C,"NOT FOUND")</f>
        <v>[Hollister] Đế rời túi hậu môn nhân tạo 2 mảnh</v>
      </c>
      <c r="E191" s="10" t="str" cm="1">
        <f t="array" ref="E191">_xlfn.TEXTJOIN(" / ",TRUE,_xlfn.XLOOKUP(B191&amp;"|ATTR-27",'Product Variant Attribute'!$A$2:$A$2000&amp;"|"&amp;'Product Variant Attribute'!$D$2:$D$2000,'Product Variant Attribute'!$F$2:$F$2000,""),_xlfn.XLOOKUP(B191&amp;"|ATTR-24",'Product Variant Attribute'!$A$2:$A$2000&amp;"|"&amp;'Product Variant Attribute'!$D$2:$D$2000,'Product Variant Attribute'!$F$2:$F$2000,""))</f>
        <v/>
      </c>
      <c r="F191" s="11" t="s">
        <v>816</v>
      </c>
      <c r="G191" s="11" t="s">
        <v>967</v>
      </c>
      <c r="H191" s="13">
        <f t="shared" si="6"/>
        <v>5</v>
      </c>
      <c r="I191" s="16" t="str">
        <f>_xlfn.XLOOKUP(C191,Product!$A:$A,Product!$G:$G,"NOT FOUND")</f>
        <v>chiếc</v>
      </c>
      <c r="J191" s="22">
        <v>85000</v>
      </c>
      <c r="K191" s="15" t="s">
        <v>1379</v>
      </c>
      <c r="L191" s="21" t="s">
        <v>1380</v>
      </c>
      <c r="M191" s="10" t="s">
        <v>969</v>
      </c>
      <c r="N191" s="12" t="s">
        <v>1211</v>
      </c>
      <c r="O191" t="str">
        <f t="shared" si="5"/>
        <v>INSERT INTO public.medical_supply_sellable_unit (code, price, quantity, sale_uom, product_variant_code) VALUES ('PRODUCT-00083-001-01', 85000, 5, 'Hộp', 'PRODUCT-00083-001');</v>
      </c>
    </row>
    <row r="192" spans="1:15" x14ac:dyDescent="0.25">
      <c r="A192" s="10" t="str">
        <f>B192&amp;"-"&amp;TEXT(COUNTIF(B$2:B192,B192),"00")</f>
        <v>PRODUCT-00084-001-01</v>
      </c>
      <c r="B192" s="11" t="s">
        <v>1803</v>
      </c>
      <c r="C192" s="10" t="str">
        <f>_xlfn.XLOOKUP(B192,'Product Variant'!$A:$A,'Product Variant'!$B:$B,"NOT FOUND")</f>
        <v>PRODUCT-00084</v>
      </c>
      <c r="D192" s="10" t="str">
        <f>_xlfn.XLOOKUP(B192,'Product Variant'!$A:$A,'Product Variant'!$C:$C,"NOT FOUND")</f>
        <v>[Hollister] Kem chống xì hậu môn nhân tạo - Adapt Paste 79300 (60g)</v>
      </c>
      <c r="E192" s="10" t="str" cm="1">
        <f t="array" ref="E192">_xlfn.TEXTJOIN(" / ",TRUE,_xlfn.XLOOKUP(B192&amp;"|ATTR-27",'Product Variant Attribute'!$A$2:$A$2000&amp;"|"&amp;'Product Variant Attribute'!$D$2:$D$2000,'Product Variant Attribute'!$F$2:$F$2000,""),_xlfn.XLOOKUP(B192&amp;"|ATTR-24",'Product Variant Attribute'!$A$2:$A$2000&amp;"|"&amp;'Product Variant Attribute'!$D$2:$D$2000,'Product Variant Attribute'!$F$2:$F$2000,""))</f>
        <v/>
      </c>
      <c r="F192" s="11" t="s">
        <v>816</v>
      </c>
      <c r="G192" s="11" t="s">
        <v>970</v>
      </c>
      <c r="H192" s="13">
        <f t="shared" si="6"/>
        <v>1</v>
      </c>
      <c r="I192" s="16" t="str">
        <f>_xlfn.XLOOKUP(C192,Product!$A:$A,Product!$G:$G,"NOT FOUND")</f>
        <v>tuýp</v>
      </c>
      <c r="J192" s="20">
        <v>240000</v>
      </c>
      <c r="K192" s="15" t="s">
        <v>1323</v>
      </c>
      <c r="L192" s="21">
        <v>348</v>
      </c>
      <c r="M192" s="10" t="s">
        <v>971</v>
      </c>
      <c r="N192" s="12">
        <v>270</v>
      </c>
      <c r="O192" t="str">
        <f t="shared" si="5"/>
        <v>INSERT INTO public.medical_supply_sellable_unit (code, price, quantity, sale_uom, product_variant_code) VALUES ('PRODUCT-00084-001-01', 240000, 1, 'Hộp', 'PRODUCT-00084-001');</v>
      </c>
    </row>
    <row r="193" spans="1:15" x14ac:dyDescent="0.25">
      <c r="A193" s="10" t="str">
        <f>B193&amp;"-"&amp;TEXT(COUNTIF(B$2:B193,B193),"00")</f>
        <v>PRODUCT-00085-001-01</v>
      </c>
      <c r="B193" s="11" t="s">
        <v>1804</v>
      </c>
      <c r="C193" s="10" t="str">
        <f>_xlfn.XLOOKUP(B193,'Product Variant'!$A:$A,'Product Variant'!$B:$B,"NOT FOUND")</f>
        <v>PRODUCT-00085</v>
      </c>
      <c r="D193" s="10" t="str">
        <f>_xlfn.XLOOKUP(B193,'Product Variant'!$A:$A,'Product Variant'!$C:$C,"NOT FOUND")</f>
        <v>[Hollister] Khóa kẹp túi hậu môn nhân tạo - 8770</v>
      </c>
      <c r="E193" s="10" t="str" cm="1">
        <f t="array" ref="E193">_xlfn.TEXTJOIN(" / ",TRUE,_xlfn.XLOOKUP(B193&amp;"|ATTR-27",'Product Variant Attribute'!$A$2:$A$2000&amp;"|"&amp;'Product Variant Attribute'!$D$2:$D$2000,'Product Variant Attribute'!$F$2:$F$2000,""),_xlfn.XLOOKUP(B193&amp;"|ATTR-24",'Product Variant Attribute'!$A$2:$A$2000&amp;"|"&amp;'Product Variant Attribute'!$D$2:$D$2000,'Product Variant Attribute'!$F$2:$F$2000,""))</f>
        <v/>
      </c>
      <c r="F193" s="11" t="s">
        <v>818</v>
      </c>
      <c r="G193" s="11" t="s">
        <v>927</v>
      </c>
      <c r="H193" s="13">
        <f t="shared" si="6"/>
        <v>1</v>
      </c>
      <c r="I193" s="16" t="str">
        <f>_xlfn.XLOOKUP(C193,Product!$A:$A,Product!$G:$G,"NOT FOUND")</f>
        <v>cái</v>
      </c>
      <c r="J193" s="20">
        <v>12000</v>
      </c>
      <c r="K193" s="15" t="s">
        <v>1323</v>
      </c>
      <c r="L193" s="21">
        <v>507</v>
      </c>
      <c r="M193" s="10" t="s">
        <v>972</v>
      </c>
      <c r="N193" s="12">
        <v>278</v>
      </c>
      <c r="O193" t="str">
        <f t="shared" si="5"/>
        <v>INSERT INTO public.medical_supply_sellable_unit (code, price, quantity, sale_uom, product_variant_code) VALUES ('PRODUCT-00085-001-01', 12000, 1, 'Cái', 'PRODUCT-00085-001');</v>
      </c>
    </row>
    <row r="194" spans="1:15" x14ac:dyDescent="0.25">
      <c r="A194" s="10" t="str">
        <f>B194&amp;"-"&amp;TEXT(COUNTIF(B$2:B194,B194),"00")</f>
        <v>PRODUCT-00086-001-01</v>
      </c>
      <c r="B194" s="11" t="s">
        <v>1805</v>
      </c>
      <c r="C194" s="10" t="str">
        <f>_xlfn.XLOOKUP(B194,'Product Variant'!$A:$A,'Product Variant'!$B:$B,"NOT FOUND")</f>
        <v>PRODUCT-00086</v>
      </c>
      <c r="D194" s="10" t="str">
        <f>_xlfn.XLOOKUP(B194,'Product Variant'!$A:$A,'Product Variant'!$C:$C,"NOT FOUND")</f>
        <v>[Mepro] Túi hậu môn nhân tạo 1 mảnh - Kẹp rời</v>
      </c>
      <c r="E194" s="10" t="str" cm="1">
        <f t="array" ref="E194">_xlfn.TEXTJOIN(" / ",TRUE,_xlfn.XLOOKUP(B194&amp;"|ATTR-27",'Product Variant Attribute'!$A$2:$A$2000&amp;"|"&amp;'Product Variant Attribute'!$D$2:$D$2000,'Product Variant Attribute'!$F$2:$F$2000,""),_xlfn.XLOOKUP(B194&amp;"|ATTR-24",'Product Variant Attribute'!$A$2:$A$2000&amp;"|"&amp;'Product Variant Attribute'!$D$2:$D$2000,'Product Variant Attribute'!$F$2:$F$2000,""))</f>
        <v/>
      </c>
      <c r="F194" s="11" t="s">
        <v>816</v>
      </c>
      <c r="G194" s="11" t="s">
        <v>957</v>
      </c>
      <c r="H194" s="13">
        <f t="shared" si="6"/>
        <v>20</v>
      </c>
      <c r="I194" s="16" t="str">
        <f>_xlfn.XLOOKUP(C194,Product!$A:$A,Product!$G:$G,"NOT FOUND")</f>
        <v>túi</v>
      </c>
      <c r="J194" s="22">
        <v>39000</v>
      </c>
      <c r="K194" s="15" t="s">
        <v>1381</v>
      </c>
      <c r="L194" s="21" t="s">
        <v>1382</v>
      </c>
      <c r="M194" s="10" t="s">
        <v>973</v>
      </c>
      <c r="N194" s="12" t="s">
        <v>1212</v>
      </c>
      <c r="O194" t="str">
        <f t="shared" si="5"/>
        <v>INSERT INTO public.medical_supply_sellable_unit (code, price, quantity, sale_uom, product_variant_code) VALUES ('PRODUCT-00086-001-01', 39000, 20, 'Hộp', 'PRODUCT-00086-001');</v>
      </c>
    </row>
    <row r="195" spans="1:15" x14ac:dyDescent="0.25">
      <c r="A195" s="10" t="str">
        <f>B195&amp;"-"&amp;TEXT(COUNTIF(B$2:B195,B195),"00")</f>
        <v>PRODUCT-00087-001-01</v>
      </c>
      <c r="B195" s="11" t="s">
        <v>1806</v>
      </c>
      <c r="C195" s="10" t="str">
        <f>_xlfn.XLOOKUP(B195,'Product Variant'!$A:$A,'Product Variant'!$B:$B,"NOT FOUND")</f>
        <v>PRODUCT-00087</v>
      </c>
      <c r="D195" s="10" t="str">
        <f>_xlfn.XLOOKUP(B195,'Product Variant'!$A:$A,'Product Variant'!$C:$C,"NOT FOUND")</f>
        <v>[MiKiDo] Túi hậu môn nhân tạo 1 mảnh cho trẻ em</v>
      </c>
      <c r="E195" s="10" t="str" cm="1">
        <f t="array" ref="E195">_xlfn.TEXTJOIN(" / ",TRUE,_xlfn.XLOOKUP(B195&amp;"|ATTR-27",'Product Variant Attribute'!$A$2:$A$2000&amp;"|"&amp;'Product Variant Attribute'!$D$2:$D$2000,'Product Variant Attribute'!$F$2:$F$2000,""),_xlfn.XLOOKUP(B195&amp;"|ATTR-24",'Product Variant Attribute'!$A$2:$A$2000&amp;"|"&amp;'Product Variant Attribute'!$D$2:$D$2000,'Product Variant Attribute'!$F$2:$F$2000,""))</f>
        <v/>
      </c>
      <c r="F195" s="11" t="s">
        <v>816</v>
      </c>
      <c r="G195" s="11" t="s">
        <v>959</v>
      </c>
      <c r="H195" s="13">
        <f t="shared" si="6"/>
        <v>10</v>
      </c>
      <c r="I195" s="16" t="str">
        <f>_xlfn.XLOOKUP(C195,Product!$A:$A,Product!$G:$G,"NOT FOUND")</f>
        <v>túi</v>
      </c>
      <c r="J195" s="20">
        <v>46000</v>
      </c>
      <c r="K195" s="15" t="s">
        <v>1327</v>
      </c>
      <c r="L195" s="21">
        <v>80</v>
      </c>
      <c r="M195" s="10" t="s">
        <v>974</v>
      </c>
      <c r="N195" s="12" t="s">
        <v>1213</v>
      </c>
      <c r="O195" t="str">
        <f t="shared" ref="O195:O258" si="7">"INSERT INTO public.medical_supply_sellable_unit (code, price, quantity, sale_uom, product_variant_code) VALUES ('"&amp;A195&amp;"', "&amp;IF(J195="","NULL",J195)&amp;", "&amp;IF(H195="","NULL",H195)&amp;", "&amp;IF(F195="","NULL","'"&amp;SUBSTITUTE(F195,"'","''")&amp;"'")&amp;", '"&amp;B195&amp;"');"</f>
        <v>INSERT INTO public.medical_supply_sellable_unit (code, price, quantity, sale_uom, product_variant_code) VALUES ('PRODUCT-00087-001-01', 46000, 10, 'Hộp', 'PRODUCT-00087-001');</v>
      </c>
    </row>
    <row r="196" spans="1:15" x14ac:dyDescent="0.25">
      <c r="A196" s="10" t="str">
        <f>B196&amp;"-"&amp;TEXT(COUNTIF(B$2:B196,B196),"00")</f>
        <v>PRODUCT-00088-001-01</v>
      </c>
      <c r="B196" s="11" t="s">
        <v>1807</v>
      </c>
      <c r="C196" s="10" t="str">
        <f>_xlfn.XLOOKUP(B196,'Product Variant'!$A:$A,'Product Variant'!$B:$B,"NOT FOUND")</f>
        <v>PRODUCT-00088</v>
      </c>
      <c r="D196" s="10" t="str">
        <f>_xlfn.XLOOKUP(B196,'Product Variant'!$A:$A,'Product Variant'!$C:$C,"NOT FOUND")</f>
        <v>[Ostomy Care] Túi hậu môn nhân tạo 1 mảnh - Khóa dán liền</v>
      </c>
      <c r="E196" s="10" t="str" cm="1">
        <f t="array" ref="E196">_xlfn.TEXTJOIN(" / ",TRUE,_xlfn.XLOOKUP(B196&amp;"|ATTR-27",'Product Variant Attribute'!$A$2:$A$2000&amp;"|"&amp;'Product Variant Attribute'!$D$2:$D$2000,'Product Variant Attribute'!$F$2:$F$2000,""),_xlfn.XLOOKUP(B196&amp;"|ATTR-24",'Product Variant Attribute'!$A$2:$A$2000&amp;"|"&amp;'Product Variant Attribute'!$D$2:$D$2000,'Product Variant Attribute'!$F$2:$F$2000,""))</f>
        <v/>
      </c>
      <c r="F196" s="11" t="s">
        <v>816</v>
      </c>
      <c r="G196" s="11" t="s">
        <v>957</v>
      </c>
      <c r="H196" s="13">
        <f t="shared" si="6"/>
        <v>20</v>
      </c>
      <c r="I196" s="16" t="str">
        <f>_xlfn.XLOOKUP(C196,Product!$A:$A,Product!$G:$G,"NOT FOUND")</f>
        <v>túi</v>
      </c>
      <c r="J196" s="20">
        <v>45000</v>
      </c>
      <c r="K196" s="15" t="s">
        <v>1327</v>
      </c>
      <c r="L196" s="21">
        <v>275</v>
      </c>
      <c r="M196" s="10" t="s">
        <v>975</v>
      </c>
      <c r="N196" s="12" t="s">
        <v>1214</v>
      </c>
      <c r="O196" t="str">
        <f t="shared" si="7"/>
        <v>INSERT INTO public.medical_supply_sellable_unit (code, price, quantity, sale_uom, product_variant_code) VALUES ('PRODUCT-00088-001-01', 45000, 20, 'Hộp', 'PRODUCT-00088-001');</v>
      </c>
    </row>
    <row r="197" spans="1:15" x14ac:dyDescent="0.25">
      <c r="A197" s="10" t="str">
        <f>B197&amp;"-"&amp;TEXT(COUNTIF(B$2:B197,B197),"00")</f>
        <v>PRODUCT-00089-001-01</v>
      </c>
      <c r="B197" s="11" t="s">
        <v>1808</v>
      </c>
      <c r="C197" s="10" t="str">
        <f>_xlfn.XLOOKUP(B197,'Product Variant'!$A:$A,'Product Variant'!$B:$B,"NOT FOUND")</f>
        <v>PRODUCT-00089</v>
      </c>
      <c r="D197" s="10" t="str">
        <f>_xlfn.XLOOKUP(B197,'Product Variant'!$A:$A,'Product Variant'!$C:$C,"NOT FOUND")</f>
        <v>[Ostomy Care] Túi hậu môn nhân tạo 1 mảnh - Khóa kẹp</v>
      </c>
      <c r="E197" s="10" t="str" cm="1">
        <f t="array" ref="E197">_xlfn.TEXTJOIN(" / ",TRUE,_xlfn.XLOOKUP(B197&amp;"|ATTR-27",'Product Variant Attribute'!$A$2:$A$2000&amp;"|"&amp;'Product Variant Attribute'!$D$2:$D$2000,'Product Variant Attribute'!$F$2:$F$2000,""),_xlfn.XLOOKUP(B197&amp;"|ATTR-24",'Product Variant Attribute'!$A$2:$A$2000&amp;"|"&amp;'Product Variant Attribute'!$D$2:$D$2000,'Product Variant Attribute'!$F$2:$F$2000,""))</f>
        <v/>
      </c>
      <c r="F197" s="11" t="s">
        <v>818</v>
      </c>
      <c r="G197" s="11" t="s">
        <v>927</v>
      </c>
      <c r="H197" s="13">
        <f t="shared" si="6"/>
        <v>1</v>
      </c>
      <c r="I197" s="16" t="str">
        <f>_xlfn.XLOOKUP(C197,Product!$A:$A,Product!$G:$G,"NOT FOUND")</f>
        <v>cái</v>
      </c>
      <c r="J197" s="22">
        <v>39000</v>
      </c>
      <c r="K197" s="15" t="s">
        <v>1383</v>
      </c>
      <c r="L197" s="21" t="s">
        <v>1384</v>
      </c>
      <c r="M197" s="10" t="s">
        <v>976</v>
      </c>
      <c r="N197" s="12" t="s">
        <v>1215</v>
      </c>
      <c r="O197" t="str">
        <f t="shared" si="7"/>
        <v>INSERT INTO public.medical_supply_sellable_unit (code, price, quantity, sale_uom, product_variant_code) VALUES ('PRODUCT-00089-001-01', 39000, 1, 'Cái', 'PRODUCT-00089-001');</v>
      </c>
    </row>
    <row r="198" spans="1:15" x14ac:dyDescent="0.25">
      <c r="A198" s="10" t="str">
        <f>B198&amp;"-"&amp;TEXT(COUNTIF(B$2:B198,B198),"00")</f>
        <v>PRODUCT-00090-001-01</v>
      </c>
      <c r="B198" s="11" t="s">
        <v>1809</v>
      </c>
      <c r="C198" s="10" t="str">
        <f>_xlfn.XLOOKUP(B198,'Product Variant'!$A:$A,'Product Variant'!$B:$B,"NOT FOUND")</f>
        <v>PRODUCT-00090</v>
      </c>
      <c r="D198" s="10" t="str">
        <f>_xlfn.XLOOKUP(B198,'Product Variant'!$A:$A,'Product Variant'!$C:$C,"NOT FOUND")</f>
        <v>[Hollister] Túi nước tiểu nhân tạo 1 mảnh - 8460</v>
      </c>
      <c r="E198" s="10" t="str" cm="1">
        <f t="array" ref="E198">_xlfn.TEXTJOIN(" / ",TRUE,_xlfn.XLOOKUP(B198&amp;"|ATTR-27",'Product Variant Attribute'!$A$2:$A$2000&amp;"|"&amp;'Product Variant Attribute'!$D$2:$D$2000,'Product Variant Attribute'!$F$2:$F$2000,""),_xlfn.XLOOKUP(B198&amp;"|ATTR-24",'Product Variant Attribute'!$A$2:$A$2000&amp;"|"&amp;'Product Variant Attribute'!$D$2:$D$2000,'Product Variant Attribute'!$F$2:$F$2000,""))</f>
        <v/>
      </c>
      <c r="F198" s="11" t="s">
        <v>816</v>
      </c>
      <c r="G198" s="11" t="s">
        <v>959</v>
      </c>
      <c r="H198" s="13">
        <f t="shared" si="6"/>
        <v>10</v>
      </c>
      <c r="I198" s="16" t="str">
        <f>_xlfn.XLOOKUP(C198,Product!$A:$A,Product!$G:$G,"NOT FOUND")</f>
        <v>túi</v>
      </c>
      <c r="J198" s="20">
        <v>150000</v>
      </c>
      <c r="K198" s="15" t="s">
        <v>1323</v>
      </c>
      <c r="L198" s="21">
        <v>213</v>
      </c>
      <c r="M198" s="10" t="s">
        <v>977</v>
      </c>
      <c r="N198" s="12">
        <v>503</v>
      </c>
      <c r="O198" t="str">
        <f t="shared" si="7"/>
        <v>INSERT INTO public.medical_supply_sellable_unit (code, price, quantity, sale_uom, product_variant_code) VALUES ('PRODUCT-00090-001-01', 150000, 10, 'Hộp', 'PRODUCT-00090-001');</v>
      </c>
    </row>
    <row r="199" spans="1:15" x14ac:dyDescent="0.25">
      <c r="A199" s="10" t="str">
        <f>B199&amp;"-"&amp;TEXT(COUNTIF(B$2:B199,B199),"00")</f>
        <v>PRODUCT-00091-001-01</v>
      </c>
      <c r="B199" s="11" t="s">
        <v>1810</v>
      </c>
      <c r="C199" s="10" t="str">
        <f>_xlfn.XLOOKUP(B199,'Product Variant'!$A:$A,'Product Variant'!$B:$B,"NOT FOUND")</f>
        <v>PRODUCT-00091</v>
      </c>
      <c r="D199" s="10" t="str">
        <f>_xlfn.XLOOKUP(B199,'Product Variant'!$A:$A,'Product Variant'!$C:$C,"NOT FOUND")</f>
        <v>[Hollister] Vòng bảo vệ da chống loét hậu môn nhân tạo (Mẫu 7805)</v>
      </c>
      <c r="E199" s="10" t="str" cm="1">
        <f t="array" ref="E199">_xlfn.TEXTJOIN(" / ",TRUE,_xlfn.XLOOKUP(B199&amp;"|ATTR-27",'Product Variant Attribute'!$A$2:$A$2000&amp;"|"&amp;'Product Variant Attribute'!$D$2:$D$2000,'Product Variant Attribute'!$F$2:$F$2000,""),_xlfn.XLOOKUP(B199&amp;"|ATTR-24",'Product Variant Attribute'!$A$2:$A$2000&amp;"|"&amp;'Product Variant Attribute'!$D$2:$D$2000,'Product Variant Attribute'!$F$2:$F$2000,""))</f>
        <v/>
      </c>
      <c r="F199" s="11" t="s">
        <v>818</v>
      </c>
      <c r="G199" s="11" t="s">
        <v>978</v>
      </c>
      <c r="H199" s="13">
        <f t="shared" si="6"/>
        <v>1</v>
      </c>
      <c r="I199" s="16" t="str">
        <f>_xlfn.XLOOKUP(C199,Product!$A:$A,Product!$G:$G,"NOT FOUND")</f>
        <v>cái</v>
      </c>
      <c r="J199" s="20">
        <v>55000</v>
      </c>
      <c r="K199" s="15" t="s">
        <v>1327</v>
      </c>
      <c r="L199" s="21">
        <v>131</v>
      </c>
      <c r="M199" s="10" t="s">
        <v>979</v>
      </c>
      <c r="N199" s="12">
        <v>547</v>
      </c>
      <c r="O199" t="str">
        <f t="shared" si="7"/>
        <v>INSERT INTO public.medical_supply_sellable_unit (code, price, quantity, sale_uom, product_variant_code) VALUES ('PRODUCT-00091-001-01', 55000, 1, 'Cái', 'PRODUCT-00091-001');</v>
      </c>
    </row>
    <row r="200" spans="1:15" x14ac:dyDescent="0.25">
      <c r="A200" s="10" t="str">
        <f>B200&amp;"-"&amp;TEXT(COUNTIF(B$2:B200,B200),"00")</f>
        <v>PRODUCT-00091-001-02</v>
      </c>
      <c r="B200" s="11" t="s">
        <v>1810</v>
      </c>
      <c r="C200" s="10" t="str">
        <f>_xlfn.XLOOKUP(B200,'Product Variant'!$A:$A,'Product Variant'!$B:$B,"NOT FOUND")</f>
        <v>PRODUCT-00091</v>
      </c>
      <c r="D200" s="10" t="str">
        <f>_xlfn.XLOOKUP(B200,'Product Variant'!$A:$A,'Product Variant'!$C:$C,"NOT FOUND")</f>
        <v>[Hollister] Vòng bảo vệ da chống loét hậu môn nhân tạo (Mẫu 7805)</v>
      </c>
      <c r="E200" s="10" t="str" cm="1">
        <f t="array" ref="E200">_xlfn.TEXTJOIN(" / ",TRUE,_xlfn.XLOOKUP(B200&amp;"|ATTR-27",'Product Variant Attribute'!$A$2:$A$2000&amp;"|"&amp;'Product Variant Attribute'!$D$2:$D$2000,'Product Variant Attribute'!$F$2:$F$2000,""),_xlfn.XLOOKUP(B200&amp;"|ATTR-24",'Product Variant Attribute'!$A$2:$A$2000&amp;"|"&amp;'Product Variant Attribute'!$D$2:$D$2000,'Product Variant Attribute'!$F$2:$F$2000,""))</f>
        <v/>
      </c>
      <c r="F200" s="11" t="s">
        <v>818</v>
      </c>
      <c r="G200" s="11" t="s">
        <v>927</v>
      </c>
      <c r="H200" s="13">
        <f t="shared" si="6"/>
        <v>1</v>
      </c>
      <c r="I200" s="16" t="str">
        <f>_xlfn.XLOOKUP(C200,Product!$A:$A,Product!$G:$G,"NOT FOUND")</f>
        <v>cái</v>
      </c>
      <c r="J200" s="20">
        <v>55000</v>
      </c>
      <c r="K200" s="15" t="s">
        <v>1323</v>
      </c>
      <c r="L200" s="21">
        <v>269</v>
      </c>
      <c r="M200" s="10" t="s">
        <v>980</v>
      </c>
      <c r="N200" s="12">
        <v>549</v>
      </c>
      <c r="O200" t="str">
        <f t="shared" si="7"/>
        <v>INSERT INTO public.medical_supply_sellable_unit (code, price, quantity, sale_uom, product_variant_code) VALUES ('PRODUCT-00091-001-02', 55000, 1, 'Cái', 'PRODUCT-00091-001');</v>
      </c>
    </row>
    <row r="201" spans="1:15" x14ac:dyDescent="0.25">
      <c r="A201" s="10" t="str">
        <f>B201&amp;"-"&amp;TEXT(COUNTIF(B$2:B201,B201),"00")</f>
        <v>PRODUCT-00300-001-01</v>
      </c>
      <c r="B201" s="11" t="s">
        <v>1811</v>
      </c>
      <c r="C201" s="10" t="str">
        <f>_xlfn.XLOOKUP(B201,'Product Variant'!$A:$A,'Product Variant'!$B:$B,"NOT FOUND")</f>
        <v>PRODUCT-00300</v>
      </c>
      <c r="D201" s="10" t="str">
        <f>_xlfn.XLOOKUP(B201,'Product Variant'!$A:$A,'Product Variant'!$C:$C,"NOT FOUND")</f>
        <v>[Hollister] Vòng bảo vệ da chống loét hậu môn nhân tạo (Mẫu 7806)</v>
      </c>
      <c r="E201" s="10" t="str" cm="1">
        <f t="array" ref="E201">_xlfn.TEXTJOIN(" / ",TRUE,_xlfn.XLOOKUP(B201&amp;"|ATTR-27",'Product Variant Attribute'!$A$2:$A$2000&amp;"|"&amp;'Product Variant Attribute'!$D$2:$D$2000,'Product Variant Attribute'!$F$2:$F$2000,""),_xlfn.XLOOKUP(B201&amp;"|ATTR-24",'Product Variant Attribute'!$A$2:$A$2000&amp;"|"&amp;'Product Variant Attribute'!$D$2:$D$2000,'Product Variant Attribute'!$F$2:$F$2000,""))</f>
        <v/>
      </c>
      <c r="F201" s="11" t="s">
        <v>818</v>
      </c>
      <c r="G201" s="11" t="s">
        <v>978</v>
      </c>
      <c r="H201" s="13">
        <f t="shared" si="6"/>
        <v>1</v>
      </c>
      <c r="I201" s="16" t="str">
        <f>_xlfn.XLOOKUP(C201,Product!$A:$A,Product!$G:$G,"NOT FOUND")</f>
        <v>cái</v>
      </c>
      <c r="J201" s="20">
        <v>85000</v>
      </c>
      <c r="K201" s="15" t="s">
        <v>1327</v>
      </c>
      <c r="L201" s="21">
        <v>132</v>
      </c>
      <c r="M201" s="10" t="s">
        <v>979</v>
      </c>
      <c r="N201" s="12">
        <v>548</v>
      </c>
      <c r="O201" t="str">
        <f t="shared" si="7"/>
        <v>INSERT INTO public.medical_supply_sellable_unit (code, price, quantity, sale_uom, product_variant_code) VALUES ('PRODUCT-00300-001-01', 85000, 1, 'Cái', 'PRODUCT-00300-001');</v>
      </c>
    </row>
    <row r="202" spans="1:15" x14ac:dyDescent="0.25">
      <c r="A202" s="10" t="str">
        <f>B202&amp;"-"&amp;TEXT(COUNTIF(B$2:B202,B202),"00")</f>
        <v>PRODUCT-00300-001-02</v>
      </c>
      <c r="B202" s="11" t="s">
        <v>1811</v>
      </c>
      <c r="C202" s="10" t="str">
        <f>_xlfn.XLOOKUP(B202,'Product Variant'!$A:$A,'Product Variant'!$B:$B,"NOT FOUND")</f>
        <v>PRODUCT-00300</v>
      </c>
      <c r="D202" s="10" t="str">
        <f>_xlfn.XLOOKUP(B202,'Product Variant'!$A:$A,'Product Variant'!$C:$C,"NOT FOUND")</f>
        <v>[Hollister] Vòng bảo vệ da chống loét hậu môn nhân tạo (Mẫu 7806)</v>
      </c>
      <c r="E202" s="10" t="str" cm="1">
        <f t="array" ref="E202">_xlfn.TEXTJOIN(" / ",TRUE,_xlfn.XLOOKUP(B202&amp;"|ATTR-27",'Product Variant Attribute'!$A$2:$A$2000&amp;"|"&amp;'Product Variant Attribute'!$D$2:$D$2000,'Product Variant Attribute'!$F$2:$F$2000,""),_xlfn.XLOOKUP(B202&amp;"|ATTR-24",'Product Variant Attribute'!$A$2:$A$2000&amp;"|"&amp;'Product Variant Attribute'!$D$2:$D$2000,'Product Variant Attribute'!$F$2:$F$2000,""))</f>
        <v/>
      </c>
      <c r="F202" s="11" t="s">
        <v>818</v>
      </c>
      <c r="G202" s="11" t="s">
        <v>927</v>
      </c>
      <c r="H202" s="13">
        <f t="shared" si="6"/>
        <v>1</v>
      </c>
      <c r="I202" s="16" t="str">
        <f>_xlfn.XLOOKUP(C202,Product!$A:$A,Product!$G:$G,"NOT FOUND")</f>
        <v>cái</v>
      </c>
      <c r="J202" s="20">
        <v>85000</v>
      </c>
      <c r="K202" s="15" t="s">
        <v>1323</v>
      </c>
      <c r="L202" s="21">
        <v>267</v>
      </c>
      <c r="M202" s="10" t="s">
        <v>981</v>
      </c>
      <c r="N202" s="12">
        <v>550</v>
      </c>
      <c r="O202" t="str">
        <f t="shared" si="7"/>
        <v>INSERT INTO public.medical_supply_sellable_unit (code, price, quantity, sale_uom, product_variant_code) VALUES ('PRODUCT-00300-001-02', 85000, 1, 'Cái', 'PRODUCT-00300-001');</v>
      </c>
    </row>
    <row r="203" spans="1:15" x14ac:dyDescent="0.25">
      <c r="A203" s="10" t="str">
        <f>B203&amp;"-"&amp;TEXT(COUNTIF(B$2:B203,B203),"00")</f>
        <v>PRODUCT-00093-001-01</v>
      </c>
      <c r="B203" s="11" t="s">
        <v>1812</v>
      </c>
      <c r="C203" s="10" t="str">
        <f>_xlfn.XLOOKUP(B203,'Product Variant'!$A:$A,'Product Variant'!$B:$B,"NOT FOUND")</f>
        <v>PRODUCT-00093</v>
      </c>
      <c r="D203" s="10" t="str">
        <f>_xlfn.XLOOKUP(B203,'Product Variant'!$A:$A,'Product Variant'!$C:$C,"NOT FOUND")</f>
        <v>Túi hậu môn nhân tạo 1 mảnh loại trong</v>
      </c>
      <c r="E203" s="10" t="str" cm="1">
        <f t="array" ref="E203">_xlfn.TEXTJOIN(" / ",TRUE,_xlfn.XLOOKUP(B203&amp;"|ATTR-27",'Product Variant Attribute'!$A$2:$A$2000&amp;"|"&amp;'Product Variant Attribute'!$D$2:$D$2000,'Product Variant Attribute'!$F$2:$F$2000,""),_xlfn.XLOOKUP(B203&amp;"|ATTR-24",'Product Variant Attribute'!$A$2:$A$2000&amp;"|"&amp;'Product Variant Attribute'!$D$2:$D$2000,'Product Variant Attribute'!$F$2:$F$2000,""))</f>
        <v/>
      </c>
      <c r="F203" s="11" t="s">
        <v>816</v>
      </c>
      <c r="G203" s="11" t="s">
        <v>957</v>
      </c>
      <c r="H203" s="13">
        <f t="shared" si="6"/>
        <v>20</v>
      </c>
      <c r="I203" s="16" t="str">
        <f>_xlfn.XLOOKUP(C203,Product!$A:$A,Product!$G:$G,"NOT FOUND")</f>
        <v>túi</v>
      </c>
      <c r="J203" s="20">
        <v>45000</v>
      </c>
      <c r="K203" s="15" t="s">
        <v>1323</v>
      </c>
      <c r="L203" s="21">
        <v>32</v>
      </c>
      <c r="M203" s="10" t="s">
        <v>109</v>
      </c>
      <c r="N203" s="12">
        <v>487</v>
      </c>
      <c r="O203" t="str">
        <f t="shared" si="7"/>
        <v>INSERT INTO public.medical_supply_sellable_unit (code, price, quantity, sale_uom, product_variant_code) VALUES ('PRODUCT-00093-001-01', 45000, 20, 'Hộp', 'PRODUCT-00093-001');</v>
      </c>
    </row>
    <row r="204" spans="1:15" x14ac:dyDescent="0.25">
      <c r="A204" s="10" t="str">
        <f>B204&amp;"-"&amp;TEXT(COUNTIF(B$2:B204,B204),"00")</f>
        <v>PRODUCT-00094-001-01</v>
      </c>
      <c r="B204" s="11" t="s">
        <v>1813</v>
      </c>
      <c r="C204" s="10" t="str">
        <f>_xlfn.XLOOKUP(B204,'Product Variant'!$A:$A,'Product Variant'!$B:$B,"NOT FOUND")</f>
        <v>PRODUCT-00094</v>
      </c>
      <c r="D204" s="10" t="str">
        <f>_xlfn.XLOOKUP(B204,'Product Variant'!$A:$A,'Product Variant'!$C:$C,"NOT FOUND")</f>
        <v>[Mepro] Đế rời túi hậu môn nhân tạo 2 mảnh viền vải không dệt</v>
      </c>
      <c r="E204" s="10" t="str" cm="1">
        <f t="array" ref="E204">_xlfn.TEXTJOIN(" / ",TRUE,_xlfn.XLOOKUP(B204&amp;"|ATTR-27",'Product Variant Attribute'!$A$2:$A$2000&amp;"|"&amp;'Product Variant Attribute'!$D$2:$D$2000,'Product Variant Attribute'!$F$2:$F$2000,""),_xlfn.XLOOKUP(B204&amp;"|ATTR-24",'Product Variant Attribute'!$A$2:$A$2000&amp;"|"&amp;'Product Variant Attribute'!$D$2:$D$2000,'Product Variant Attribute'!$F$2:$F$2000,""))</f>
        <v/>
      </c>
      <c r="F204" s="11" t="s">
        <v>816</v>
      </c>
      <c r="G204" s="11" t="s">
        <v>967</v>
      </c>
      <c r="H204" s="13">
        <f t="shared" si="6"/>
        <v>5</v>
      </c>
      <c r="I204" s="16" t="str">
        <f>_xlfn.XLOOKUP(C204,Product!$A:$A,Product!$G:$G,"NOT FOUND")</f>
        <v>chiếc</v>
      </c>
      <c r="J204" s="22">
        <v>48000</v>
      </c>
      <c r="K204" s="15" t="s">
        <v>1385</v>
      </c>
      <c r="L204" s="21" t="s">
        <v>1386</v>
      </c>
      <c r="M204" s="10" t="s">
        <v>982</v>
      </c>
      <c r="N204" s="12" t="s">
        <v>1216</v>
      </c>
      <c r="O204" t="str">
        <f t="shared" si="7"/>
        <v>INSERT INTO public.medical_supply_sellable_unit (code, price, quantity, sale_uom, product_variant_code) VALUES ('PRODUCT-00094-001-01', 48000, 5, 'Hộp', 'PRODUCT-00094-001');</v>
      </c>
    </row>
    <row r="205" spans="1:15" x14ac:dyDescent="0.25">
      <c r="A205" s="10" t="str">
        <f>B205&amp;"-"&amp;TEXT(COUNTIF(B$2:B205,B205),"00")</f>
        <v>PRODUCT-00095-001-01</v>
      </c>
      <c r="B205" s="11" t="s">
        <v>1814</v>
      </c>
      <c r="C205" s="10" t="str">
        <f>_xlfn.XLOOKUP(B205,'Product Variant'!$A:$A,'Product Variant'!$B:$B,"NOT FOUND")</f>
        <v>PRODUCT-00095</v>
      </c>
      <c r="D205" s="10" t="str">
        <f>_xlfn.XLOOKUP(B205,'Product Variant'!$A:$A,'Product Variant'!$C:$C,"NOT FOUND")</f>
        <v>[Hollister] Bộ túi hậu môn nhân tạo 2 mảnh - Kẹp rời</v>
      </c>
      <c r="E205" s="10" t="str" cm="1">
        <f t="array" ref="E205">_xlfn.TEXTJOIN(" / ",TRUE,_xlfn.XLOOKUP(B205&amp;"|ATTR-27",'Product Variant Attribute'!$A$2:$A$2000&amp;"|"&amp;'Product Variant Attribute'!$D$2:$D$2000,'Product Variant Attribute'!$F$2:$F$2000,""),_xlfn.XLOOKUP(B205&amp;"|ATTR-24",'Product Variant Attribute'!$A$2:$A$2000&amp;"|"&amp;'Product Variant Attribute'!$D$2:$D$2000,'Product Variant Attribute'!$F$2:$F$2000,""))</f>
        <v/>
      </c>
      <c r="F205" s="11" t="s">
        <v>815</v>
      </c>
      <c r="G205" s="11" t="s">
        <v>826</v>
      </c>
      <c r="H205" s="13">
        <f t="shared" si="6"/>
        <v>1</v>
      </c>
      <c r="I205" s="16" t="str">
        <f>_xlfn.XLOOKUP(C205,Product!$A:$A,Product!$G:$G,"NOT FOUND")</f>
        <v>bộ</v>
      </c>
      <c r="J205" s="22">
        <v>142000</v>
      </c>
      <c r="K205" s="15" t="s">
        <v>1387</v>
      </c>
      <c r="L205" s="21" t="s">
        <v>1388</v>
      </c>
      <c r="M205" s="10" t="s">
        <v>983</v>
      </c>
      <c r="N205" s="12" t="s">
        <v>1217</v>
      </c>
      <c r="O205" t="str">
        <f t="shared" si="7"/>
        <v>INSERT INTO public.medical_supply_sellable_unit (code, price, quantity, sale_uom, product_variant_code) VALUES ('PRODUCT-00095-001-01', 142000, 1, 'Bộ', 'PRODUCT-00095-001');</v>
      </c>
    </row>
    <row r="206" spans="1:15" x14ac:dyDescent="0.25">
      <c r="A206" s="10" t="str">
        <f>B206&amp;"-"&amp;TEXT(COUNTIF(B$2:B206,B206),"00")</f>
        <v>PRODUCT-00096-001-01</v>
      </c>
      <c r="B206" s="11" t="s">
        <v>1815</v>
      </c>
      <c r="C206" s="10" t="str">
        <f>_xlfn.XLOOKUP(B206,'Product Variant'!$A:$A,'Product Variant'!$B:$B,"NOT FOUND")</f>
        <v>PRODUCT-00096</v>
      </c>
      <c r="D206" s="10" t="str">
        <f>_xlfn.XLOOKUP(B206,'Product Variant'!$A:$A,'Product Variant'!$C:$C,"NOT FOUND")</f>
        <v>[Hollister] Bộ túi hậu môn nhân tạo 2 mảnh - Khóa cuộn</v>
      </c>
      <c r="E206" s="10" t="str" cm="1">
        <f t="array" ref="E206">_xlfn.TEXTJOIN(" / ",TRUE,_xlfn.XLOOKUP(B206&amp;"|ATTR-27",'Product Variant Attribute'!$A$2:$A$2000&amp;"|"&amp;'Product Variant Attribute'!$D$2:$D$2000,'Product Variant Attribute'!$F$2:$F$2000,""),_xlfn.XLOOKUP(B206&amp;"|ATTR-24",'Product Variant Attribute'!$A$2:$A$2000&amp;"|"&amp;'Product Variant Attribute'!$D$2:$D$2000,'Product Variant Attribute'!$F$2:$F$2000,""))</f>
        <v/>
      </c>
      <c r="F206" s="11" t="s">
        <v>815</v>
      </c>
      <c r="G206" s="11" t="s">
        <v>826</v>
      </c>
      <c r="H206" s="13">
        <f t="shared" si="6"/>
        <v>1</v>
      </c>
      <c r="I206" s="16" t="str">
        <f>_xlfn.XLOOKUP(C206,Product!$A:$A,Product!$G:$G,"NOT FOUND")</f>
        <v>bộ</v>
      </c>
      <c r="J206" s="20">
        <v>142000</v>
      </c>
      <c r="K206" s="15" t="s">
        <v>1323</v>
      </c>
      <c r="L206" s="21">
        <v>135</v>
      </c>
      <c r="M206" s="10" t="s">
        <v>984</v>
      </c>
      <c r="N206" s="12">
        <v>114</v>
      </c>
      <c r="O206" t="str">
        <f t="shared" si="7"/>
        <v>INSERT INTO public.medical_supply_sellable_unit (code, price, quantity, sale_uom, product_variant_code) VALUES ('PRODUCT-00096-001-01', 142000, 1, 'Bộ', 'PRODUCT-00096-001');</v>
      </c>
    </row>
    <row r="207" spans="1:15" x14ac:dyDescent="0.25">
      <c r="A207" s="10" t="str">
        <f>B207&amp;"-"&amp;TEXT(COUNTIF(B$2:B207,B207),"00")</f>
        <v>PRODUCT-00097-001-01</v>
      </c>
      <c r="B207" s="11" t="s">
        <v>1816</v>
      </c>
      <c r="C207" s="10" t="str">
        <f>_xlfn.XLOOKUP(B207,'Product Variant'!$A:$A,'Product Variant'!$B:$B,"NOT FOUND")</f>
        <v>PRODUCT-00097</v>
      </c>
      <c r="D207" s="10" t="str">
        <f>_xlfn.XLOOKUP(B207,'Product Variant'!$A:$A,'Product Variant'!$C:$C,"NOT FOUND")</f>
        <v>[Hollister] Túi hậu môn nhân tạo 2 mảnh có bộ lọc khử mùi xả khí</v>
      </c>
      <c r="E207" s="10" t="str" cm="1">
        <f t="array" ref="E207">_xlfn.TEXTJOIN(" / ",TRUE,_xlfn.XLOOKUP(B207&amp;"|ATTR-27",'Product Variant Attribute'!$A$2:$A$2000&amp;"|"&amp;'Product Variant Attribute'!$D$2:$D$2000,'Product Variant Attribute'!$F$2:$F$2000,""),_xlfn.XLOOKUP(B207&amp;"|ATTR-24",'Product Variant Attribute'!$A$2:$A$2000&amp;"|"&amp;'Product Variant Attribute'!$D$2:$D$2000,'Product Variant Attribute'!$F$2:$F$2000,""))</f>
        <v/>
      </c>
      <c r="F207" s="11" t="s">
        <v>816</v>
      </c>
      <c r="G207" s="11" t="s">
        <v>959</v>
      </c>
      <c r="H207" s="13">
        <f t="shared" si="6"/>
        <v>10</v>
      </c>
      <c r="I207" s="16" t="str">
        <f>_xlfn.XLOOKUP(C207,Product!$A:$A,Product!$G:$G,"NOT FOUND")</f>
        <v>túi</v>
      </c>
      <c r="J207" s="22">
        <v>57000</v>
      </c>
      <c r="K207" s="15" t="s">
        <v>1389</v>
      </c>
      <c r="L207" s="21" t="s">
        <v>1390</v>
      </c>
      <c r="M207" s="10" t="s">
        <v>985</v>
      </c>
      <c r="N207" s="12" t="s">
        <v>1218</v>
      </c>
      <c r="O207" t="str">
        <f t="shared" si="7"/>
        <v>INSERT INTO public.medical_supply_sellable_unit (code, price, quantity, sale_uom, product_variant_code) VALUES ('PRODUCT-00097-001-01', 57000, 10, 'Hộp', 'PRODUCT-00097-001');</v>
      </c>
    </row>
    <row r="208" spans="1:15" x14ac:dyDescent="0.25">
      <c r="A208" s="10" t="str">
        <f>B208&amp;"-"&amp;TEXT(COUNTIF(B$2:B208,B208),"00")</f>
        <v>PRODUCT-00098-001-01</v>
      </c>
      <c r="B208" s="11" t="s">
        <v>1817</v>
      </c>
      <c r="C208" s="10" t="str">
        <f>_xlfn.XLOOKUP(B208,'Product Variant'!$A:$A,'Product Variant'!$B:$B,"NOT FOUND")</f>
        <v>PRODUCT-00098</v>
      </c>
      <c r="D208" s="10" t="str">
        <f>_xlfn.XLOOKUP(B208,'Product Variant'!$A:$A,'Product Variant'!$C:$C,"NOT FOUND")</f>
        <v>[Hollister] Túi hậu môn nhân tạo 2 mảnh dùng kèm đế rời</v>
      </c>
      <c r="E208" s="10" t="str" cm="1">
        <f t="array" ref="E208">_xlfn.TEXTJOIN(" / ",TRUE,_xlfn.XLOOKUP(B208&amp;"|ATTR-27",'Product Variant Attribute'!$A$2:$A$2000&amp;"|"&amp;'Product Variant Attribute'!$D$2:$D$2000,'Product Variant Attribute'!$F$2:$F$2000,""),_xlfn.XLOOKUP(B208&amp;"|ATTR-24",'Product Variant Attribute'!$A$2:$A$2000&amp;"|"&amp;'Product Variant Attribute'!$D$2:$D$2000,'Product Variant Attribute'!$F$2:$F$2000,""))</f>
        <v/>
      </c>
      <c r="F208" s="11" t="s">
        <v>816</v>
      </c>
      <c r="G208" s="11" t="s">
        <v>959</v>
      </c>
      <c r="H208" s="13">
        <f t="shared" si="6"/>
        <v>10</v>
      </c>
      <c r="I208" s="16" t="str">
        <f>_xlfn.XLOOKUP(C208,Product!$A:$A,Product!$G:$G,"NOT FOUND")</f>
        <v>túi</v>
      </c>
      <c r="J208" s="22">
        <v>45000</v>
      </c>
      <c r="K208" s="15" t="s">
        <v>1391</v>
      </c>
      <c r="L208" s="21" t="s">
        <v>1392</v>
      </c>
      <c r="M208" s="10" t="s">
        <v>986</v>
      </c>
      <c r="N208" s="12" t="s">
        <v>1219</v>
      </c>
      <c r="O208" t="str">
        <f t="shared" si="7"/>
        <v>INSERT INTO public.medical_supply_sellable_unit (code, price, quantity, sale_uom, product_variant_code) VALUES ('PRODUCT-00098-001-01', 45000, 10, 'Hộp', 'PRODUCT-00098-001');</v>
      </c>
    </row>
    <row r="209" spans="1:15" x14ac:dyDescent="0.25">
      <c r="A209" s="10" t="str">
        <f>B209&amp;"-"&amp;TEXT(COUNTIF(B$2:B209,B209),"00")</f>
        <v>PRODUCT-00099-001-01</v>
      </c>
      <c r="B209" s="11" t="s">
        <v>1818</v>
      </c>
      <c r="C209" s="10" t="str">
        <f>_xlfn.XLOOKUP(B209,'Product Variant'!$A:$A,'Product Variant'!$B:$B,"NOT FOUND")</f>
        <v>PRODUCT-00099</v>
      </c>
      <c r="D209" s="10" t="str">
        <f>_xlfn.XLOOKUP(B209,'Product Variant'!$A:$A,'Product Variant'!$C:$C,"NOT FOUND")</f>
        <v>[Mepro] Bộ túi hậu môn nhân tạo 2 mảnh - Kẹp rời</v>
      </c>
      <c r="E209" s="10" t="str" cm="1">
        <f t="array" ref="E209">_xlfn.TEXTJOIN(" / ",TRUE,_xlfn.XLOOKUP(B209&amp;"|ATTR-27",'Product Variant Attribute'!$A$2:$A$2000&amp;"|"&amp;'Product Variant Attribute'!$D$2:$D$2000,'Product Variant Attribute'!$F$2:$F$2000,""),_xlfn.XLOOKUP(B209&amp;"|ATTR-24",'Product Variant Attribute'!$A$2:$A$2000&amp;"|"&amp;'Product Variant Attribute'!$D$2:$D$2000,'Product Variant Attribute'!$F$2:$F$2000,""))</f>
        <v/>
      </c>
      <c r="F209" s="11" t="s">
        <v>815</v>
      </c>
      <c r="G209" s="11" t="s">
        <v>826</v>
      </c>
      <c r="H209" s="13">
        <f t="shared" si="6"/>
        <v>1</v>
      </c>
      <c r="I209" s="16" t="str">
        <f>_xlfn.XLOOKUP(C209,Product!$A:$A,Product!$G:$G,"NOT FOUND")</f>
        <v>bộ</v>
      </c>
      <c r="J209" s="22">
        <v>97000</v>
      </c>
      <c r="K209" s="15" t="s">
        <v>1393</v>
      </c>
      <c r="L209" s="21" t="s">
        <v>1394</v>
      </c>
      <c r="M209" s="10" t="s">
        <v>987</v>
      </c>
      <c r="N209" s="12" t="s">
        <v>1220</v>
      </c>
      <c r="O209" t="str">
        <f t="shared" si="7"/>
        <v>INSERT INTO public.medical_supply_sellable_unit (code, price, quantity, sale_uom, product_variant_code) VALUES ('PRODUCT-00099-001-01', 97000, 1, 'Bộ', 'PRODUCT-00099-001');</v>
      </c>
    </row>
    <row r="210" spans="1:15" x14ac:dyDescent="0.25">
      <c r="A210" s="10" t="str">
        <f>B210&amp;"-"&amp;TEXT(COUNTIF(B$2:B210,B210),"00")</f>
        <v>PRODUCT-00100-001-01</v>
      </c>
      <c r="B210" s="11" t="s">
        <v>1819</v>
      </c>
      <c r="C210" s="10" t="str">
        <f>_xlfn.XLOOKUP(B210,'Product Variant'!$A:$A,'Product Variant'!$B:$B,"NOT FOUND")</f>
        <v>PRODUCT-00100</v>
      </c>
      <c r="D210" s="10" t="str">
        <f>_xlfn.XLOOKUP(B210,'Product Variant'!$A:$A,'Product Variant'!$C:$C,"NOT FOUND")</f>
        <v>[Ostomy Care] Đế rời túi hậu môn nhân tạo 2 mảnh viền vải không dệt</v>
      </c>
      <c r="E210" s="10" t="str" cm="1">
        <f t="array" ref="E210">_xlfn.TEXTJOIN(" / ",TRUE,_xlfn.XLOOKUP(B210&amp;"|ATTR-27",'Product Variant Attribute'!$A$2:$A$2000&amp;"|"&amp;'Product Variant Attribute'!$D$2:$D$2000,'Product Variant Attribute'!$F$2:$F$2000,""),_xlfn.XLOOKUP(B210&amp;"|ATTR-24",'Product Variant Attribute'!$A$2:$A$2000&amp;"|"&amp;'Product Variant Attribute'!$D$2:$D$2000,'Product Variant Attribute'!$F$2:$F$2000,""))</f>
        <v/>
      </c>
      <c r="F210" s="11" t="s">
        <v>816</v>
      </c>
      <c r="G210" s="11" t="s">
        <v>967</v>
      </c>
      <c r="H210" s="13">
        <f t="shared" si="6"/>
        <v>5</v>
      </c>
      <c r="I210" s="16" t="str">
        <f>_xlfn.XLOOKUP(C210,Product!$A:$A,Product!$G:$G,"NOT FOUND")</f>
        <v>chiếc</v>
      </c>
      <c r="J210" s="20">
        <v>48000</v>
      </c>
      <c r="K210" s="15" t="s">
        <v>1327</v>
      </c>
      <c r="L210" s="21">
        <v>246</v>
      </c>
      <c r="M210" s="10" t="s">
        <v>988</v>
      </c>
      <c r="N210" s="12" t="s">
        <v>1221</v>
      </c>
      <c r="O210" t="str">
        <f t="shared" si="7"/>
        <v>INSERT INTO public.medical_supply_sellable_unit (code, price, quantity, sale_uom, product_variant_code) VALUES ('PRODUCT-00100-001-01', 48000, 5, 'Hộp', 'PRODUCT-00100-001');</v>
      </c>
    </row>
    <row r="211" spans="1:15" x14ac:dyDescent="0.25">
      <c r="A211" s="10" t="str">
        <f>B211&amp;"-"&amp;TEXT(COUNTIF(B$2:B211,B211),"00")</f>
        <v>PRODUCT-00101-001-01</v>
      </c>
      <c r="B211" s="11" t="s">
        <v>1820</v>
      </c>
      <c r="C211" s="10" t="str">
        <f>_xlfn.XLOOKUP(B211,'Product Variant'!$A:$A,'Product Variant'!$B:$B,"NOT FOUND")</f>
        <v>PRODUCT-00101</v>
      </c>
      <c r="D211" s="10" t="str">
        <f>_xlfn.XLOOKUP(B211,'Product Variant'!$A:$A,'Product Variant'!$C:$C,"NOT FOUND")</f>
        <v>[Mepro] Bộ túi hậu môn nhân tạo 2 mảnh - Khóa cuộn</v>
      </c>
      <c r="E211" s="10" t="str" cm="1">
        <f t="array" ref="E211">_xlfn.TEXTJOIN(" / ",TRUE,_xlfn.XLOOKUP(B211&amp;"|ATTR-27",'Product Variant Attribute'!$A$2:$A$2000&amp;"|"&amp;'Product Variant Attribute'!$D$2:$D$2000,'Product Variant Attribute'!$F$2:$F$2000,""),_xlfn.XLOOKUP(B211&amp;"|ATTR-24",'Product Variant Attribute'!$A$2:$A$2000&amp;"|"&amp;'Product Variant Attribute'!$D$2:$D$2000,'Product Variant Attribute'!$F$2:$F$2000,""))</f>
        <v/>
      </c>
      <c r="F211" s="11" t="s">
        <v>815</v>
      </c>
      <c r="G211" s="11" t="s">
        <v>826</v>
      </c>
      <c r="H211" s="13">
        <f t="shared" si="6"/>
        <v>1</v>
      </c>
      <c r="I211" s="16" t="str">
        <f>_xlfn.XLOOKUP(C211,Product!$A:$A,Product!$G:$G,"NOT FOUND")</f>
        <v>bộ</v>
      </c>
      <c r="J211" s="20">
        <v>97000</v>
      </c>
      <c r="K211" s="15" t="s">
        <v>1323</v>
      </c>
      <c r="L211" s="21">
        <v>82</v>
      </c>
      <c r="M211" s="10" t="s">
        <v>989</v>
      </c>
      <c r="N211" s="12">
        <v>117</v>
      </c>
      <c r="O211" t="str">
        <f t="shared" si="7"/>
        <v>INSERT INTO public.medical_supply_sellable_unit (code, price, quantity, sale_uom, product_variant_code) VALUES ('PRODUCT-00101-001-01', 97000, 1, 'Bộ', 'PRODUCT-00101-001');</v>
      </c>
    </row>
    <row r="212" spans="1:15" x14ac:dyDescent="0.25">
      <c r="A212" s="10" t="str">
        <f>B212&amp;"-"&amp;TEXT(COUNTIF(B$2:B212,B212),"00")</f>
        <v>PRODUCT-00102-001-01</v>
      </c>
      <c r="B212" s="11" t="s">
        <v>1821</v>
      </c>
      <c r="C212" s="10" t="str">
        <f>_xlfn.XLOOKUP(B212,'Product Variant'!$A:$A,'Product Variant'!$B:$B,"NOT FOUND")</f>
        <v>PRODUCT-00102</v>
      </c>
      <c r="D212" s="10" t="str">
        <f>_xlfn.XLOOKUP(B212,'Product Variant'!$A:$A,'Product Variant'!$C:$C,"NOT FOUND")</f>
        <v>[Mepro] Túi hậu môn nhân tạo 2 mảnh - Kẹp rời</v>
      </c>
      <c r="E212" s="10" t="str" cm="1">
        <f t="array" ref="E212">_xlfn.TEXTJOIN(" / ",TRUE,_xlfn.XLOOKUP(B212&amp;"|ATTR-27",'Product Variant Attribute'!$A$2:$A$2000&amp;"|"&amp;'Product Variant Attribute'!$D$2:$D$2000,'Product Variant Attribute'!$F$2:$F$2000,""),_xlfn.XLOOKUP(B212&amp;"|ATTR-24",'Product Variant Attribute'!$A$2:$A$2000&amp;"|"&amp;'Product Variant Attribute'!$D$2:$D$2000,'Product Variant Attribute'!$F$2:$F$2000,""))</f>
        <v/>
      </c>
      <c r="F212" s="11" t="s">
        <v>816</v>
      </c>
      <c r="G212" s="11" t="s">
        <v>962</v>
      </c>
      <c r="H212" s="13">
        <f t="shared" si="6"/>
        <v>15</v>
      </c>
      <c r="I212" s="16" t="str">
        <f>_xlfn.XLOOKUP(C212,Product!$A:$A,Product!$G:$G,"NOT FOUND")</f>
        <v>túi</v>
      </c>
      <c r="J212" s="22">
        <v>39000</v>
      </c>
      <c r="K212" s="15" t="s">
        <v>1395</v>
      </c>
      <c r="L212" s="21" t="s">
        <v>1396</v>
      </c>
      <c r="M212" s="10" t="s">
        <v>990</v>
      </c>
      <c r="N212" s="12" t="s">
        <v>1222</v>
      </c>
      <c r="O212" t="str">
        <f t="shared" si="7"/>
        <v>INSERT INTO public.medical_supply_sellable_unit (code, price, quantity, sale_uom, product_variant_code) VALUES ('PRODUCT-00102-001-01', 39000, 15, 'Hộp', 'PRODUCT-00102-001');</v>
      </c>
    </row>
    <row r="213" spans="1:15" x14ac:dyDescent="0.25">
      <c r="A213" s="10" t="str">
        <f>B213&amp;"-"&amp;TEXT(COUNTIF(B$2:B213,B213),"00")</f>
        <v>PRODUCT-00103-001-01</v>
      </c>
      <c r="B213" s="11" t="s">
        <v>1822</v>
      </c>
      <c r="C213" s="10" t="str">
        <f>_xlfn.XLOOKUP(B213,'Product Variant'!$A:$A,'Product Variant'!$B:$B,"NOT FOUND")</f>
        <v>PRODUCT-00103</v>
      </c>
      <c r="D213" s="10" t="str">
        <f>_xlfn.XLOOKUP(B213,'Product Variant'!$A:$A,'Product Variant'!$C:$C,"NOT FOUND")</f>
        <v>[Mepro] Túi hậu môn nhân tạo 2 mảnh - Khóa cuộn</v>
      </c>
      <c r="E213" s="10" t="str" cm="1">
        <f t="array" ref="E213">_xlfn.TEXTJOIN(" / ",TRUE,_xlfn.XLOOKUP(B213&amp;"|ATTR-27",'Product Variant Attribute'!$A$2:$A$2000&amp;"|"&amp;'Product Variant Attribute'!$D$2:$D$2000,'Product Variant Attribute'!$F$2:$F$2000,""),_xlfn.XLOOKUP(B213&amp;"|ATTR-24",'Product Variant Attribute'!$A$2:$A$2000&amp;"|"&amp;'Product Variant Attribute'!$D$2:$D$2000,'Product Variant Attribute'!$F$2:$F$2000,""))</f>
        <v/>
      </c>
      <c r="F213" s="11" t="s">
        <v>816</v>
      </c>
      <c r="G213" s="11" t="s">
        <v>962</v>
      </c>
      <c r="H213" s="13">
        <f t="shared" si="6"/>
        <v>15</v>
      </c>
      <c r="I213" s="16" t="str">
        <f>_xlfn.XLOOKUP(C213,Product!$A:$A,Product!$G:$G,"NOT FOUND")</f>
        <v>túi</v>
      </c>
      <c r="J213" s="22">
        <v>49000</v>
      </c>
      <c r="K213" s="15" t="s">
        <v>1397</v>
      </c>
      <c r="L213" s="21" t="s">
        <v>1398</v>
      </c>
      <c r="M213" s="10" t="s">
        <v>991</v>
      </c>
      <c r="N213" s="12" t="s">
        <v>1223</v>
      </c>
      <c r="O213" t="str">
        <f t="shared" si="7"/>
        <v>INSERT INTO public.medical_supply_sellable_unit (code, price, quantity, sale_uom, product_variant_code) VALUES ('PRODUCT-00103-001-01', 49000, 15, 'Hộp', 'PRODUCT-00103-001');</v>
      </c>
    </row>
    <row r="214" spans="1:15" x14ac:dyDescent="0.25">
      <c r="A214" s="10" t="str">
        <f>B214&amp;"-"&amp;TEXT(COUNTIF(B$2:B214,B214),"00")</f>
        <v>PRODUCT-00104-001-01</v>
      </c>
      <c r="B214" s="11" t="s">
        <v>1823</v>
      </c>
      <c r="C214" s="10" t="str">
        <f>_xlfn.XLOOKUP(B214,'Product Variant'!$A:$A,'Product Variant'!$B:$B,"NOT FOUND")</f>
        <v>PRODUCT-00104</v>
      </c>
      <c r="D214" s="10" t="str">
        <f>_xlfn.XLOOKUP(B214,'Product Variant'!$A:$A,'Product Variant'!$C:$C,"NOT FOUND")</f>
        <v>[SeaSight] Đế rời túi hậu môn nhân tạo 2 mảnh không viền vải</v>
      </c>
      <c r="E214" s="10" t="str" cm="1">
        <f t="array" ref="E214">_xlfn.TEXTJOIN(" / ",TRUE,_xlfn.XLOOKUP(B214&amp;"|ATTR-27",'Product Variant Attribute'!$A$2:$A$2000&amp;"|"&amp;'Product Variant Attribute'!$D$2:$D$2000,'Product Variant Attribute'!$F$2:$F$2000,""),_xlfn.XLOOKUP(B214&amp;"|ATTR-24",'Product Variant Attribute'!$A$2:$A$2000&amp;"|"&amp;'Product Variant Attribute'!$D$2:$D$2000,'Product Variant Attribute'!$F$2:$F$2000,""))</f>
        <v/>
      </c>
      <c r="F214" s="11" t="s">
        <v>816</v>
      </c>
      <c r="G214" s="11" t="s">
        <v>967</v>
      </c>
      <c r="H214" s="13">
        <f t="shared" si="6"/>
        <v>5</v>
      </c>
      <c r="I214" s="16" t="str">
        <f>_xlfn.XLOOKUP(C214,Product!$A:$A,Product!$G:$G,"NOT FOUND")</f>
        <v>chiếc</v>
      </c>
      <c r="J214" s="20">
        <v>48000</v>
      </c>
      <c r="K214" s="15" t="s">
        <v>1323</v>
      </c>
      <c r="L214" s="21">
        <v>360</v>
      </c>
      <c r="M214" s="10" t="s">
        <v>992</v>
      </c>
      <c r="N214" s="12">
        <v>209</v>
      </c>
      <c r="O214" t="str">
        <f t="shared" si="7"/>
        <v>INSERT INTO public.medical_supply_sellable_unit (code, price, quantity, sale_uom, product_variant_code) VALUES ('PRODUCT-00104-001-01', 48000, 5, 'Hộp', 'PRODUCT-00104-001');</v>
      </c>
    </row>
    <row r="215" spans="1:15" x14ac:dyDescent="0.25">
      <c r="A215" s="10" t="str">
        <f>B215&amp;"-"&amp;TEXT(COUNTIF(B$2:B215,B215),"00")</f>
        <v>PRODUCT-00105-001-01</v>
      </c>
      <c r="B215" s="11" t="s">
        <v>1824</v>
      </c>
      <c r="C215" s="10" t="str">
        <f>_xlfn.XLOOKUP(B215,'Product Variant'!$A:$A,'Product Variant'!$B:$B,"NOT FOUND")</f>
        <v>PRODUCT-00105</v>
      </c>
      <c r="D215" s="10" t="str">
        <f>_xlfn.XLOOKUP(B215,'Product Variant'!$A:$A,'Product Variant'!$C:$C,"NOT FOUND")</f>
        <v>[SeaSight] Túi nước tiểu nhân tạo 1 mảnh</v>
      </c>
      <c r="E215" s="10" t="str" cm="1">
        <f t="array" ref="E215">_xlfn.TEXTJOIN(" / ",TRUE,_xlfn.XLOOKUP(B215&amp;"|ATTR-27",'Product Variant Attribute'!$A$2:$A$2000&amp;"|"&amp;'Product Variant Attribute'!$D$2:$D$2000,'Product Variant Attribute'!$F$2:$F$2000,""),_xlfn.XLOOKUP(B215&amp;"|ATTR-24",'Product Variant Attribute'!$A$2:$A$2000&amp;"|"&amp;'Product Variant Attribute'!$D$2:$D$2000,'Product Variant Attribute'!$F$2:$F$2000,""))</f>
        <v/>
      </c>
      <c r="F215" s="11" t="s">
        <v>816</v>
      </c>
      <c r="G215" s="11" t="s">
        <v>993</v>
      </c>
      <c r="H215" s="13">
        <f t="shared" si="6"/>
        <v>15</v>
      </c>
      <c r="I215" s="16" t="str">
        <f>_xlfn.XLOOKUP(C215,Product!$A:$A,Product!$G:$G,"NOT FOUND")</f>
        <v>chiếc</v>
      </c>
      <c r="J215" s="20">
        <v>52000</v>
      </c>
      <c r="K215" s="15" t="s">
        <v>1327</v>
      </c>
      <c r="L215" s="21">
        <v>116</v>
      </c>
      <c r="M215" s="10" t="s">
        <v>994</v>
      </c>
      <c r="N215" s="12" t="s">
        <v>1224</v>
      </c>
      <c r="O215" t="str">
        <f t="shared" si="7"/>
        <v>INSERT INTO public.medical_supply_sellable_unit (code, price, quantity, sale_uom, product_variant_code) VALUES ('PRODUCT-00105-001-01', 52000, 15, 'Hộp', 'PRODUCT-00105-001');</v>
      </c>
    </row>
    <row r="216" spans="1:15" x14ac:dyDescent="0.25">
      <c r="A216" s="10" t="str">
        <f>B216&amp;"-"&amp;TEXT(COUNTIF(B$2:B216,B216),"00")</f>
        <v>PRODUCT-00106-001-01</v>
      </c>
      <c r="B216" s="11" t="s">
        <v>1825</v>
      </c>
      <c r="C216" s="10" t="str">
        <f>_xlfn.XLOOKUP(B216,'Product Variant'!$A:$A,'Product Variant'!$B:$B,"NOT FOUND")</f>
        <v>PRODUCT-00106</v>
      </c>
      <c r="D216" s="10" t="str">
        <f>_xlfn.XLOOKUP(B216,'Product Variant'!$A:$A,'Product Variant'!$C:$C,"NOT FOUND")</f>
        <v>Keo cong cắt đế hậu môn nhân tạo</v>
      </c>
      <c r="E216" s="10" t="str" cm="1">
        <f t="array" ref="E216">_xlfn.TEXTJOIN(" / ",TRUE,_xlfn.XLOOKUP(B216&amp;"|ATTR-27",'Product Variant Attribute'!$A$2:$A$2000&amp;"|"&amp;'Product Variant Attribute'!$D$2:$D$2000,'Product Variant Attribute'!$F$2:$F$2000,""),_xlfn.XLOOKUP(B216&amp;"|ATTR-24",'Product Variant Attribute'!$A$2:$A$2000&amp;"|"&amp;'Product Variant Attribute'!$D$2:$D$2000,'Product Variant Attribute'!$F$2:$F$2000,""))</f>
        <v/>
      </c>
      <c r="F216" s="11" t="s">
        <v>818</v>
      </c>
      <c r="G216" s="11" t="s">
        <v>927</v>
      </c>
      <c r="H216" s="13">
        <f t="shared" si="6"/>
        <v>1</v>
      </c>
      <c r="I216" s="16" t="str">
        <f>_xlfn.XLOOKUP(C216,Product!$A:$A,Product!$G:$G,"NOT FOUND")</f>
        <v>cái</v>
      </c>
      <c r="J216" s="20">
        <v>50000</v>
      </c>
      <c r="K216" s="15" t="s">
        <v>1322</v>
      </c>
      <c r="L216" s="21">
        <v>268</v>
      </c>
      <c r="M216" s="10" t="s">
        <v>995</v>
      </c>
      <c r="N216" s="12">
        <v>275</v>
      </c>
      <c r="O216" t="str">
        <f t="shared" si="7"/>
        <v>INSERT INTO public.medical_supply_sellable_unit (code, price, quantity, sale_uom, product_variant_code) VALUES ('PRODUCT-00106-001-01', 50000, 1, 'Cái', 'PRODUCT-00106-001');</v>
      </c>
    </row>
    <row r="217" spans="1:15" x14ac:dyDescent="0.25">
      <c r="A217" s="10" t="str">
        <f>B217&amp;"-"&amp;TEXT(COUNTIF(B$2:B217,B217),"00")</f>
        <v>PRODUCT-00107-001-01</v>
      </c>
      <c r="B217" s="11" t="s">
        <v>1826</v>
      </c>
      <c r="C217" s="10" t="str">
        <f>_xlfn.XLOOKUP(B217,'Product Variant'!$A:$A,'Product Variant'!$B:$B,"NOT FOUND")</f>
        <v>PRODUCT-00107</v>
      </c>
      <c r="D217" s="10" t="str">
        <f>_xlfn.XLOOKUP(B217,'Product Variant'!$A:$A,'Product Variant'!$C:$C,"NOT FOUND")</f>
        <v>[Ostomy Care] Bộ túi hậu môn nhân tạo 2 mảnh - Khóa cuộn</v>
      </c>
      <c r="E217" s="10" t="str" cm="1">
        <f t="array" ref="E217">_xlfn.TEXTJOIN(" / ",TRUE,_xlfn.XLOOKUP(B217&amp;"|ATTR-27",'Product Variant Attribute'!$A$2:$A$2000&amp;"|"&amp;'Product Variant Attribute'!$D$2:$D$2000,'Product Variant Attribute'!$F$2:$F$2000,""),_xlfn.XLOOKUP(B217&amp;"|ATTR-24",'Product Variant Attribute'!$A$2:$A$2000&amp;"|"&amp;'Product Variant Attribute'!$D$2:$D$2000,'Product Variant Attribute'!$F$2:$F$2000,""))</f>
        <v/>
      </c>
      <c r="F217" s="11" t="s">
        <v>815</v>
      </c>
      <c r="G217" s="11" t="s">
        <v>826</v>
      </c>
      <c r="H217" s="13">
        <f t="shared" si="6"/>
        <v>1</v>
      </c>
      <c r="I217" s="16" t="str">
        <f>_xlfn.XLOOKUP(C217,Product!$A:$A,Product!$G:$G,"NOT FOUND")</f>
        <v>bộ</v>
      </c>
      <c r="J217" s="20">
        <v>88000</v>
      </c>
      <c r="K217" s="15" t="s">
        <v>1323</v>
      </c>
      <c r="L217" s="21">
        <v>139</v>
      </c>
      <c r="M217" s="10" t="s">
        <v>996</v>
      </c>
      <c r="N217" s="12">
        <v>118</v>
      </c>
      <c r="O217" t="str">
        <f t="shared" si="7"/>
        <v>INSERT INTO public.medical_supply_sellable_unit (code, price, quantity, sale_uom, product_variant_code) VALUES ('PRODUCT-00107-001-01', 88000, 1, 'Bộ', 'PRODUCT-00107-001');</v>
      </c>
    </row>
    <row r="218" spans="1:15" x14ac:dyDescent="0.25">
      <c r="A218" s="10" t="str">
        <f>B218&amp;"-"&amp;TEXT(COUNTIF(B$2:B218,B218),"00")</f>
        <v>PRODUCT-00108-001-01</v>
      </c>
      <c r="B218" s="11" t="s">
        <v>1827</v>
      </c>
      <c r="C218" s="10" t="str">
        <f>_xlfn.XLOOKUP(B218,'Product Variant'!$A:$A,'Product Variant'!$B:$B,"NOT FOUND")</f>
        <v>PRODUCT-00108</v>
      </c>
      <c r="D218" s="10" t="str">
        <f>_xlfn.XLOOKUP(B218,'Product Variant'!$A:$A,'Product Variant'!$C:$C,"NOT FOUND")</f>
        <v>[Ostomy Care] Túi hậu môn nhân tạo 2 mảnh - Khóa dán liền</v>
      </c>
      <c r="E218" s="10" t="str" cm="1">
        <f t="array" ref="E218">_xlfn.TEXTJOIN(" / ",TRUE,_xlfn.XLOOKUP(B218&amp;"|ATTR-27",'Product Variant Attribute'!$A$2:$A$2000&amp;"|"&amp;'Product Variant Attribute'!$D$2:$D$2000,'Product Variant Attribute'!$F$2:$F$2000,""),_xlfn.XLOOKUP(B218&amp;"|ATTR-24",'Product Variant Attribute'!$A$2:$A$2000&amp;"|"&amp;'Product Variant Attribute'!$D$2:$D$2000,'Product Variant Attribute'!$F$2:$F$2000,""))</f>
        <v/>
      </c>
      <c r="F218" s="11" t="s">
        <v>815</v>
      </c>
      <c r="G218" s="11" t="s">
        <v>826</v>
      </c>
      <c r="H218" s="13">
        <f t="shared" si="6"/>
        <v>1</v>
      </c>
      <c r="I218" s="16" t="str">
        <f>_xlfn.XLOOKUP(C218,Product!$A:$A,Product!$G:$G,"NOT FOUND")</f>
        <v>bộ</v>
      </c>
      <c r="J218" s="22">
        <v>40000</v>
      </c>
      <c r="K218" s="15" t="s">
        <v>1399</v>
      </c>
      <c r="L218" s="21" t="s">
        <v>1400</v>
      </c>
      <c r="M218" s="10" t="s">
        <v>997</v>
      </c>
      <c r="N218" s="12" t="s">
        <v>1225</v>
      </c>
      <c r="O218" t="str">
        <f t="shared" si="7"/>
        <v>INSERT INTO public.medical_supply_sellable_unit (code, price, quantity, sale_uom, product_variant_code) VALUES ('PRODUCT-00108-001-01', 40000, 1, 'Bộ', 'PRODUCT-00108-001');</v>
      </c>
    </row>
    <row r="219" spans="1:15" x14ac:dyDescent="0.25">
      <c r="A219" s="10" t="str">
        <f>B219&amp;"-"&amp;TEXT(COUNTIF(B$2:B219,B219),"00")</f>
        <v>PRODUCT-00109-001-01</v>
      </c>
      <c r="B219" s="11" t="s">
        <v>1828</v>
      </c>
      <c r="C219" s="10" t="str">
        <f>_xlfn.XLOOKUP(B219,'Product Variant'!$A:$A,'Product Variant'!$B:$B,"NOT FOUND")</f>
        <v>PRODUCT-00109</v>
      </c>
      <c r="D219" s="10" t="str">
        <f>_xlfn.XLOOKUP(B219,'Product Variant'!$A:$A,'Product Variant'!$C:$C,"NOT FOUND")</f>
        <v>Túi hậu môn nhân tạo 2 mảnh</v>
      </c>
      <c r="E219" s="10" t="str" cm="1">
        <f t="array" ref="E219">_xlfn.TEXTJOIN(" / ",TRUE,_xlfn.XLOOKUP(B219&amp;"|ATTR-27",'Product Variant Attribute'!$A$2:$A$2000&amp;"|"&amp;'Product Variant Attribute'!$D$2:$D$2000,'Product Variant Attribute'!$F$2:$F$2000,""),_xlfn.XLOOKUP(B219&amp;"|ATTR-24",'Product Variant Attribute'!$A$2:$A$2000&amp;"|"&amp;'Product Variant Attribute'!$D$2:$D$2000,'Product Variant Attribute'!$F$2:$F$2000,""))</f>
        <v/>
      </c>
      <c r="F219" s="11" t="s">
        <v>816</v>
      </c>
      <c r="G219" s="11" t="s">
        <v>998</v>
      </c>
      <c r="H219" s="13">
        <f t="shared" si="6"/>
        <v>20</v>
      </c>
      <c r="I219" s="16" t="str">
        <f>_xlfn.XLOOKUP(C219,Product!$A:$A,Product!$G:$G,"NOT FOUND")</f>
        <v>chiếc</v>
      </c>
      <c r="J219" s="20">
        <v>110000</v>
      </c>
      <c r="K219" s="15" t="s">
        <v>1323</v>
      </c>
      <c r="L219" s="21">
        <v>26</v>
      </c>
      <c r="M219" s="10" t="s">
        <v>112</v>
      </c>
      <c r="N219" s="12">
        <v>488</v>
      </c>
      <c r="O219" t="str">
        <f t="shared" si="7"/>
        <v>INSERT INTO public.medical_supply_sellable_unit (code, price, quantity, sale_uom, product_variant_code) VALUES ('PRODUCT-00109-001-01', 110000, 20, 'Hộp', 'PRODUCT-00109-001');</v>
      </c>
    </row>
    <row r="220" spans="1:15" x14ac:dyDescent="0.25">
      <c r="A220" s="10" t="str">
        <f>B220&amp;"-"&amp;TEXT(COUNTIF(B$2:B220,B220),"00")</f>
        <v>PRODUCT-00110-001-01</v>
      </c>
      <c r="B220" s="11" t="s">
        <v>1829</v>
      </c>
      <c r="C220" s="10" t="str">
        <f>_xlfn.XLOOKUP(B220,'Product Variant'!$A:$A,'Product Variant'!$B:$B,"NOT FOUND")</f>
        <v>PRODUCT-00110</v>
      </c>
      <c r="D220" s="10" t="str">
        <f>_xlfn.XLOOKUP(B220,'Product Variant'!$A:$A,'Product Variant'!$C:$C,"NOT FOUND")</f>
        <v>[Bicakcilar] Dụng cụ tập thở phế dung kế - B-SPIRO 5000</v>
      </c>
      <c r="E220" s="10" t="str" cm="1">
        <f t="array" ref="E220">_xlfn.TEXTJOIN(" / ",TRUE,_xlfn.XLOOKUP(B220&amp;"|ATTR-27",'Product Variant Attribute'!$A$2:$A$2000&amp;"|"&amp;'Product Variant Attribute'!$D$2:$D$2000,'Product Variant Attribute'!$F$2:$F$2000,""),_xlfn.XLOOKUP(B220&amp;"|ATTR-24",'Product Variant Attribute'!$A$2:$A$2000&amp;"|"&amp;'Product Variant Attribute'!$D$2:$D$2000,'Product Variant Attribute'!$F$2:$F$2000,""))</f>
        <v/>
      </c>
      <c r="F220" s="11" t="s">
        <v>815</v>
      </c>
      <c r="G220" s="11" t="s">
        <v>826</v>
      </c>
      <c r="H220" s="13">
        <f t="shared" si="6"/>
        <v>1</v>
      </c>
      <c r="I220" s="16" t="str">
        <f>_xlfn.XLOOKUP(C220,Product!$A:$A,Product!$G:$G,"NOT FOUND")</f>
        <v>bộ</v>
      </c>
      <c r="J220" s="20">
        <v>280000</v>
      </c>
      <c r="K220" s="15" t="s">
        <v>1323</v>
      </c>
      <c r="L220" s="21">
        <v>221</v>
      </c>
      <c r="M220" s="10" t="s">
        <v>999</v>
      </c>
      <c r="N220" s="12">
        <v>223</v>
      </c>
      <c r="O220" t="str">
        <f t="shared" si="7"/>
        <v>INSERT INTO public.medical_supply_sellable_unit (code, price, quantity, sale_uom, product_variant_code) VALUES ('PRODUCT-00110-001-01', 280000, 1, 'Bộ', 'PRODUCT-00110-001');</v>
      </c>
    </row>
    <row r="221" spans="1:15" x14ac:dyDescent="0.25">
      <c r="A221" s="10" t="str">
        <f>B221&amp;"-"&amp;TEXT(COUNTIF(B$2:B221,B221),"00")</f>
        <v>PRODUCT-00111-001-01</v>
      </c>
      <c r="B221" s="11" t="s">
        <v>1830</v>
      </c>
      <c r="C221" s="10" t="str">
        <f>_xlfn.XLOOKUP(B221,'Product Variant'!$A:$A,'Product Variant'!$B:$B,"NOT FOUND")</f>
        <v>PRODUCT-00111</v>
      </c>
      <c r="D221" s="10" t="str">
        <f>_xlfn.XLOOKUP(B221,'Product Variant'!$A:$A,'Product Variant'!$C:$C,"NOT FOUND")</f>
        <v>[Biotek] Mask thanh quản 1 nòng - Laryngeal Mask Airway</v>
      </c>
      <c r="E221" s="10" t="str" cm="1">
        <f t="array" ref="E221">_xlfn.TEXTJOIN(" / ",TRUE,_xlfn.XLOOKUP(B221&amp;"|ATTR-27",'Product Variant Attribute'!$A$2:$A$2000&amp;"|"&amp;'Product Variant Attribute'!$D$2:$D$2000,'Product Variant Attribute'!$F$2:$F$2000,""),_xlfn.XLOOKUP(B221&amp;"|ATTR-24",'Product Variant Attribute'!$A$2:$A$2000&amp;"|"&amp;'Product Variant Attribute'!$D$2:$D$2000,'Product Variant Attribute'!$F$2:$F$2000,""))</f>
        <v>Số 3</v>
      </c>
      <c r="F221" s="11" t="s">
        <v>818</v>
      </c>
      <c r="G221" s="11" t="s">
        <v>927</v>
      </c>
      <c r="H221" s="13">
        <f t="shared" si="6"/>
        <v>1</v>
      </c>
      <c r="I221" s="16" t="str">
        <f>_xlfn.XLOOKUP(C221,Product!$A:$A,Product!$G:$G,"NOT FOUND")</f>
        <v>cái</v>
      </c>
      <c r="J221" s="20">
        <v>300000</v>
      </c>
      <c r="K221" s="15" t="s">
        <v>1327</v>
      </c>
      <c r="L221" s="21">
        <v>543</v>
      </c>
      <c r="M221" s="10" t="s">
        <v>1000</v>
      </c>
      <c r="N221" s="12">
        <v>283</v>
      </c>
      <c r="O221" t="str">
        <f t="shared" si="7"/>
        <v>INSERT INTO public.medical_supply_sellable_unit (code, price, quantity, sale_uom, product_variant_code) VALUES ('PRODUCT-00111-001-01', 300000, 1, 'Cái', 'PRODUCT-00111-001');</v>
      </c>
    </row>
    <row r="222" spans="1:15" x14ac:dyDescent="0.25">
      <c r="A222" s="10" t="str">
        <f>B222&amp;"-"&amp;TEXT(COUNTIF(B$2:B222,B222),"00")</f>
        <v>PRODUCT-00111-002-01</v>
      </c>
      <c r="B222" s="11" t="s">
        <v>1831</v>
      </c>
      <c r="C222" s="10" t="str">
        <f>_xlfn.XLOOKUP(B222,'Product Variant'!$A:$A,'Product Variant'!$B:$B,"NOT FOUND")</f>
        <v>PRODUCT-00111</v>
      </c>
      <c r="D222" s="10" t="str">
        <f>_xlfn.XLOOKUP(B222,'Product Variant'!$A:$A,'Product Variant'!$C:$C,"NOT FOUND")</f>
        <v>[Biotek] Mask thanh quản 1 nòng - Laryngeal Mask Airway</v>
      </c>
      <c r="E222" s="10" t="str" cm="1">
        <f t="array" ref="E222">_xlfn.TEXTJOIN(" / ",TRUE,_xlfn.XLOOKUP(B222&amp;"|ATTR-27",'Product Variant Attribute'!$A$2:$A$2000&amp;"|"&amp;'Product Variant Attribute'!$D$2:$D$2000,'Product Variant Attribute'!$F$2:$F$2000,""),_xlfn.XLOOKUP(B222&amp;"|ATTR-24",'Product Variant Attribute'!$A$2:$A$2000&amp;"|"&amp;'Product Variant Attribute'!$D$2:$D$2000,'Product Variant Attribute'!$F$2:$F$2000,""))</f>
        <v>Số 4</v>
      </c>
      <c r="F222" s="11" t="s">
        <v>818</v>
      </c>
      <c r="G222" s="11" t="s">
        <v>927</v>
      </c>
      <c r="H222" s="13">
        <f t="shared" si="6"/>
        <v>1</v>
      </c>
      <c r="I222" s="16" t="str">
        <f>_xlfn.XLOOKUP(C222,Product!$A:$A,Product!$G:$G,"NOT FOUND")</f>
        <v>cái</v>
      </c>
      <c r="J222" s="20">
        <v>300000</v>
      </c>
      <c r="K222" s="15" t="s">
        <v>1327</v>
      </c>
      <c r="L222" s="21">
        <v>544</v>
      </c>
      <c r="M222" s="10" t="s">
        <v>1000</v>
      </c>
      <c r="N222" s="12">
        <v>284</v>
      </c>
      <c r="O222" t="str">
        <f t="shared" si="7"/>
        <v>INSERT INTO public.medical_supply_sellable_unit (code, price, quantity, sale_uom, product_variant_code) VALUES ('PRODUCT-00111-002-01', 300000, 1, 'Cái', 'PRODUCT-00111-002');</v>
      </c>
    </row>
    <row r="223" spans="1:15" x14ac:dyDescent="0.25">
      <c r="A223" s="10" t="str">
        <f>B223&amp;"-"&amp;TEXT(COUNTIF(B$2:B223,B223),"00")</f>
        <v>PRODUCT-00112-001-01</v>
      </c>
      <c r="B223" s="11" t="s">
        <v>1832</v>
      </c>
      <c r="C223" s="10" t="str">
        <f>_xlfn.XLOOKUP(B223,'Product Variant'!$A:$A,'Product Variant'!$B:$B,"NOT FOUND")</f>
        <v>PRODUCT-00112</v>
      </c>
      <c r="D223" s="10" t="str">
        <f>_xlfn.XLOOKUP(B223,'Product Variant'!$A:$A,'Product Variant'!$C:$C,"NOT FOUND")</f>
        <v>[Biotek] Mask thanh quản 2 nòng - Laryngeal Mask Airway</v>
      </c>
      <c r="E223" s="10" t="str" cm="1">
        <f t="array" ref="E223">_xlfn.TEXTJOIN(" / ",TRUE,_xlfn.XLOOKUP(B223&amp;"|ATTR-27",'Product Variant Attribute'!$A$2:$A$2000&amp;"|"&amp;'Product Variant Attribute'!$D$2:$D$2000,'Product Variant Attribute'!$F$2:$F$2000,""),_xlfn.XLOOKUP(B223&amp;"|ATTR-24",'Product Variant Attribute'!$A$2:$A$2000&amp;"|"&amp;'Product Variant Attribute'!$D$2:$D$2000,'Product Variant Attribute'!$F$2:$F$2000,""))</f>
        <v>Số 3</v>
      </c>
      <c r="F223" s="11" t="s">
        <v>818</v>
      </c>
      <c r="G223" s="11" t="s">
        <v>927</v>
      </c>
      <c r="H223" s="13">
        <f t="shared" si="6"/>
        <v>1</v>
      </c>
      <c r="I223" s="16" t="str">
        <f>_xlfn.XLOOKUP(C223,Product!$A:$A,Product!$G:$G,"NOT FOUND")</f>
        <v>cái</v>
      </c>
      <c r="J223" s="20">
        <v>550000</v>
      </c>
      <c r="K223" s="15" t="s">
        <v>1327</v>
      </c>
      <c r="L223" s="21">
        <v>541</v>
      </c>
      <c r="M223" s="10" t="s">
        <v>1001</v>
      </c>
      <c r="N223" s="12">
        <v>291</v>
      </c>
      <c r="O223" t="str">
        <f t="shared" si="7"/>
        <v>INSERT INTO public.medical_supply_sellable_unit (code, price, quantity, sale_uom, product_variant_code) VALUES ('PRODUCT-00112-001-01', 550000, 1, 'Cái', 'PRODUCT-00112-001');</v>
      </c>
    </row>
    <row r="224" spans="1:15" x14ac:dyDescent="0.25">
      <c r="A224" s="10" t="str">
        <f>B224&amp;"-"&amp;TEXT(COUNTIF(B$2:B224,B224),"00")</f>
        <v>PRODUCT-00112-002-01</v>
      </c>
      <c r="B224" s="11" t="s">
        <v>1833</v>
      </c>
      <c r="C224" s="10" t="str">
        <f>_xlfn.XLOOKUP(B224,'Product Variant'!$A:$A,'Product Variant'!$B:$B,"NOT FOUND")</f>
        <v>PRODUCT-00112</v>
      </c>
      <c r="D224" s="10" t="str">
        <f>_xlfn.XLOOKUP(B224,'Product Variant'!$A:$A,'Product Variant'!$C:$C,"NOT FOUND")</f>
        <v>[Biotek] Mask thanh quản 2 nòng - Laryngeal Mask Airway</v>
      </c>
      <c r="E224" s="10" t="str" cm="1">
        <f t="array" ref="E224">_xlfn.TEXTJOIN(" / ",TRUE,_xlfn.XLOOKUP(B224&amp;"|ATTR-27",'Product Variant Attribute'!$A$2:$A$2000&amp;"|"&amp;'Product Variant Attribute'!$D$2:$D$2000,'Product Variant Attribute'!$F$2:$F$2000,""),_xlfn.XLOOKUP(B224&amp;"|ATTR-24",'Product Variant Attribute'!$A$2:$A$2000&amp;"|"&amp;'Product Variant Attribute'!$D$2:$D$2000,'Product Variant Attribute'!$F$2:$F$2000,""))</f>
        <v>Số 4</v>
      </c>
      <c r="F224" s="11" t="s">
        <v>818</v>
      </c>
      <c r="G224" s="11" t="s">
        <v>927</v>
      </c>
      <c r="H224" s="13">
        <f t="shared" si="6"/>
        <v>1</v>
      </c>
      <c r="I224" s="16" t="str">
        <f>_xlfn.XLOOKUP(C224,Product!$A:$A,Product!$G:$G,"NOT FOUND")</f>
        <v>cái</v>
      </c>
      <c r="J224" s="20">
        <v>550000</v>
      </c>
      <c r="K224" s="15" t="s">
        <v>1327</v>
      </c>
      <c r="L224" s="21">
        <v>542</v>
      </c>
      <c r="M224" s="10" t="s">
        <v>1001</v>
      </c>
      <c r="N224" s="12">
        <v>292</v>
      </c>
      <c r="O224" t="str">
        <f t="shared" si="7"/>
        <v>INSERT INTO public.medical_supply_sellable_unit (code, price, quantity, sale_uom, product_variant_code) VALUES ('PRODUCT-00112-002-01', 550000, 1, 'Cái', 'PRODUCT-00112-002');</v>
      </c>
    </row>
    <row r="225" spans="1:15" x14ac:dyDescent="0.25">
      <c r="A225" s="10" t="str">
        <f>B225&amp;"-"&amp;TEXT(COUNTIF(B$2:B225,B225),"00")</f>
        <v>PRODUCT-00113-001-01</v>
      </c>
      <c r="B225" s="11" t="s">
        <v>1834</v>
      </c>
      <c r="C225" s="10" t="str">
        <f>_xlfn.XLOOKUP(B225,'Product Variant'!$A:$A,'Product Variant'!$B:$B,"NOT FOUND")</f>
        <v>PRODUCT-00113</v>
      </c>
      <c r="D225" s="10" t="str">
        <f>_xlfn.XLOOKUP(B225,'Product Variant'!$A:$A,'Product Variant'!$C:$C,"NOT FOUND")</f>
        <v>[Bornsun] Dây thở oxy 2 nhánh</v>
      </c>
      <c r="E225" s="10" t="str" cm="1">
        <f t="array" ref="E225">_xlfn.TEXTJOIN(" / ",TRUE,_xlfn.XLOOKUP(B225&amp;"|ATTR-27",'Product Variant Attribute'!$A$2:$A$2000&amp;"|"&amp;'Product Variant Attribute'!$D$2:$D$2000,'Product Variant Attribute'!$F$2:$F$2000,""),_xlfn.XLOOKUP(B225&amp;"|ATTR-24",'Product Variant Attribute'!$A$2:$A$2000&amp;"|"&amp;'Product Variant Attribute'!$D$2:$D$2000,'Product Variant Attribute'!$F$2:$F$2000,""))</f>
        <v>S</v>
      </c>
      <c r="F225" s="11" t="s">
        <v>818</v>
      </c>
      <c r="G225" s="11" t="s">
        <v>927</v>
      </c>
      <c r="H225" s="13">
        <f t="shared" si="6"/>
        <v>1</v>
      </c>
      <c r="I225" s="16" t="str">
        <f>_xlfn.XLOOKUP(C225,Product!$A:$A,Product!$G:$G,"NOT FOUND")</f>
        <v>cái</v>
      </c>
      <c r="J225" s="20">
        <v>20000</v>
      </c>
      <c r="K225" s="15" t="s">
        <v>1327</v>
      </c>
      <c r="L225" s="21">
        <v>550</v>
      </c>
      <c r="M225" s="10" t="s">
        <v>1002</v>
      </c>
      <c r="N225" s="12">
        <v>191</v>
      </c>
      <c r="O225" t="str">
        <f t="shared" si="7"/>
        <v>INSERT INTO public.medical_supply_sellable_unit (code, price, quantity, sale_uom, product_variant_code) VALUES ('PRODUCT-00113-001-01', 20000, 1, 'Cái', 'PRODUCT-00113-001');</v>
      </c>
    </row>
    <row r="226" spans="1:15" x14ac:dyDescent="0.25">
      <c r="A226" s="10" t="str">
        <f>B226&amp;"-"&amp;TEXT(COUNTIF(B$2:B226,B226),"00")</f>
        <v>PRODUCT-00113-002-01</v>
      </c>
      <c r="B226" s="11" t="s">
        <v>1835</v>
      </c>
      <c r="C226" s="10" t="str">
        <f>_xlfn.XLOOKUP(B226,'Product Variant'!$A:$A,'Product Variant'!$B:$B,"NOT FOUND")</f>
        <v>PRODUCT-00113</v>
      </c>
      <c r="D226" s="10" t="str">
        <f>_xlfn.XLOOKUP(B226,'Product Variant'!$A:$A,'Product Variant'!$C:$C,"NOT FOUND")</f>
        <v>[Bornsun] Dây thở oxy 2 nhánh</v>
      </c>
      <c r="E226" s="10" t="str" cm="1">
        <f t="array" ref="E226">_xlfn.TEXTJOIN(" / ",TRUE,_xlfn.XLOOKUP(B226&amp;"|ATTR-27",'Product Variant Attribute'!$A$2:$A$2000&amp;"|"&amp;'Product Variant Attribute'!$D$2:$D$2000,'Product Variant Attribute'!$F$2:$F$2000,""),_xlfn.XLOOKUP(B226&amp;"|ATTR-24",'Product Variant Attribute'!$A$2:$A$2000&amp;"|"&amp;'Product Variant Attribute'!$D$2:$D$2000,'Product Variant Attribute'!$F$2:$F$2000,""))</f>
        <v>L</v>
      </c>
      <c r="F226" s="11" t="s">
        <v>818</v>
      </c>
      <c r="G226" s="11" t="s">
        <v>927</v>
      </c>
      <c r="H226" s="13">
        <f t="shared" si="6"/>
        <v>1</v>
      </c>
      <c r="I226" s="16" t="str">
        <f>_xlfn.XLOOKUP(C226,Product!$A:$A,Product!$G:$G,"NOT FOUND")</f>
        <v>cái</v>
      </c>
      <c r="J226" s="20">
        <v>20000</v>
      </c>
      <c r="K226" s="15" t="s">
        <v>1327</v>
      </c>
      <c r="L226" s="21">
        <v>551</v>
      </c>
      <c r="M226" s="10" t="s">
        <v>1002</v>
      </c>
      <c r="N226" s="12">
        <v>192</v>
      </c>
      <c r="O226" t="str">
        <f t="shared" si="7"/>
        <v>INSERT INTO public.medical_supply_sellable_unit (code, price, quantity, sale_uom, product_variant_code) VALUES ('PRODUCT-00113-002-01', 20000, 1, 'Cái', 'PRODUCT-00113-002');</v>
      </c>
    </row>
    <row r="227" spans="1:15" x14ac:dyDescent="0.25">
      <c r="A227" s="10" t="str">
        <f>B227&amp;"-"&amp;TEXT(COUNTIF(B$2:B227,B227),"00")</f>
        <v>PRODUCT-00114-001-01</v>
      </c>
      <c r="B227" s="11" t="s">
        <v>1836</v>
      </c>
      <c r="C227" s="10" t="str">
        <f>_xlfn.XLOOKUP(B227,'Product Variant'!$A:$A,'Product Variant'!$B:$B,"NOT FOUND")</f>
        <v>PRODUCT-00114</v>
      </c>
      <c r="D227" s="10" t="str">
        <f>_xlfn.XLOOKUP(B227,'Product Variant'!$A:$A,'Product Variant'!$C:$C,"NOT FOUND")</f>
        <v>[Bornsun] Mặt nạ thở oxy</v>
      </c>
      <c r="E227" s="10" t="str" cm="1">
        <f t="array" ref="E227">_xlfn.TEXTJOIN(" / ",TRUE,_xlfn.XLOOKUP(B227&amp;"|ATTR-27",'Product Variant Attribute'!$A$2:$A$2000&amp;"|"&amp;'Product Variant Attribute'!$D$2:$D$2000,'Product Variant Attribute'!$F$2:$F$2000,""),_xlfn.XLOOKUP(B227&amp;"|ATTR-24",'Product Variant Attribute'!$A$2:$A$2000&amp;"|"&amp;'Product Variant Attribute'!$D$2:$D$2000,'Product Variant Attribute'!$F$2:$F$2000,""))</f>
        <v>S</v>
      </c>
      <c r="F227" s="11" t="s">
        <v>815</v>
      </c>
      <c r="G227" s="11" t="s">
        <v>826</v>
      </c>
      <c r="H227" s="13">
        <f t="shared" si="6"/>
        <v>1</v>
      </c>
      <c r="I227" s="16" t="str">
        <f>_xlfn.XLOOKUP(C227,Product!$A:$A,Product!$G:$G,"NOT FOUND")</f>
        <v>bộ</v>
      </c>
      <c r="J227" s="20">
        <v>20000</v>
      </c>
      <c r="K227" s="15" t="s">
        <v>1327</v>
      </c>
      <c r="L227" s="21">
        <v>545</v>
      </c>
      <c r="M227" s="10" t="s">
        <v>1003</v>
      </c>
      <c r="N227" s="12">
        <v>293</v>
      </c>
      <c r="O227" t="str">
        <f t="shared" si="7"/>
        <v>INSERT INTO public.medical_supply_sellable_unit (code, price, quantity, sale_uom, product_variant_code) VALUES ('PRODUCT-00114-001-01', 20000, 1, 'Bộ', 'PRODUCT-00114-001');</v>
      </c>
    </row>
    <row r="228" spans="1:15" x14ac:dyDescent="0.25">
      <c r="A228" s="10" t="str">
        <f>B228&amp;"-"&amp;TEXT(COUNTIF(B$2:B228,B228),"00")</f>
        <v>PRODUCT-00114-002-01</v>
      </c>
      <c r="B228" s="11" t="s">
        <v>1837</v>
      </c>
      <c r="C228" s="10" t="str">
        <f>_xlfn.XLOOKUP(B228,'Product Variant'!$A:$A,'Product Variant'!$B:$B,"NOT FOUND")</f>
        <v>PRODUCT-00114</v>
      </c>
      <c r="D228" s="10" t="str">
        <f>_xlfn.XLOOKUP(B228,'Product Variant'!$A:$A,'Product Variant'!$C:$C,"NOT FOUND")</f>
        <v>[Bornsun] Mặt nạ thở oxy</v>
      </c>
      <c r="E228" s="10" t="str" cm="1">
        <f t="array" ref="E228">_xlfn.TEXTJOIN(" / ",TRUE,_xlfn.XLOOKUP(B228&amp;"|ATTR-27",'Product Variant Attribute'!$A$2:$A$2000&amp;"|"&amp;'Product Variant Attribute'!$D$2:$D$2000,'Product Variant Attribute'!$F$2:$F$2000,""),_xlfn.XLOOKUP(B228&amp;"|ATTR-24",'Product Variant Attribute'!$A$2:$A$2000&amp;"|"&amp;'Product Variant Attribute'!$D$2:$D$2000,'Product Variant Attribute'!$F$2:$F$2000,""))</f>
        <v>M</v>
      </c>
      <c r="F228" s="11" t="s">
        <v>815</v>
      </c>
      <c r="G228" s="11" t="s">
        <v>826</v>
      </c>
      <c r="H228" s="13">
        <f t="shared" si="6"/>
        <v>1</v>
      </c>
      <c r="I228" s="16" t="str">
        <f>_xlfn.XLOOKUP(C228,Product!$A:$A,Product!$G:$G,"NOT FOUND")</f>
        <v>bộ</v>
      </c>
      <c r="J228" s="20">
        <v>20000</v>
      </c>
      <c r="K228" s="15" t="s">
        <v>1327</v>
      </c>
      <c r="L228" s="21">
        <v>546</v>
      </c>
      <c r="M228" s="10" t="s">
        <v>1003</v>
      </c>
      <c r="N228" s="12">
        <v>294</v>
      </c>
      <c r="O228" t="str">
        <f t="shared" si="7"/>
        <v>INSERT INTO public.medical_supply_sellable_unit (code, price, quantity, sale_uom, product_variant_code) VALUES ('PRODUCT-00114-002-01', 20000, 1, 'Bộ', 'PRODUCT-00114-002');</v>
      </c>
    </row>
    <row r="229" spans="1:15" x14ac:dyDescent="0.25">
      <c r="A229" s="10" t="str">
        <f>B229&amp;"-"&amp;TEXT(COUNTIF(B$2:B229,B229),"00")</f>
        <v>PRODUCT-00114-003-01</v>
      </c>
      <c r="B229" s="11" t="s">
        <v>1838</v>
      </c>
      <c r="C229" s="10" t="str">
        <f>_xlfn.XLOOKUP(B229,'Product Variant'!$A:$A,'Product Variant'!$B:$B,"NOT FOUND")</f>
        <v>PRODUCT-00114</v>
      </c>
      <c r="D229" s="10" t="str">
        <f>_xlfn.XLOOKUP(B229,'Product Variant'!$A:$A,'Product Variant'!$C:$C,"NOT FOUND")</f>
        <v>[Bornsun] Mặt nạ thở oxy</v>
      </c>
      <c r="E229" s="10" t="str" cm="1">
        <f t="array" ref="E229">_xlfn.TEXTJOIN(" / ",TRUE,_xlfn.XLOOKUP(B229&amp;"|ATTR-27",'Product Variant Attribute'!$A$2:$A$2000&amp;"|"&amp;'Product Variant Attribute'!$D$2:$D$2000,'Product Variant Attribute'!$F$2:$F$2000,""),_xlfn.XLOOKUP(B229&amp;"|ATTR-24",'Product Variant Attribute'!$A$2:$A$2000&amp;"|"&amp;'Product Variant Attribute'!$D$2:$D$2000,'Product Variant Attribute'!$F$2:$F$2000,""))</f>
        <v>L</v>
      </c>
      <c r="F229" s="11" t="s">
        <v>815</v>
      </c>
      <c r="G229" s="11" t="s">
        <v>826</v>
      </c>
      <c r="H229" s="13">
        <f t="shared" si="6"/>
        <v>1</v>
      </c>
      <c r="I229" s="16" t="str">
        <f>_xlfn.XLOOKUP(C229,Product!$A:$A,Product!$G:$G,"NOT FOUND")</f>
        <v>bộ</v>
      </c>
      <c r="J229" s="20">
        <v>20000</v>
      </c>
      <c r="K229" s="15" t="s">
        <v>1327</v>
      </c>
      <c r="L229" s="21">
        <v>547</v>
      </c>
      <c r="M229" s="10" t="s">
        <v>1003</v>
      </c>
      <c r="N229" s="12">
        <v>295</v>
      </c>
      <c r="O229" t="str">
        <f t="shared" si="7"/>
        <v>INSERT INTO public.medical_supply_sellable_unit (code, price, quantity, sale_uom, product_variant_code) VALUES ('PRODUCT-00114-003-01', 20000, 1, 'Bộ', 'PRODUCT-00114-003');</v>
      </c>
    </row>
    <row r="230" spans="1:15" x14ac:dyDescent="0.25">
      <c r="A230" s="10" t="str">
        <f>B230&amp;"-"&amp;TEXT(COUNTIF(B$2:B230,B230),"00")</f>
        <v>PRODUCT-00114-004-01</v>
      </c>
      <c r="B230" s="11" t="s">
        <v>1839</v>
      </c>
      <c r="C230" s="10" t="str">
        <f>_xlfn.XLOOKUP(B230,'Product Variant'!$A:$A,'Product Variant'!$B:$B,"NOT FOUND")</f>
        <v>PRODUCT-00114</v>
      </c>
      <c r="D230" s="10" t="str">
        <f>_xlfn.XLOOKUP(B230,'Product Variant'!$A:$A,'Product Variant'!$C:$C,"NOT FOUND")</f>
        <v>[Bornsun] Mặt nạ thở oxy</v>
      </c>
      <c r="E230" s="10" t="str" cm="1">
        <f t="array" ref="E230">_xlfn.TEXTJOIN(" / ",TRUE,_xlfn.XLOOKUP(B230&amp;"|ATTR-27",'Product Variant Attribute'!$A$2:$A$2000&amp;"|"&amp;'Product Variant Attribute'!$D$2:$D$2000,'Product Variant Attribute'!$F$2:$F$2000,""),_xlfn.XLOOKUP(B230&amp;"|ATTR-24",'Product Variant Attribute'!$A$2:$A$2000&amp;"|"&amp;'Product Variant Attribute'!$D$2:$D$2000,'Product Variant Attribute'!$F$2:$F$2000,""))</f>
        <v>XL</v>
      </c>
      <c r="F230" s="11" t="s">
        <v>815</v>
      </c>
      <c r="G230" s="11" t="s">
        <v>826</v>
      </c>
      <c r="H230" s="13">
        <f t="shared" si="6"/>
        <v>1</v>
      </c>
      <c r="I230" s="16" t="str">
        <f>_xlfn.XLOOKUP(C230,Product!$A:$A,Product!$G:$G,"NOT FOUND")</f>
        <v>bộ</v>
      </c>
      <c r="J230" s="20">
        <v>20000</v>
      </c>
      <c r="K230" s="15" t="s">
        <v>1327</v>
      </c>
      <c r="L230" s="21">
        <v>548</v>
      </c>
      <c r="M230" s="10" t="s">
        <v>1003</v>
      </c>
      <c r="N230" s="12">
        <v>296</v>
      </c>
      <c r="O230" t="str">
        <f t="shared" si="7"/>
        <v>INSERT INTO public.medical_supply_sellable_unit (code, price, quantity, sale_uom, product_variant_code) VALUES ('PRODUCT-00114-004-01', 20000, 1, 'Bộ', 'PRODUCT-00114-004');</v>
      </c>
    </row>
    <row r="231" spans="1:15" x14ac:dyDescent="0.25">
      <c r="A231" s="10" t="str">
        <f>B231&amp;"-"&amp;TEXT(COUNTIF(B$2:B231,B231),"00")</f>
        <v>PRODUCT-00115-001-01</v>
      </c>
      <c r="B231" s="11" t="s">
        <v>1840</v>
      </c>
      <c r="C231" s="10" t="str">
        <f>_xlfn.XLOOKUP(B231,'Product Variant'!$A:$A,'Product Variant'!$B:$B,"NOT FOUND")</f>
        <v>PRODUCT-00115</v>
      </c>
      <c r="D231" s="10" t="str">
        <f>_xlfn.XLOOKUP(B231,'Product Variant'!$A:$A,'Product Variant'!$C:$C,"NOT FOUND")</f>
        <v>[Bornsun] Mặt nạ xông khí dung</v>
      </c>
      <c r="E231" s="10" t="str" cm="1">
        <f t="array" ref="E231">_xlfn.TEXTJOIN(" / ",TRUE,_xlfn.XLOOKUP(B231&amp;"|ATTR-27",'Product Variant Attribute'!$A$2:$A$2000&amp;"|"&amp;'Product Variant Attribute'!$D$2:$D$2000,'Product Variant Attribute'!$F$2:$F$2000,""),_xlfn.XLOOKUP(B231&amp;"|ATTR-24",'Product Variant Attribute'!$A$2:$A$2000&amp;"|"&amp;'Product Variant Attribute'!$D$2:$D$2000,'Product Variant Attribute'!$F$2:$F$2000,""))</f>
        <v/>
      </c>
      <c r="F231" s="11" t="s">
        <v>815</v>
      </c>
      <c r="G231" s="11" t="s">
        <v>826</v>
      </c>
      <c r="H231" s="13">
        <f t="shared" si="6"/>
        <v>1</v>
      </c>
      <c r="I231" s="16" t="str">
        <f>_xlfn.XLOOKUP(C231,Product!$A:$A,Product!$G:$G,"NOT FOUND")</f>
        <v>bộ</v>
      </c>
      <c r="J231" s="20">
        <v>20000</v>
      </c>
      <c r="K231" s="15" t="s">
        <v>1323</v>
      </c>
      <c r="L231" s="21">
        <v>549</v>
      </c>
      <c r="M231" s="10" t="s">
        <v>1004</v>
      </c>
      <c r="N231" s="12">
        <v>299</v>
      </c>
      <c r="O231" t="str">
        <f t="shared" si="7"/>
        <v>INSERT INTO public.medical_supply_sellable_unit (code, price, quantity, sale_uom, product_variant_code) VALUES ('PRODUCT-00115-001-01', 20000, 1, 'Bộ', 'PRODUCT-00115-001');</v>
      </c>
    </row>
    <row r="232" spans="1:15" x14ac:dyDescent="0.25">
      <c r="A232" s="10" t="str">
        <f>B232&amp;"-"&amp;TEXT(COUNTIF(B$2:B232,B232),"00")</f>
        <v>PRODUCT-00116-001-01</v>
      </c>
      <c r="B232" s="11" t="s">
        <v>1841</v>
      </c>
      <c r="C232" s="10" t="str">
        <f>_xlfn.XLOOKUP(B232,'Product Variant'!$A:$A,'Product Variant'!$B:$B,"NOT FOUND")</f>
        <v>PRODUCT-00116</v>
      </c>
      <c r="D232" s="10" t="str">
        <f>_xlfn.XLOOKUP(B232,'Product Variant'!$A:$A,'Product Variant'!$C:$C,"NOT FOUND")</f>
        <v>[Bornsun] Xông hút đờm kín</v>
      </c>
      <c r="E232" s="10" t="str" cm="1">
        <f t="array" ref="E232">_xlfn.TEXTJOIN(" / ",TRUE,_xlfn.XLOOKUP(B232&amp;"|ATTR-27",'Product Variant Attribute'!$A$2:$A$2000&amp;"|"&amp;'Product Variant Attribute'!$D$2:$D$2000,'Product Variant Attribute'!$F$2:$F$2000,""),_xlfn.XLOOKUP(B232&amp;"|ATTR-24",'Product Variant Attribute'!$A$2:$A$2000&amp;"|"&amp;'Product Variant Attribute'!$D$2:$D$2000,'Product Variant Attribute'!$F$2:$F$2000,""))</f>
        <v>12Fr</v>
      </c>
      <c r="F232" s="11" t="s">
        <v>818</v>
      </c>
      <c r="G232" s="11" t="s">
        <v>927</v>
      </c>
      <c r="H232" s="13">
        <f t="shared" si="6"/>
        <v>1</v>
      </c>
      <c r="I232" s="16" t="str">
        <f>_xlfn.XLOOKUP(C232,Product!$A:$A,Product!$G:$G,"NOT FOUND")</f>
        <v>cái</v>
      </c>
      <c r="J232" s="20">
        <v>230000</v>
      </c>
      <c r="K232" s="15" t="s">
        <v>1327</v>
      </c>
      <c r="L232" s="21">
        <v>458</v>
      </c>
      <c r="M232" s="10" t="s">
        <v>1005</v>
      </c>
      <c r="N232" s="12">
        <v>553</v>
      </c>
      <c r="O232" t="str">
        <f t="shared" si="7"/>
        <v>INSERT INTO public.medical_supply_sellable_unit (code, price, quantity, sale_uom, product_variant_code) VALUES ('PRODUCT-00116-001-01', 230000, 1, 'Cái', 'PRODUCT-00116-001');</v>
      </c>
    </row>
    <row r="233" spans="1:15" x14ac:dyDescent="0.25">
      <c r="A233" s="10" t="str">
        <f>B233&amp;"-"&amp;TEXT(COUNTIF(B$2:B233,B233),"00")</f>
        <v>PRODUCT-00116-002-01</v>
      </c>
      <c r="B233" s="11" t="s">
        <v>1842</v>
      </c>
      <c r="C233" s="10" t="str">
        <f>_xlfn.XLOOKUP(B233,'Product Variant'!$A:$A,'Product Variant'!$B:$B,"NOT FOUND")</f>
        <v>PRODUCT-00116</v>
      </c>
      <c r="D233" s="10" t="str">
        <f>_xlfn.XLOOKUP(B233,'Product Variant'!$A:$A,'Product Variant'!$C:$C,"NOT FOUND")</f>
        <v>[Bornsun] Xông hút đờm kín</v>
      </c>
      <c r="E233" s="10" t="str" cm="1">
        <f t="array" ref="E233">_xlfn.TEXTJOIN(" / ",TRUE,_xlfn.XLOOKUP(B233&amp;"|ATTR-27",'Product Variant Attribute'!$A$2:$A$2000&amp;"|"&amp;'Product Variant Attribute'!$D$2:$D$2000,'Product Variant Attribute'!$F$2:$F$2000,""),_xlfn.XLOOKUP(B233&amp;"|ATTR-24",'Product Variant Attribute'!$A$2:$A$2000&amp;"|"&amp;'Product Variant Attribute'!$D$2:$D$2000,'Product Variant Attribute'!$F$2:$F$2000,""))</f>
        <v>14Fr</v>
      </c>
      <c r="F233" s="11" t="s">
        <v>818</v>
      </c>
      <c r="G233" s="11" t="s">
        <v>927</v>
      </c>
      <c r="H233" s="13">
        <f t="shared" si="6"/>
        <v>1</v>
      </c>
      <c r="I233" s="16" t="str">
        <f>_xlfn.XLOOKUP(C233,Product!$A:$A,Product!$G:$G,"NOT FOUND")</f>
        <v>cái</v>
      </c>
      <c r="J233" s="20">
        <v>230000</v>
      </c>
      <c r="K233" s="15" t="s">
        <v>1327</v>
      </c>
      <c r="L233" s="21">
        <v>459</v>
      </c>
      <c r="M233" s="10" t="s">
        <v>1005</v>
      </c>
      <c r="N233" s="12">
        <v>554</v>
      </c>
      <c r="O233" t="str">
        <f t="shared" si="7"/>
        <v>INSERT INTO public.medical_supply_sellable_unit (code, price, quantity, sale_uom, product_variant_code) VALUES ('PRODUCT-00116-002-01', 230000, 1, 'Cái', 'PRODUCT-00116-002');</v>
      </c>
    </row>
    <row r="234" spans="1:15" x14ac:dyDescent="0.25">
      <c r="A234" s="10" t="str">
        <f>B234&amp;"-"&amp;TEXT(COUNTIF(B$2:B234,B234),"00")</f>
        <v>PRODUCT-00117-001-01</v>
      </c>
      <c r="B234" s="11" t="s">
        <v>1843</v>
      </c>
      <c r="C234" s="10" t="str">
        <f>_xlfn.XLOOKUP(B234,'Product Variant'!$A:$A,'Product Variant'!$B:$B,"NOT FOUND")</f>
        <v>PRODUCT-00117</v>
      </c>
      <c r="D234" s="10" t="str">
        <f>_xlfn.XLOOKUP(B234,'Product Variant'!$A:$A,'Product Variant'!$C:$C,"NOT FOUND")</f>
        <v>[Covidien] Nòng trong ống mở khí quản - Shiley SIC</v>
      </c>
      <c r="E234" s="10" t="str" cm="1">
        <f t="array" ref="E234">_xlfn.TEXTJOIN(" / ",TRUE,_xlfn.XLOOKUP(B234&amp;"|ATTR-27",'Product Variant Attribute'!$A$2:$A$2000&amp;"|"&amp;'Product Variant Attribute'!$D$2:$D$2000,'Product Variant Attribute'!$F$2:$F$2000,""),_xlfn.XLOOKUP(B234&amp;"|ATTR-24",'Product Variant Attribute'!$A$2:$A$2000&amp;"|"&amp;'Product Variant Attribute'!$D$2:$D$2000,'Product Variant Attribute'!$F$2:$F$2000,""))</f>
        <v>Số 6</v>
      </c>
      <c r="F234" s="11" t="s">
        <v>818</v>
      </c>
      <c r="G234" s="11" t="s">
        <v>927</v>
      </c>
      <c r="H234" s="13">
        <f t="shared" si="6"/>
        <v>1</v>
      </c>
      <c r="I234" s="16" t="str">
        <f>_xlfn.XLOOKUP(C234,Product!$A:$A,Product!$G:$G,"NOT FOUND")</f>
        <v>cái</v>
      </c>
      <c r="J234" s="20">
        <v>220000</v>
      </c>
      <c r="K234" s="15" t="s">
        <v>1327</v>
      </c>
      <c r="L234" s="21">
        <v>214</v>
      </c>
      <c r="M234" s="10" t="s">
        <v>1006</v>
      </c>
      <c r="N234" s="12">
        <v>377</v>
      </c>
      <c r="O234" t="str">
        <f t="shared" si="7"/>
        <v>INSERT INTO public.medical_supply_sellable_unit (code, price, quantity, sale_uom, product_variant_code) VALUES ('PRODUCT-00117-001-01', 220000, 1, 'Cái', 'PRODUCT-00117-001');</v>
      </c>
    </row>
    <row r="235" spans="1:15" x14ac:dyDescent="0.25">
      <c r="A235" s="10" t="str">
        <f>B235&amp;"-"&amp;TEXT(COUNTIF(B$2:B235,B235),"00")</f>
        <v>PRODUCT-00117-002-01</v>
      </c>
      <c r="B235" s="11" t="s">
        <v>1844</v>
      </c>
      <c r="C235" s="10" t="str">
        <f>_xlfn.XLOOKUP(B235,'Product Variant'!$A:$A,'Product Variant'!$B:$B,"NOT FOUND")</f>
        <v>PRODUCT-00117</v>
      </c>
      <c r="D235" s="10" t="str">
        <f>_xlfn.XLOOKUP(B235,'Product Variant'!$A:$A,'Product Variant'!$C:$C,"NOT FOUND")</f>
        <v>[Covidien] Nòng trong ống mở khí quản - Shiley SIC</v>
      </c>
      <c r="E235" s="10" t="str" cm="1">
        <f t="array" ref="E235">_xlfn.TEXTJOIN(" / ",TRUE,_xlfn.XLOOKUP(B235&amp;"|ATTR-27",'Product Variant Attribute'!$A$2:$A$2000&amp;"|"&amp;'Product Variant Attribute'!$D$2:$D$2000,'Product Variant Attribute'!$F$2:$F$2000,""),_xlfn.XLOOKUP(B235&amp;"|ATTR-24",'Product Variant Attribute'!$A$2:$A$2000&amp;"|"&amp;'Product Variant Attribute'!$D$2:$D$2000,'Product Variant Attribute'!$F$2:$F$2000,""))</f>
        <v>Số 8</v>
      </c>
      <c r="F235" s="11" t="s">
        <v>818</v>
      </c>
      <c r="G235" s="11" t="s">
        <v>927</v>
      </c>
      <c r="H235" s="13">
        <f t="shared" si="6"/>
        <v>1</v>
      </c>
      <c r="I235" s="16" t="str">
        <f>_xlfn.XLOOKUP(C235,Product!$A:$A,Product!$G:$G,"NOT FOUND")</f>
        <v>cái</v>
      </c>
      <c r="J235" s="20">
        <v>220000</v>
      </c>
      <c r="K235" s="15" t="s">
        <v>1327</v>
      </c>
      <c r="L235" s="21">
        <v>215</v>
      </c>
      <c r="M235" s="10" t="s">
        <v>1006</v>
      </c>
      <c r="N235" s="12">
        <v>378</v>
      </c>
      <c r="O235" t="str">
        <f t="shared" si="7"/>
        <v>INSERT INTO public.medical_supply_sellable_unit (code, price, quantity, sale_uom, product_variant_code) VALUES ('PRODUCT-00117-002-01', 220000, 1, 'Cái', 'PRODUCT-00117-002');</v>
      </c>
    </row>
    <row r="236" spans="1:15" x14ac:dyDescent="0.25">
      <c r="A236" s="10" t="str">
        <f>B236&amp;"-"&amp;TEXT(COUNTIF(B$2:B236,B236),"00")</f>
        <v>PRODUCT-00118-001-01</v>
      </c>
      <c r="B236" s="11" t="s">
        <v>1845</v>
      </c>
      <c r="C236" s="10" t="str">
        <f>_xlfn.XLOOKUP(B236,'Product Variant'!$A:$A,'Product Variant'!$B:$B,"NOT FOUND")</f>
        <v>PRODUCT-00118</v>
      </c>
      <c r="D236" s="10" t="str">
        <f>_xlfn.XLOOKUP(B236,'Product Variant'!$A:$A,'Product Variant'!$C:$C,"NOT FOUND")</f>
        <v>[Covidien] Ống mở khí quản 2 nòng có bóng - Shiley LPC</v>
      </c>
      <c r="E236" s="10" t="str" cm="1">
        <f t="array" ref="E236">_xlfn.TEXTJOIN(" / ",TRUE,_xlfn.XLOOKUP(B236&amp;"|ATTR-27",'Product Variant Attribute'!$A$2:$A$2000&amp;"|"&amp;'Product Variant Attribute'!$D$2:$D$2000,'Product Variant Attribute'!$F$2:$F$2000,""),_xlfn.XLOOKUP(B236&amp;"|ATTR-24",'Product Variant Attribute'!$A$2:$A$2000&amp;"|"&amp;'Product Variant Attribute'!$D$2:$D$2000,'Product Variant Attribute'!$F$2:$F$2000,""))</f>
        <v>Số 6</v>
      </c>
      <c r="F236" s="11" t="s">
        <v>815</v>
      </c>
      <c r="G236" s="11" t="s">
        <v>826</v>
      </c>
      <c r="H236" s="13">
        <f t="shared" si="6"/>
        <v>1</v>
      </c>
      <c r="I236" s="16" t="str">
        <f>_xlfn.XLOOKUP(C236,Product!$A:$A,Product!$G:$G,"NOT FOUND")</f>
        <v>bộ</v>
      </c>
      <c r="J236" s="22"/>
      <c r="K236" s="15" t="s">
        <v>1468</v>
      </c>
      <c r="L236" s="21">
        <v>287</v>
      </c>
      <c r="M236" s="10" t="s">
        <v>1007</v>
      </c>
      <c r="N236" s="12">
        <v>390</v>
      </c>
      <c r="O236" t="str">
        <f t="shared" si="7"/>
        <v>INSERT INTO public.medical_supply_sellable_unit (code, price, quantity, sale_uom, product_variant_code) VALUES ('PRODUCT-00118-001-01', NULL, 1, 'Bộ', 'PRODUCT-00118-001');</v>
      </c>
    </row>
    <row r="237" spans="1:15" x14ac:dyDescent="0.25">
      <c r="A237" s="10" t="str">
        <f>B237&amp;"-"&amp;TEXT(COUNTIF(B$2:B237,B237),"00")</f>
        <v>PRODUCT-00118-002-01</v>
      </c>
      <c r="B237" s="11" t="s">
        <v>1846</v>
      </c>
      <c r="C237" s="10" t="str">
        <f>_xlfn.XLOOKUP(B237,'Product Variant'!$A:$A,'Product Variant'!$B:$B,"NOT FOUND")</f>
        <v>PRODUCT-00118</v>
      </c>
      <c r="D237" s="10" t="str">
        <f>_xlfn.XLOOKUP(B237,'Product Variant'!$A:$A,'Product Variant'!$C:$C,"NOT FOUND")</f>
        <v>[Covidien] Ống mở khí quản 2 nòng có bóng - Shiley LPC</v>
      </c>
      <c r="E237" s="10" t="str" cm="1">
        <f t="array" ref="E237">_xlfn.TEXTJOIN(" / ",TRUE,_xlfn.XLOOKUP(B237&amp;"|ATTR-27",'Product Variant Attribute'!$A$2:$A$2000&amp;"|"&amp;'Product Variant Attribute'!$D$2:$D$2000,'Product Variant Attribute'!$F$2:$F$2000,""),_xlfn.XLOOKUP(B237&amp;"|ATTR-24",'Product Variant Attribute'!$A$2:$A$2000&amp;"|"&amp;'Product Variant Attribute'!$D$2:$D$2000,'Product Variant Attribute'!$F$2:$F$2000,""))</f>
        <v>Số 8</v>
      </c>
      <c r="F237" s="11" t="s">
        <v>815</v>
      </c>
      <c r="G237" s="11" t="s">
        <v>826</v>
      </c>
      <c r="H237" s="13">
        <f t="shared" si="6"/>
        <v>1</v>
      </c>
      <c r="I237" s="16" t="str">
        <f>_xlfn.XLOOKUP(C237,Product!$A:$A,Product!$G:$G,"NOT FOUND")</f>
        <v>bộ</v>
      </c>
      <c r="J237" s="22"/>
      <c r="K237" s="15" t="s">
        <v>1468</v>
      </c>
      <c r="L237" s="21">
        <v>288</v>
      </c>
      <c r="M237" s="10" t="s">
        <v>1007</v>
      </c>
      <c r="N237" s="12">
        <v>391</v>
      </c>
      <c r="O237" t="str">
        <f t="shared" si="7"/>
        <v>INSERT INTO public.medical_supply_sellable_unit (code, price, quantity, sale_uom, product_variant_code) VALUES ('PRODUCT-00118-002-01', NULL, 1, 'Bộ', 'PRODUCT-00118-002');</v>
      </c>
    </row>
    <row r="238" spans="1:15" x14ac:dyDescent="0.25">
      <c r="A238" s="10" t="str">
        <f>B238&amp;"-"&amp;TEXT(COUNTIF(B$2:B238,B238),"00")</f>
        <v>PRODUCT-00119-001-01</v>
      </c>
      <c r="B238" s="11" t="s">
        <v>1847</v>
      </c>
      <c r="C238" s="10" t="str">
        <f>_xlfn.XLOOKUP(B238,'Product Variant'!$A:$A,'Product Variant'!$B:$B,"NOT FOUND")</f>
        <v>PRODUCT-00119</v>
      </c>
      <c r="D238" s="10" t="str">
        <f>_xlfn.XLOOKUP(B238,'Product Variant'!$A:$A,'Product Variant'!$C:$C,"NOT FOUND")</f>
        <v>[Covidien] Ống mở khí quản 2 nòng có bóng, có cửa sổ - Shiley FEN</v>
      </c>
      <c r="E238" s="10" t="str" cm="1">
        <f t="array" ref="E238">_xlfn.TEXTJOIN(" / ",TRUE,_xlfn.XLOOKUP(B238&amp;"|ATTR-27",'Product Variant Attribute'!$A$2:$A$2000&amp;"|"&amp;'Product Variant Attribute'!$D$2:$D$2000,'Product Variant Attribute'!$F$2:$F$2000,""),_xlfn.XLOOKUP(B238&amp;"|ATTR-24",'Product Variant Attribute'!$A$2:$A$2000&amp;"|"&amp;'Product Variant Attribute'!$D$2:$D$2000,'Product Variant Attribute'!$F$2:$F$2000,""))</f>
        <v>Số 6</v>
      </c>
      <c r="F238" s="11" t="s">
        <v>815</v>
      </c>
      <c r="G238" s="11" t="s">
        <v>826</v>
      </c>
      <c r="H238" s="13">
        <f t="shared" si="6"/>
        <v>1</v>
      </c>
      <c r="I238" s="16" t="str">
        <f>_xlfn.XLOOKUP(C238,Product!$A:$A,Product!$G:$G,"NOT FOUND")</f>
        <v>bộ</v>
      </c>
      <c r="J238" s="22"/>
      <c r="K238" s="15" t="s">
        <v>1468</v>
      </c>
      <c r="L238" s="21">
        <v>285</v>
      </c>
      <c r="M238" s="10" t="s">
        <v>1008</v>
      </c>
      <c r="N238" s="12">
        <v>402</v>
      </c>
      <c r="O238" t="str">
        <f t="shared" si="7"/>
        <v>INSERT INTO public.medical_supply_sellable_unit (code, price, quantity, sale_uom, product_variant_code) VALUES ('PRODUCT-00119-001-01', NULL, 1, 'Bộ', 'PRODUCT-00119-001');</v>
      </c>
    </row>
    <row r="239" spans="1:15" x14ac:dyDescent="0.25">
      <c r="A239" s="10" t="str">
        <f>B239&amp;"-"&amp;TEXT(COUNTIF(B$2:B239,B239),"00")</f>
        <v>PRODUCT-00119-002-01</v>
      </c>
      <c r="B239" s="11" t="s">
        <v>1848</v>
      </c>
      <c r="C239" s="10" t="str">
        <f>_xlfn.XLOOKUP(B239,'Product Variant'!$A:$A,'Product Variant'!$B:$B,"NOT FOUND")</f>
        <v>PRODUCT-00119</v>
      </c>
      <c r="D239" s="10" t="str">
        <f>_xlfn.XLOOKUP(B239,'Product Variant'!$A:$A,'Product Variant'!$C:$C,"NOT FOUND")</f>
        <v>[Covidien] Ống mở khí quản 2 nòng có bóng, có cửa sổ - Shiley FEN</v>
      </c>
      <c r="E239" s="10" t="str" cm="1">
        <f t="array" ref="E239">_xlfn.TEXTJOIN(" / ",TRUE,_xlfn.XLOOKUP(B239&amp;"|ATTR-27",'Product Variant Attribute'!$A$2:$A$2000&amp;"|"&amp;'Product Variant Attribute'!$D$2:$D$2000,'Product Variant Attribute'!$F$2:$F$2000,""),_xlfn.XLOOKUP(B239&amp;"|ATTR-24",'Product Variant Attribute'!$A$2:$A$2000&amp;"|"&amp;'Product Variant Attribute'!$D$2:$D$2000,'Product Variant Attribute'!$F$2:$F$2000,""))</f>
        <v>Số 8</v>
      </c>
      <c r="F239" s="11" t="s">
        <v>815</v>
      </c>
      <c r="G239" s="11" t="s">
        <v>826</v>
      </c>
      <c r="H239" s="13">
        <f t="shared" si="6"/>
        <v>1</v>
      </c>
      <c r="I239" s="16" t="str">
        <f>_xlfn.XLOOKUP(C239,Product!$A:$A,Product!$G:$G,"NOT FOUND")</f>
        <v>bộ</v>
      </c>
      <c r="J239" s="22"/>
      <c r="K239" s="15" t="s">
        <v>1468</v>
      </c>
      <c r="L239" s="21">
        <v>286</v>
      </c>
      <c r="M239" s="10" t="s">
        <v>1008</v>
      </c>
      <c r="N239" s="12">
        <v>403</v>
      </c>
      <c r="O239" t="str">
        <f t="shared" si="7"/>
        <v>INSERT INTO public.medical_supply_sellable_unit (code, price, quantity, sale_uom, product_variant_code) VALUES ('PRODUCT-00119-002-01', NULL, 1, 'Bộ', 'PRODUCT-00119-002');</v>
      </c>
    </row>
    <row r="240" spans="1:15" x14ac:dyDescent="0.25">
      <c r="A240" s="10" t="str">
        <f>B240&amp;"-"&amp;TEXT(COUNTIF(B$2:B240,B240),"00")</f>
        <v>PRODUCT-00120-001-01</v>
      </c>
      <c r="B240" s="11" t="s">
        <v>1849</v>
      </c>
      <c r="C240" s="10" t="str">
        <f>_xlfn.XLOOKUP(B240,'Product Variant'!$A:$A,'Product Variant'!$B:$B,"NOT FOUND")</f>
        <v>PRODUCT-00120</v>
      </c>
      <c r="D240" s="10" t="str">
        <f>_xlfn.XLOOKUP(B240,'Product Variant'!$A:$A,'Product Variant'!$C:$C,"NOT FOUND")</f>
        <v>[Covidien] Ống mở khí quản 2 nòng không bóng, có cửa sổ - Shiley CFN</v>
      </c>
      <c r="E240" s="10" t="str" cm="1">
        <f t="array" ref="E240">_xlfn.TEXTJOIN(" / ",TRUE,_xlfn.XLOOKUP(B240&amp;"|ATTR-27",'Product Variant Attribute'!$A$2:$A$2000&amp;"|"&amp;'Product Variant Attribute'!$D$2:$D$2000,'Product Variant Attribute'!$F$2:$F$2000,""),_xlfn.XLOOKUP(B240&amp;"|ATTR-24",'Product Variant Attribute'!$A$2:$A$2000&amp;"|"&amp;'Product Variant Attribute'!$D$2:$D$2000,'Product Variant Attribute'!$F$2:$F$2000,""))</f>
        <v>Số 6</v>
      </c>
      <c r="F240" s="11" t="s">
        <v>815</v>
      </c>
      <c r="G240" s="11" t="s">
        <v>826</v>
      </c>
      <c r="H240" s="13">
        <f t="shared" ref="H240:H303" si="8">IFERROR(--LEFT(G240,FIND(" ",G240&amp;" ")-1),"")</f>
        <v>1</v>
      </c>
      <c r="I240" s="16" t="str">
        <f>_xlfn.XLOOKUP(C240,Product!$A:$A,Product!$G:$G,"NOT FOUND")</f>
        <v>bộ</v>
      </c>
      <c r="J240" s="22"/>
      <c r="K240" s="15" t="s">
        <v>1468</v>
      </c>
      <c r="L240" s="21">
        <v>289</v>
      </c>
      <c r="M240" s="10" t="s">
        <v>1009</v>
      </c>
      <c r="N240" s="12">
        <v>416</v>
      </c>
      <c r="O240" t="str">
        <f t="shared" si="7"/>
        <v>INSERT INTO public.medical_supply_sellable_unit (code, price, quantity, sale_uom, product_variant_code) VALUES ('PRODUCT-00120-001-01', NULL, 1, 'Bộ', 'PRODUCT-00120-001');</v>
      </c>
    </row>
    <row r="241" spans="1:15" x14ac:dyDescent="0.25">
      <c r="A241" s="10" t="str">
        <f>B241&amp;"-"&amp;TEXT(COUNTIF(B$2:B241,B241),"00")</f>
        <v>PRODUCT-00120-002-01</v>
      </c>
      <c r="B241" s="11" t="s">
        <v>1850</v>
      </c>
      <c r="C241" s="10" t="str">
        <f>_xlfn.XLOOKUP(B241,'Product Variant'!$A:$A,'Product Variant'!$B:$B,"NOT FOUND")</f>
        <v>PRODUCT-00120</v>
      </c>
      <c r="D241" s="10" t="str">
        <f>_xlfn.XLOOKUP(B241,'Product Variant'!$A:$A,'Product Variant'!$C:$C,"NOT FOUND")</f>
        <v>[Covidien] Ống mở khí quản 2 nòng không bóng, có cửa sổ - Shiley CFN</v>
      </c>
      <c r="E241" s="10" t="str" cm="1">
        <f t="array" ref="E241">_xlfn.TEXTJOIN(" / ",TRUE,_xlfn.XLOOKUP(B241&amp;"|ATTR-27",'Product Variant Attribute'!$A$2:$A$2000&amp;"|"&amp;'Product Variant Attribute'!$D$2:$D$2000,'Product Variant Attribute'!$F$2:$F$2000,""),_xlfn.XLOOKUP(B241&amp;"|ATTR-24",'Product Variant Attribute'!$A$2:$A$2000&amp;"|"&amp;'Product Variant Attribute'!$D$2:$D$2000,'Product Variant Attribute'!$F$2:$F$2000,""))</f>
        <v>Số 8</v>
      </c>
      <c r="F241" s="11" t="s">
        <v>815</v>
      </c>
      <c r="G241" s="11" t="s">
        <v>826</v>
      </c>
      <c r="H241" s="13">
        <f t="shared" si="8"/>
        <v>1</v>
      </c>
      <c r="I241" s="16" t="str">
        <f>_xlfn.XLOOKUP(C241,Product!$A:$A,Product!$G:$G,"NOT FOUND")</f>
        <v>bộ</v>
      </c>
      <c r="J241" s="22"/>
      <c r="K241" s="15" t="s">
        <v>1468</v>
      </c>
      <c r="L241" s="21">
        <v>290</v>
      </c>
      <c r="M241" s="10" t="s">
        <v>1009</v>
      </c>
      <c r="N241" s="12">
        <v>417</v>
      </c>
      <c r="O241" t="str">
        <f t="shared" si="7"/>
        <v>INSERT INTO public.medical_supply_sellable_unit (code, price, quantity, sale_uom, product_variant_code) VALUES ('PRODUCT-00120-002-01', NULL, 1, 'Bộ', 'PRODUCT-00120-002');</v>
      </c>
    </row>
    <row r="242" spans="1:15" x14ac:dyDescent="0.25">
      <c r="A242" s="10" t="str">
        <f>B242&amp;"-"&amp;TEXT(COUNTIF(B$2:B242,B242),"00")</f>
        <v>PRODUCT-00121-001-01</v>
      </c>
      <c r="B242" s="11" t="s">
        <v>1851</v>
      </c>
      <c r="C242" s="10" t="str">
        <f>_xlfn.XLOOKUP(B242,'Product Variant'!$A:$A,'Product Variant'!$B:$B,"NOT FOUND")</f>
        <v>PRODUCT-00121</v>
      </c>
      <c r="D242" s="10" t="str">
        <f>_xlfn.XLOOKUP(B242,'Product Variant'!$A:$A,'Product Variant'!$C:$C,"NOT FOUND")</f>
        <v>[Fuji System] Ống chẹn phế quản cô lập phổi - Uniblocker</v>
      </c>
      <c r="E242" s="10" t="str" cm="1">
        <f t="array" ref="E242">_xlfn.TEXTJOIN(" / ",TRUE,_xlfn.XLOOKUP(B242&amp;"|ATTR-27",'Product Variant Attribute'!$A$2:$A$2000&amp;"|"&amp;'Product Variant Attribute'!$D$2:$D$2000,'Product Variant Attribute'!$F$2:$F$2000,""),_xlfn.XLOOKUP(B242&amp;"|ATTR-24",'Product Variant Attribute'!$A$2:$A$2000&amp;"|"&amp;'Product Variant Attribute'!$D$2:$D$2000,'Product Variant Attribute'!$F$2:$F$2000,""))</f>
        <v>5Fr</v>
      </c>
      <c r="F242" s="11" t="s">
        <v>818</v>
      </c>
      <c r="G242" s="11" t="s">
        <v>927</v>
      </c>
      <c r="H242" s="13">
        <f t="shared" si="8"/>
        <v>1</v>
      </c>
      <c r="I242" s="16" t="str">
        <f>_xlfn.XLOOKUP(C242,Product!$A:$A,Product!$G:$G,"NOT FOUND")</f>
        <v>cái</v>
      </c>
      <c r="J242" s="22"/>
      <c r="K242" s="15" t="s">
        <v>1468</v>
      </c>
      <c r="L242" s="21">
        <v>191</v>
      </c>
      <c r="M242" s="10" t="s">
        <v>1010</v>
      </c>
      <c r="N242" s="12">
        <v>379</v>
      </c>
      <c r="O242" t="str">
        <f t="shared" si="7"/>
        <v>INSERT INTO public.medical_supply_sellable_unit (code, price, quantity, sale_uom, product_variant_code) VALUES ('PRODUCT-00121-001-01', NULL, 1, 'Cái', 'PRODUCT-00121-001');</v>
      </c>
    </row>
    <row r="243" spans="1:15" x14ac:dyDescent="0.25">
      <c r="A243" s="10" t="str">
        <f>B243&amp;"-"&amp;TEXT(COUNTIF(B$2:B243,B243),"00")</f>
        <v>PRODUCT-00121-002-01</v>
      </c>
      <c r="B243" s="11" t="s">
        <v>1852</v>
      </c>
      <c r="C243" s="10" t="str">
        <f>_xlfn.XLOOKUP(B243,'Product Variant'!$A:$A,'Product Variant'!$B:$B,"NOT FOUND")</f>
        <v>PRODUCT-00121</v>
      </c>
      <c r="D243" s="10" t="str">
        <f>_xlfn.XLOOKUP(B243,'Product Variant'!$A:$A,'Product Variant'!$C:$C,"NOT FOUND")</f>
        <v>[Fuji System] Ống chẹn phế quản cô lập phổi - Uniblocker</v>
      </c>
      <c r="E243" s="10" t="str" cm="1">
        <f t="array" ref="E243">_xlfn.TEXTJOIN(" / ",TRUE,_xlfn.XLOOKUP(B243&amp;"|ATTR-27",'Product Variant Attribute'!$A$2:$A$2000&amp;"|"&amp;'Product Variant Attribute'!$D$2:$D$2000,'Product Variant Attribute'!$F$2:$F$2000,""),_xlfn.XLOOKUP(B243&amp;"|ATTR-24",'Product Variant Attribute'!$A$2:$A$2000&amp;"|"&amp;'Product Variant Attribute'!$D$2:$D$2000,'Product Variant Attribute'!$F$2:$F$2000,""))</f>
        <v>9Fr</v>
      </c>
      <c r="F243" s="11" t="s">
        <v>818</v>
      </c>
      <c r="G243" s="11" t="s">
        <v>927</v>
      </c>
      <c r="H243" s="13">
        <f t="shared" si="8"/>
        <v>1</v>
      </c>
      <c r="I243" s="16" t="str">
        <f>_xlfn.XLOOKUP(C243,Product!$A:$A,Product!$G:$G,"NOT FOUND")</f>
        <v>cái</v>
      </c>
      <c r="J243" s="22"/>
      <c r="K243" s="15" t="s">
        <v>1468</v>
      </c>
      <c r="L243" s="21">
        <v>192</v>
      </c>
      <c r="M243" s="10" t="s">
        <v>1010</v>
      </c>
      <c r="N243" s="12">
        <v>380</v>
      </c>
      <c r="O243" t="str">
        <f t="shared" si="7"/>
        <v>INSERT INTO public.medical_supply_sellable_unit (code, price, quantity, sale_uom, product_variant_code) VALUES ('PRODUCT-00121-002-01', NULL, 1, 'Cái', 'PRODUCT-00121-002');</v>
      </c>
    </row>
    <row r="244" spans="1:15" x14ac:dyDescent="0.25">
      <c r="A244" s="10" t="str">
        <f>B244&amp;"-"&amp;TEXT(COUNTIF(B$2:B244,B244),"00")</f>
        <v>PRODUCT-00122-001-01</v>
      </c>
      <c r="B244" s="11" t="s">
        <v>1853</v>
      </c>
      <c r="C244" s="10" t="str">
        <f>_xlfn.XLOOKUP(B244,'Product Variant'!$A:$A,'Product Variant'!$B:$B,"NOT FOUND")</f>
        <v>PRODUCT-00122</v>
      </c>
      <c r="D244" s="10" t="str">
        <f>_xlfn.XLOOKUP(B244,'Product Variant'!$A:$A,'Product Variant'!$C:$C,"NOT FOUND")</f>
        <v>[Fuji System] Ống nội khí quản 2 nòng - Silbroncho (Carlens)</v>
      </c>
      <c r="E244" s="10" t="str" cm="1">
        <f t="array" ref="E244">_xlfn.TEXTJOIN(" / ",TRUE,_xlfn.XLOOKUP(B244&amp;"|ATTR-27",'Product Variant Attribute'!$A$2:$A$2000&amp;"|"&amp;'Product Variant Attribute'!$D$2:$D$2000,'Product Variant Attribute'!$F$2:$F$2000,""),_xlfn.XLOOKUP(B244&amp;"|ATTR-24",'Product Variant Attribute'!$A$2:$A$2000&amp;"|"&amp;'Product Variant Attribute'!$D$2:$D$2000,'Product Variant Attribute'!$F$2:$F$2000,""))</f>
        <v>33Fr</v>
      </c>
      <c r="F244" s="11" t="s">
        <v>815</v>
      </c>
      <c r="G244" s="11" t="s">
        <v>826</v>
      </c>
      <c r="H244" s="13">
        <f t="shared" si="8"/>
        <v>1</v>
      </c>
      <c r="I244" s="16" t="str">
        <f>_xlfn.XLOOKUP(C244,Product!$A:$A,Product!$G:$G,"NOT FOUND")</f>
        <v>bộ</v>
      </c>
      <c r="J244" s="22"/>
      <c r="K244" s="15" t="s">
        <v>1468</v>
      </c>
      <c r="L244" s="21">
        <v>179</v>
      </c>
      <c r="M244" s="10" t="s">
        <v>1011</v>
      </c>
      <c r="N244" s="12">
        <v>420</v>
      </c>
      <c r="O244" t="str">
        <f t="shared" si="7"/>
        <v>INSERT INTO public.medical_supply_sellable_unit (code, price, quantity, sale_uom, product_variant_code) VALUES ('PRODUCT-00122-001-01', NULL, 1, 'Bộ', 'PRODUCT-00122-001');</v>
      </c>
    </row>
    <row r="245" spans="1:15" x14ac:dyDescent="0.25">
      <c r="A245" s="10" t="str">
        <f>B245&amp;"-"&amp;TEXT(COUNTIF(B$2:B245,B245),"00")</f>
        <v>PRODUCT-00122-002-01</v>
      </c>
      <c r="B245" s="11" t="s">
        <v>1854</v>
      </c>
      <c r="C245" s="10" t="str">
        <f>_xlfn.XLOOKUP(B245,'Product Variant'!$A:$A,'Product Variant'!$B:$B,"NOT FOUND")</f>
        <v>PRODUCT-00122</v>
      </c>
      <c r="D245" s="10" t="str">
        <f>_xlfn.XLOOKUP(B245,'Product Variant'!$A:$A,'Product Variant'!$C:$C,"NOT FOUND")</f>
        <v>[Fuji System] Ống nội khí quản 2 nòng - Silbroncho (Carlens)</v>
      </c>
      <c r="E245" s="10" t="str" cm="1">
        <f t="array" ref="E245">_xlfn.TEXTJOIN(" / ",TRUE,_xlfn.XLOOKUP(B245&amp;"|ATTR-27",'Product Variant Attribute'!$A$2:$A$2000&amp;"|"&amp;'Product Variant Attribute'!$D$2:$D$2000,'Product Variant Attribute'!$F$2:$F$2000,""),_xlfn.XLOOKUP(B245&amp;"|ATTR-24",'Product Variant Attribute'!$A$2:$A$2000&amp;"|"&amp;'Product Variant Attribute'!$D$2:$D$2000,'Product Variant Attribute'!$F$2:$F$2000,""))</f>
        <v>35Fr</v>
      </c>
      <c r="F245" s="11" t="s">
        <v>815</v>
      </c>
      <c r="G245" s="11" t="s">
        <v>826</v>
      </c>
      <c r="H245" s="13">
        <f t="shared" si="8"/>
        <v>1</v>
      </c>
      <c r="I245" s="16" t="str">
        <f>_xlfn.XLOOKUP(C245,Product!$A:$A,Product!$G:$G,"NOT FOUND")</f>
        <v>bộ</v>
      </c>
      <c r="J245" s="22"/>
      <c r="K245" s="15" t="s">
        <v>1468</v>
      </c>
      <c r="L245" s="21">
        <v>180</v>
      </c>
      <c r="M245" s="10" t="s">
        <v>1011</v>
      </c>
      <c r="N245" s="12">
        <v>421</v>
      </c>
      <c r="O245" t="str">
        <f t="shared" si="7"/>
        <v>INSERT INTO public.medical_supply_sellable_unit (code, price, quantity, sale_uom, product_variant_code) VALUES ('PRODUCT-00122-002-01', NULL, 1, 'Bộ', 'PRODUCT-00122-002');</v>
      </c>
    </row>
    <row r="246" spans="1:15" x14ac:dyDescent="0.25">
      <c r="A246" s="10" t="str">
        <f>B246&amp;"-"&amp;TEXT(COUNTIF(B$2:B246,B246),"00")</f>
        <v>PRODUCT-00122-003-01</v>
      </c>
      <c r="B246" s="11" t="s">
        <v>1855</v>
      </c>
      <c r="C246" s="10" t="str">
        <f>_xlfn.XLOOKUP(B246,'Product Variant'!$A:$A,'Product Variant'!$B:$B,"NOT FOUND")</f>
        <v>PRODUCT-00122</v>
      </c>
      <c r="D246" s="10" t="str">
        <f>_xlfn.XLOOKUP(B246,'Product Variant'!$A:$A,'Product Variant'!$C:$C,"NOT FOUND")</f>
        <v>[Fuji System] Ống nội khí quản 2 nòng - Silbroncho (Carlens)</v>
      </c>
      <c r="E246" s="10" t="str" cm="1">
        <f t="array" ref="E246">_xlfn.TEXTJOIN(" / ",TRUE,_xlfn.XLOOKUP(B246&amp;"|ATTR-27",'Product Variant Attribute'!$A$2:$A$2000&amp;"|"&amp;'Product Variant Attribute'!$D$2:$D$2000,'Product Variant Attribute'!$F$2:$F$2000,""),_xlfn.XLOOKUP(B246&amp;"|ATTR-24",'Product Variant Attribute'!$A$2:$A$2000&amp;"|"&amp;'Product Variant Attribute'!$D$2:$D$2000,'Product Variant Attribute'!$F$2:$F$2000,""))</f>
        <v>37Fr</v>
      </c>
      <c r="F246" s="11" t="s">
        <v>815</v>
      </c>
      <c r="G246" s="11" t="s">
        <v>826</v>
      </c>
      <c r="H246" s="13">
        <f t="shared" si="8"/>
        <v>1</v>
      </c>
      <c r="I246" s="16" t="str">
        <f>_xlfn.XLOOKUP(C246,Product!$A:$A,Product!$G:$G,"NOT FOUND")</f>
        <v>bộ</v>
      </c>
      <c r="J246" s="22"/>
      <c r="K246" s="15" t="s">
        <v>1468</v>
      </c>
      <c r="L246" s="21">
        <v>181</v>
      </c>
      <c r="M246" s="10" t="s">
        <v>1011</v>
      </c>
      <c r="N246" s="12">
        <v>422</v>
      </c>
      <c r="O246" t="str">
        <f t="shared" si="7"/>
        <v>INSERT INTO public.medical_supply_sellable_unit (code, price, quantity, sale_uom, product_variant_code) VALUES ('PRODUCT-00122-003-01', NULL, 1, 'Bộ', 'PRODUCT-00122-003');</v>
      </c>
    </row>
    <row r="247" spans="1:15" x14ac:dyDescent="0.25">
      <c r="A247" s="10" t="str">
        <f>B247&amp;"-"&amp;TEXT(COUNTIF(B$2:B247,B247),"00")</f>
        <v>PRODUCT-00123-001-01</v>
      </c>
      <c r="B247" s="11" t="s">
        <v>1856</v>
      </c>
      <c r="C247" s="10" t="str">
        <f>_xlfn.XLOOKUP(B247,'Product Variant'!$A:$A,'Product Variant'!$B:$B,"NOT FOUND")</f>
        <v>PRODUCT-00123</v>
      </c>
      <c r="D247" s="10" t="str">
        <f>_xlfn.XLOOKUP(B247,'Product Variant'!$A:$A,'Product Variant'!$C:$C,"NOT FOUND")</f>
        <v>[Fuji System] Ống nội khí quản tích hợp sẵn ống chặn phổi - Univent™</v>
      </c>
      <c r="E247" s="10" t="str" cm="1">
        <f t="array" ref="E247">_xlfn.TEXTJOIN(" / ",TRUE,_xlfn.XLOOKUP(B247&amp;"|ATTR-27",'Product Variant Attribute'!$A$2:$A$2000&amp;"|"&amp;'Product Variant Attribute'!$D$2:$D$2000,'Product Variant Attribute'!$F$2:$F$2000,""),_xlfn.XLOOKUP(B247&amp;"|ATTR-24",'Product Variant Attribute'!$A$2:$A$2000&amp;"|"&amp;'Product Variant Attribute'!$D$2:$D$2000,'Product Variant Attribute'!$F$2:$F$2000,""))</f>
        <v/>
      </c>
      <c r="F247" s="11" t="s">
        <v>818</v>
      </c>
      <c r="G247" s="11" t="s">
        <v>927</v>
      </c>
      <c r="H247" s="13">
        <f t="shared" si="8"/>
        <v>1</v>
      </c>
      <c r="I247" s="16" t="str">
        <f>_xlfn.XLOOKUP(C247,Product!$A:$A,Product!$G:$G,"NOT FOUND")</f>
        <v>cái</v>
      </c>
      <c r="J247" s="22"/>
      <c r="K247" s="15" t="s">
        <v>1468</v>
      </c>
      <c r="L247" s="21">
        <v>6</v>
      </c>
      <c r="M247" s="10" t="s">
        <v>1012</v>
      </c>
      <c r="N247" s="12">
        <v>430</v>
      </c>
      <c r="O247" t="str">
        <f t="shared" si="7"/>
        <v>INSERT INTO public.medical_supply_sellable_unit (code, price, quantity, sale_uom, product_variant_code) VALUES ('PRODUCT-00123-001-01', NULL, 1, 'Cái', 'PRODUCT-00123-001');</v>
      </c>
    </row>
    <row r="248" spans="1:15" x14ac:dyDescent="0.25">
      <c r="A248" s="10" t="str">
        <f>B248&amp;"-"&amp;TEXT(COUNTIF(B$2:B248,B248),"00")</f>
        <v>PRODUCT-00124-001-01</v>
      </c>
      <c r="B248" s="11" t="s">
        <v>1857</v>
      </c>
      <c r="C248" s="10" t="str">
        <f>_xlfn.XLOOKUP(B248,'Product Variant'!$A:$A,'Product Variant'!$B:$B,"NOT FOUND")</f>
        <v>PRODUCT-00124</v>
      </c>
      <c r="D248" s="10" t="str">
        <f>_xlfn.XLOOKUP(B248,'Product Variant'!$A:$A,'Product Variant'!$C:$C,"NOT FOUND")</f>
        <v>[HangZhou] Mask thanh quản 1 nòng dùng 1 lần</v>
      </c>
      <c r="E248" s="10" t="str" cm="1">
        <f t="array" ref="E248">_xlfn.TEXTJOIN(" / ",TRUE,_xlfn.XLOOKUP(B248&amp;"|ATTR-27",'Product Variant Attribute'!$A$2:$A$2000&amp;"|"&amp;'Product Variant Attribute'!$D$2:$D$2000,'Product Variant Attribute'!$F$2:$F$2000,""),_xlfn.XLOOKUP(B248&amp;"|ATTR-24",'Product Variant Attribute'!$A$2:$A$2000&amp;"|"&amp;'Product Variant Attribute'!$D$2:$D$2000,'Product Variant Attribute'!$F$2:$F$2000,""))</f>
        <v>Số 1.5</v>
      </c>
      <c r="F248" s="11" t="s">
        <v>818</v>
      </c>
      <c r="G248" s="11" t="s">
        <v>927</v>
      </c>
      <c r="H248" s="13">
        <f t="shared" si="8"/>
        <v>1</v>
      </c>
      <c r="I248" s="16" t="str">
        <f>_xlfn.XLOOKUP(C248,Product!$A:$A,Product!$G:$G,"NOT FOUND")</f>
        <v>cái</v>
      </c>
      <c r="J248" s="22"/>
      <c r="K248" s="15" t="s">
        <v>1468</v>
      </c>
      <c r="L248" s="21">
        <v>182</v>
      </c>
      <c r="M248" s="10" t="s">
        <v>1013</v>
      </c>
      <c r="N248" s="12">
        <v>285</v>
      </c>
      <c r="O248" t="str">
        <f t="shared" si="7"/>
        <v>INSERT INTO public.medical_supply_sellable_unit (code, price, quantity, sale_uom, product_variant_code) VALUES ('PRODUCT-00124-001-01', NULL, 1, 'Cái', 'PRODUCT-00124-001');</v>
      </c>
    </row>
    <row r="249" spans="1:15" x14ac:dyDescent="0.25">
      <c r="A249" s="10" t="str">
        <f>B249&amp;"-"&amp;TEXT(COUNTIF(B$2:B249,B249),"00")</f>
        <v>PRODUCT-00124-002-01</v>
      </c>
      <c r="B249" s="11" t="s">
        <v>1858</v>
      </c>
      <c r="C249" s="10" t="str">
        <f>_xlfn.XLOOKUP(B249,'Product Variant'!$A:$A,'Product Variant'!$B:$B,"NOT FOUND")</f>
        <v>PRODUCT-00124</v>
      </c>
      <c r="D249" s="10" t="str">
        <f>_xlfn.XLOOKUP(B249,'Product Variant'!$A:$A,'Product Variant'!$C:$C,"NOT FOUND")</f>
        <v>[HangZhou] Mask thanh quản 1 nòng dùng 1 lần</v>
      </c>
      <c r="E249" s="10" t="str" cm="1">
        <f t="array" ref="E249">_xlfn.TEXTJOIN(" / ",TRUE,_xlfn.XLOOKUP(B249&amp;"|ATTR-27",'Product Variant Attribute'!$A$2:$A$2000&amp;"|"&amp;'Product Variant Attribute'!$D$2:$D$2000,'Product Variant Attribute'!$F$2:$F$2000,""),_xlfn.XLOOKUP(B249&amp;"|ATTR-24",'Product Variant Attribute'!$A$2:$A$2000&amp;"|"&amp;'Product Variant Attribute'!$D$2:$D$2000,'Product Variant Attribute'!$F$2:$F$2000,""))</f>
        <v>Số 2</v>
      </c>
      <c r="F249" s="11" t="s">
        <v>818</v>
      </c>
      <c r="G249" s="11" t="s">
        <v>927</v>
      </c>
      <c r="H249" s="13">
        <f t="shared" si="8"/>
        <v>1</v>
      </c>
      <c r="I249" s="16" t="str">
        <f>_xlfn.XLOOKUP(C249,Product!$A:$A,Product!$G:$G,"NOT FOUND")</f>
        <v>cái</v>
      </c>
      <c r="J249" s="22"/>
      <c r="K249" s="15" t="s">
        <v>1468</v>
      </c>
      <c r="L249" s="21"/>
      <c r="M249" s="10" t="s">
        <v>1013</v>
      </c>
      <c r="N249" s="12">
        <v>286</v>
      </c>
      <c r="O249" t="str">
        <f t="shared" si="7"/>
        <v>INSERT INTO public.medical_supply_sellable_unit (code, price, quantity, sale_uom, product_variant_code) VALUES ('PRODUCT-00124-002-01', NULL, 1, 'Cái', 'PRODUCT-00124-002');</v>
      </c>
    </row>
    <row r="250" spans="1:15" x14ac:dyDescent="0.25">
      <c r="A250" s="10" t="str">
        <f>B250&amp;"-"&amp;TEXT(COUNTIF(B$2:B250,B250),"00")</f>
        <v>PRODUCT-00124-003-01</v>
      </c>
      <c r="B250" s="11" t="s">
        <v>1859</v>
      </c>
      <c r="C250" s="10" t="str">
        <f>_xlfn.XLOOKUP(B250,'Product Variant'!$A:$A,'Product Variant'!$B:$B,"NOT FOUND")</f>
        <v>PRODUCT-00124</v>
      </c>
      <c r="D250" s="10" t="str">
        <f>_xlfn.XLOOKUP(B250,'Product Variant'!$A:$A,'Product Variant'!$C:$C,"NOT FOUND")</f>
        <v>[HangZhou] Mask thanh quản 1 nòng dùng 1 lần</v>
      </c>
      <c r="E250" s="10" t="str" cm="1">
        <f t="array" ref="E250">_xlfn.TEXTJOIN(" / ",TRUE,_xlfn.XLOOKUP(B250&amp;"|ATTR-27",'Product Variant Attribute'!$A$2:$A$2000&amp;"|"&amp;'Product Variant Attribute'!$D$2:$D$2000,'Product Variant Attribute'!$F$2:$F$2000,""),_xlfn.XLOOKUP(B250&amp;"|ATTR-24",'Product Variant Attribute'!$A$2:$A$2000&amp;"|"&amp;'Product Variant Attribute'!$D$2:$D$2000,'Product Variant Attribute'!$F$2:$F$2000,""))</f>
        <v>Số 2.5</v>
      </c>
      <c r="F250" s="11" t="s">
        <v>818</v>
      </c>
      <c r="G250" s="11" t="s">
        <v>927</v>
      </c>
      <c r="H250" s="13">
        <f t="shared" si="8"/>
        <v>1</v>
      </c>
      <c r="I250" s="16" t="str">
        <f>_xlfn.XLOOKUP(C250,Product!$A:$A,Product!$G:$G,"NOT FOUND")</f>
        <v>cái</v>
      </c>
      <c r="J250" s="22"/>
      <c r="K250" s="15" t="s">
        <v>1468</v>
      </c>
      <c r="L250" s="21">
        <v>184</v>
      </c>
      <c r="M250" s="10" t="s">
        <v>1013</v>
      </c>
      <c r="N250" s="12">
        <v>287</v>
      </c>
      <c r="O250" t="str">
        <f t="shared" si="7"/>
        <v>INSERT INTO public.medical_supply_sellable_unit (code, price, quantity, sale_uom, product_variant_code) VALUES ('PRODUCT-00124-003-01', NULL, 1, 'Cái', 'PRODUCT-00124-003');</v>
      </c>
    </row>
    <row r="251" spans="1:15" x14ac:dyDescent="0.25">
      <c r="A251" s="10" t="str">
        <f>B251&amp;"-"&amp;TEXT(COUNTIF(B$2:B251,B251),"00")</f>
        <v>PRODUCT-00124-004-01</v>
      </c>
      <c r="B251" s="11" t="s">
        <v>1860</v>
      </c>
      <c r="C251" s="10" t="str">
        <f>_xlfn.XLOOKUP(B251,'Product Variant'!$A:$A,'Product Variant'!$B:$B,"NOT FOUND")</f>
        <v>PRODUCT-00124</v>
      </c>
      <c r="D251" s="10" t="str">
        <f>_xlfn.XLOOKUP(B251,'Product Variant'!$A:$A,'Product Variant'!$C:$C,"NOT FOUND")</f>
        <v>[HangZhou] Mask thanh quản 1 nòng dùng 1 lần</v>
      </c>
      <c r="E251" s="10" t="str" cm="1">
        <f t="array" ref="E251">_xlfn.TEXTJOIN(" / ",TRUE,_xlfn.XLOOKUP(B251&amp;"|ATTR-27",'Product Variant Attribute'!$A$2:$A$2000&amp;"|"&amp;'Product Variant Attribute'!$D$2:$D$2000,'Product Variant Attribute'!$F$2:$F$2000,""),_xlfn.XLOOKUP(B251&amp;"|ATTR-24",'Product Variant Attribute'!$A$2:$A$2000&amp;"|"&amp;'Product Variant Attribute'!$D$2:$D$2000,'Product Variant Attribute'!$F$2:$F$2000,""))</f>
        <v>Số 3</v>
      </c>
      <c r="F251" s="11" t="s">
        <v>818</v>
      </c>
      <c r="G251" s="11" t="s">
        <v>927</v>
      </c>
      <c r="H251" s="13">
        <f t="shared" si="8"/>
        <v>1</v>
      </c>
      <c r="I251" s="16" t="str">
        <f>_xlfn.XLOOKUP(C251,Product!$A:$A,Product!$G:$G,"NOT FOUND")</f>
        <v>cái</v>
      </c>
      <c r="J251" s="22"/>
      <c r="K251" s="15" t="s">
        <v>1468</v>
      </c>
      <c r="L251" s="21"/>
      <c r="M251" s="10" t="s">
        <v>1013</v>
      </c>
      <c r="N251" s="12">
        <v>288</v>
      </c>
      <c r="O251" t="str">
        <f t="shared" si="7"/>
        <v>INSERT INTO public.medical_supply_sellable_unit (code, price, quantity, sale_uom, product_variant_code) VALUES ('PRODUCT-00124-004-01', NULL, 1, 'Cái', 'PRODUCT-00124-004');</v>
      </c>
    </row>
    <row r="252" spans="1:15" x14ac:dyDescent="0.25">
      <c r="A252" s="10" t="str">
        <f>B252&amp;"-"&amp;TEXT(COUNTIF(B$2:B252,B252),"00")</f>
        <v>PRODUCT-00124-005-01</v>
      </c>
      <c r="B252" s="11" t="s">
        <v>1861</v>
      </c>
      <c r="C252" s="10" t="str">
        <f>_xlfn.XLOOKUP(B252,'Product Variant'!$A:$A,'Product Variant'!$B:$B,"NOT FOUND")</f>
        <v>PRODUCT-00124</v>
      </c>
      <c r="D252" s="10" t="str">
        <f>_xlfn.XLOOKUP(B252,'Product Variant'!$A:$A,'Product Variant'!$C:$C,"NOT FOUND")</f>
        <v>[HangZhou] Mask thanh quản 1 nòng dùng 1 lần</v>
      </c>
      <c r="E252" s="10" t="str" cm="1">
        <f t="array" ref="E252">_xlfn.TEXTJOIN(" / ",TRUE,_xlfn.XLOOKUP(B252&amp;"|ATTR-27",'Product Variant Attribute'!$A$2:$A$2000&amp;"|"&amp;'Product Variant Attribute'!$D$2:$D$2000,'Product Variant Attribute'!$F$2:$F$2000,""),_xlfn.XLOOKUP(B252&amp;"|ATTR-24",'Product Variant Attribute'!$A$2:$A$2000&amp;"|"&amp;'Product Variant Attribute'!$D$2:$D$2000,'Product Variant Attribute'!$F$2:$F$2000,""))</f>
        <v>Số 4</v>
      </c>
      <c r="F252" s="11" t="s">
        <v>818</v>
      </c>
      <c r="G252" s="11" t="s">
        <v>927</v>
      </c>
      <c r="H252" s="13">
        <f t="shared" si="8"/>
        <v>1</v>
      </c>
      <c r="I252" s="16" t="str">
        <f>_xlfn.XLOOKUP(C252,Product!$A:$A,Product!$G:$G,"NOT FOUND")</f>
        <v>cái</v>
      </c>
      <c r="J252" s="22"/>
      <c r="K252" s="15" t="s">
        <v>1468</v>
      </c>
      <c r="L252" s="21"/>
      <c r="M252" s="10" t="s">
        <v>1013</v>
      </c>
      <c r="N252" s="12">
        <v>289</v>
      </c>
      <c r="O252" t="str">
        <f t="shared" si="7"/>
        <v>INSERT INTO public.medical_supply_sellable_unit (code, price, quantity, sale_uom, product_variant_code) VALUES ('PRODUCT-00124-005-01', NULL, 1, 'Cái', 'PRODUCT-00124-005');</v>
      </c>
    </row>
    <row r="253" spans="1:15" x14ac:dyDescent="0.25">
      <c r="A253" s="10" t="str">
        <f>B253&amp;"-"&amp;TEXT(COUNTIF(B$2:B253,B253),"00")</f>
        <v>PRODUCT-00124-006-01</v>
      </c>
      <c r="B253" s="11" t="s">
        <v>1862</v>
      </c>
      <c r="C253" s="10" t="str">
        <f>_xlfn.XLOOKUP(B253,'Product Variant'!$A:$A,'Product Variant'!$B:$B,"NOT FOUND")</f>
        <v>PRODUCT-00124</v>
      </c>
      <c r="D253" s="10" t="str">
        <f>_xlfn.XLOOKUP(B253,'Product Variant'!$A:$A,'Product Variant'!$C:$C,"NOT FOUND")</f>
        <v>[HangZhou] Mask thanh quản 1 nòng dùng 1 lần</v>
      </c>
      <c r="E253" s="10" t="str" cm="1">
        <f t="array" ref="E253">_xlfn.TEXTJOIN(" / ",TRUE,_xlfn.XLOOKUP(B253&amp;"|ATTR-27",'Product Variant Attribute'!$A$2:$A$2000&amp;"|"&amp;'Product Variant Attribute'!$D$2:$D$2000,'Product Variant Attribute'!$F$2:$F$2000,""),_xlfn.XLOOKUP(B253&amp;"|ATTR-24",'Product Variant Attribute'!$A$2:$A$2000&amp;"|"&amp;'Product Variant Attribute'!$D$2:$D$2000,'Product Variant Attribute'!$F$2:$F$2000,""))</f>
        <v>Số 5</v>
      </c>
      <c r="F253" s="11" t="s">
        <v>818</v>
      </c>
      <c r="G253" s="11" t="s">
        <v>927</v>
      </c>
      <c r="H253" s="13">
        <f t="shared" si="8"/>
        <v>1</v>
      </c>
      <c r="I253" s="16" t="str">
        <f>_xlfn.XLOOKUP(C253,Product!$A:$A,Product!$G:$G,"NOT FOUND")</f>
        <v>cái</v>
      </c>
      <c r="J253" s="22"/>
      <c r="K253" s="15" t="s">
        <v>1468</v>
      </c>
      <c r="L253" s="21"/>
      <c r="M253" s="10" t="s">
        <v>1013</v>
      </c>
      <c r="N253" s="12">
        <v>290</v>
      </c>
      <c r="O253" t="str">
        <f t="shared" si="7"/>
        <v>INSERT INTO public.medical_supply_sellable_unit (code, price, quantity, sale_uom, product_variant_code) VALUES ('PRODUCT-00124-006-01', NULL, 1, 'Cái', 'PRODUCT-00124-006');</v>
      </c>
    </row>
    <row r="254" spans="1:15" x14ac:dyDescent="0.25">
      <c r="A254" s="10" t="str">
        <f>B254&amp;"-"&amp;TEXT(COUNTIF(B$2:B254,B254),"00")</f>
        <v>PRODUCT-00125-001-01</v>
      </c>
      <c r="B254" s="11" t="s">
        <v>1863</v>
      </c>
      <c r="C254" s="10" t="str">
        <f>_xlfn.XLOOKUP(B254,'Product Variant'!$A:$A,'Product Variant'!$B:$B,"NOT FOUND")</f>
        <v>PRODUCT-00125</v>
      </c>
      <c r="D254" s="10" t="str">
        <f>_xlfn.XLOOKUP(B254,'Product Variant'!$A:$A,'Product Variant'!$C:$C,"NOT FOUND")</f>
        <v>[Hoàng Sơn] Dây hút đàm nhớt có kiểm soát</v>
      </c>
      <c r="E254" s="10" t="str" cm="1">
        <f t="array" ref="E254">_xlfn.TEXTJOIN(" / ",TRUE,_xlfn.XLOOKUP(B254&amp;"|ATTR-27",'Product Variant Attribute'!$A$2:$A$2000&amp;"|"&amp;'Product Variant Attribute'!$D$2:$D$2000,'Product Variant Attribute'!$F$2:$F$2000,""),_xlfn.XLOOKUP(B254&amp;"|ATTR-24",'Product Variant Attribute'!$A$2:$A$2000&amp;"|"&amp;'Product Variant Attribute'!$D$2:$D$2000,'Product Variant Attribute'!$F$2:$F$2000,""))</f>
        <v>8Fr</v>
      </c>
      <c r="F254" s="11" t="s">
        <v>817</v>
      </c>
      <c r="G254" s="11" t="s">
        <v>1014</v>
      </c>
      <c r="H254" s="13">
        <f t="shared" si="8"/>
        <v>10</v>
      </c>
      <c r="I254" s="16" t="str">
        <f>_xlfn.XLOOKUP(C254,Product!$A:$A,Product!$G:$G,"NOT FOUND")</f>
        <v>cái</v>
      </c>
      <c r="J254" s="22">
        <v>30000</v>
      </c>
      <c r="K254" s="15" t="s">
        <v>1401</v>
      </c>
      <c r="L254" s="21" t="s">
        <v>1402</v>
      </c>
      <c r="M254" s="10" t="s">
        <v>1015</v>
      </c>
      <c r="N254" s="12" t="s">
        <v>1226</v>
      </c>
      <c r="O254" t="str">
        <f t="shared" si="7"/>
        <v>INSERT INTO public.medical_supply_sellable_unit (code, price, quantity, sale_uom, product_variant_code) VALUES ('PRODUCT-00125-001-01', 30000, 10, 'Túi', 'PRODUCT-00125-001');</v>
      </c>
    </row>
    <row r="255" spans="1:15" x14ac:dyDescent="0.25">
      <c r="A255" s="10" t="str">
        <f>B255&amp;"-"&amp;TEXT(COUNTIF(B$2:B255,B255),"00")</f>
        <v>PRODUCT-00125-002-01</v>
      </c>
      <c r="B255" s="11" t="s">
        <v>1864</v>
      </c>
      <c r="C255" s="10" t="str">
        <f>_xlfn.XLOOKUP(B255,'Product Variant'!$A:$A,'Product Variant'!$B:$B,"NOT FOUND")</f>
        <v>PRODUCT-00125</v>
      </c>
      <c r="D255" s="10" t="str">
        <f>_xlfn.XLOOKUP(B255,'Product Variant'!$A:$A,'Product Variant'!$C:$C,"NOT FOUND")</f>
        <v>[Hoàng Sơn] Dây hút đàm nhớt có kiểm soát</v>
      </c>
      <c r="E255" s="10" t="str" cm="1">
        <f t="array" ref="E255">_xlfn.TEXTJOIN(" / ",TRUE,_xlfn.XLOOKUP(B255&amp;"|ATTR-27",'Product Variant Attribute'!$A$2:$A$2000&amp;"|"&amp;'Product Variant Attribute'!$D$2:$D$2000,'Product Variant Attribute'!$F$2:$F$2000,""),_xlfn.XLOOKUP(B255&amp;"|ATTR-24",'Product Variant Attribute'!$A$2:$A$2000&amp;"|"&amp;'Product Variant Attribute'!$D$2:$D$2000,'Product Variant Attribute'!$F$2:$F$2000,""))</f>
        <v>10Fr</v>
      </c>
      <c r="F255" s="11" t="s">
        <v>817</v>
      </c>
      <c r="G255" s="11" t="s">
        <v>1014</v>
      </c>
      <c r="H255" s="13">
        <f t="shared" si="8"/>
        <v>10</v>
      </c>
      <c r="I255" s="16" t="str">
        <f>_xlfn.XLOOKUP(C255,Product!$A:$A,Product!$G:$G,"NOT FOUND")</f>
        <v>cái</v>
      </c>
      <c r="J255" s="22">
        <v>30000</v>
      </c>
      <c r="K255" s="15" t="s">
        <v>1401</v>
      </c>
      <c r="L255" s="21" t="s">
        <v>1403</v>
      </c>
      <c r="M255" s="10" t="s">
        <v>1015</v>
      </c>
      <c r="N255" s="12" t="s">
        <v>1227</v>
      </c>
      <c r="O255" t="str">
        <f t="shared" si="7"/>
        <v>INSERT INTO public.medical_supply_sellable_unit (code, price, quantity, sale_uom, product_variant_code) VALUES ('PRODUCT-00125-002-01', 30000, 10, 'Túi', 'PRODUCT-00125-002');</v>
      </c>
    </row>
    <row r="256" spans="1:15" x14ac:dyDescent="0.25">
      <c r="A256" s="10" t="str">
        <f>B256&amp;"-"&amp;TEXT(COUNTIF(B$2:B256,B256),"00")</f>
        <v>PRODUCT-00125-003-01</v>
      </c>
      <c r="B256" s="11" t="s">
        <v>1865</v>
      </c>
      <c r="C256" s="10" t="str">
        <f>_xlfn.XLOOKUP(B256,'Product Variant'!$A:$A,'Product Variant'!$B:$B,"NOT FOUND")</f>
        <v>PRODUCT-00125</v>
      </c>
      <c r="D256" s="10" t="str">
        <f>_xlfn.XLOOKUP(B256,'Product Variant'!$A:$A,'Product Variant'!$C:$C,"NOT FOUND")</f>
        <v>[Hoàng Sơn] Dây hút đàm nhớt có kiểm soát</v>
      </c>
      <c r="E256" s="10" t="str" cm="1">
        <f t="array" ref="E256">_xlfn.TEXTJOIN(" / ",TRUE,_xlfn.XLOOKUP(B256&amp;"|ATTR-27",'Product Variant Attribute'!$A$2:$A$2000&amp;"|"&amp;'Product Variant Attribute'!$D$2:$D$2000,'Product Variant Attribute'!$F$2:$F$2000,""),_xlfn.XLOOKUP(B256&amp;"|ATTR-24",'Product Variant Attribute'!$A$2:$A$2000&amp;"|"&amp;'Product Variant Attribute'!$D$2:$D$2000,'Product Variant Attribute'!$F$2:$F$2000,""))</f>
        <v>12Fr</v>
      </c>
      <c r="F256" s="11" t="s">
        <v>817</v>
      </c>
      <c r="G256" s="11" t="s">
        <v>1014</v>
      </c>
      <c r="H256" s="13">
        <f t="shared" si="8"/>
        <v>10</v>
      </c>
      <c r="I256" s="16" t="str">
        <f>_xlfn.XLOOKUP(C256,Product!$A:$A,Product!$G:$G,"NOT FOUND")</f>
        <v>cái</v>
      </c>
      <c r="J256" s="22">
        <v>30000</v>
      </c>
      <c r="K256" s="15" t="s">
        <v>1401</v>
      </c>
      <c r="L256" s="21" t="s">
        <v>1404</v>
      </c>
      <c r="M256" s="10" t="s">
        <v>1015</v>
      </c>
      <c r="N256" s="12" t="s">
        <v>1228</v>
      </c>
      <c r="O256" t="str">
        <f t="shared" si="7"/>
        <v>INSERT INTO public.medical_supply_sellable_unit (code, price, quantity, sale_uom, product_variant_code) VALUES ('PRODUCT-00125-003-01', 30000, 10, 'Túi', 'PRODUCT-00125-003');</v>
      </c>
    </row>
    <row r="257" spans="1:15" x14ac:dyDescent="0.25">
      <c r="A257" s="10" t="str">
        <f>B257&amp;"-"&amp;TEXT(COUNTIF(B$2:B257,B257),"00")</f>
        <v>PRODUCT-00125-004-01</v>
      </c>
      <c r="B257" s="11" t="s">
        <v>1866</v>
      </c>
      <c r="C257" s="10" t="str">
        <f>_xlfn.XLOOKUP(B257,'Product Variant'!$A:$A,'Product Variant'!$B:$B,"NOT FOUND")</f>
        <v>PRODUCT-00125</v>
      </c>
      <c r="D257" s="10" t="str">
        <f>_xlfn.XLOOKUP(B257,'Product Variant'!$A:$A,'Product Variant'!$C:$C,"NOT FOUND")</f>
        <v>[Hoàng Sơn] Dây hút đàm nhớt có kiểm soát</v>
      </c>
      <c r="E257" s="10" t="str" cm="1">
        <f t="array" ref="E257">_xlfn.TEXTJOIN(" / ",TRUE,_xlfn.XLOOKUP(B257&amp;"|ATTR-27",'Product Variant Attribute'!$A$2:$A$2000&amp;"|"&amp;'Product Variant Attribute'!$D$2:$D$2000,'Product Variant Attribute'!$F$2:$F$2000,""),_xlfn.XLOOKUP(B257&amp;"|ATTR-24",'Product Variant Attribute'!$A$2:$A$2000&amp;"|"&amp;'Product Variant Attribute'!$D$2:$D$2000,'Product Variant Attribute'!$F$2:$F$2000,""))</f>
        <v>14Fr</v>
      </c>
      <c r="F257" s="11" t="s">
        <v>817</v>
      </c>
      <c r="G257" s="11" t="s">
        <v>1014</v>
      </c>
      <c r="H257" s="13">
        <f t="shared" si="8"/>
        <v>10</v>
      </c>
      <c r="I257" s="16" t="str">
        <f>_xlfn.XLOOKUP(C257,Product!$A:$A,Product!$G:$G,"NOT FOUND")</f>
        <v>cái</v>
      </c>
      <c r="J257" s="22">
        <v>30000</v>
      </c>
      <c r="K257" s="15" t="s">
        <v>1401</v>
      </c>
      <c r="L257" s="21" t="s">
        <v>1405</v>
      </c>
      <c r="M257" s="10" t="s">
        <v>1015</v>
      </c>
      <c r="N257" s="12" t="s">
        <v>1229</v>
      </c>
      <c r="O257" t="str">
        <f t="shared" si="7"/>
        <v>INSERT INTO public.medical_supply_sellable_unit (code, price, quantity, sale_uom, product_variant_code) VALUES ('PRODUCT-00125-004-01', 30000, 10, 'Túi', 'PRODUCT-00125-004');</v>
      </c>
    </row>
    <row r="258" spans="1:15" x14ac:dyDescent="0.25">
      <c r="A258" s="10" t="str">
        <f>B258&amp;"-"&amp;TEXT(COUNTIF(B$2:B258,B258),"00")</f>
        <v>PRODUCT-00126-001-01</v>
      </c>
      <c r="B258" s="11" t="s">
        <v>1867</v>
      </c>
      <c r="C258" s="10" t="str">
        <f>_xlfn.XLOOKUP(B258,'Product Variant'!$A:$A,'Product Variant'!$B:$B,"NOT FOUND")</f>
        <v>PRODUCT-00126</v>
      </c>
      <c r="D258" s="10" t="str">
        <f>_xlfn.XLOOKUP(B258,'Product Variant'!$A:$A,'Product Variant'!$C:$C,"NOT FOUND")</f>
        <v>[Hoàng Sơn] Dây hút đàm nhớt không kiểm soát</v>
      </c>
      <c r="E258" s="10" t="str" cm="1">
        <f t="array" ref="E258">_xlfn.TEXTJOIN(" / ",TRUE,_xlfn.XLOOKUP(B258&amp;"|ATTR-27",'Product Variant Attribute'!$A$2:$A$2000&amp;"|"&amp;'Product Variant Attribute'!$D$2:$D$2000,'Product Variant Attribute'!$F$2:$F$2000,""),_xlfn.XLOOKUP(B258&amp;"|ATTR-24",'Product Variant Attribute'!$A$2:$A$2000&amp;"|"&amp;'Product Variant Attribute'!$D$2:$D$2000,'Product Variant Attribute'!$F$2:$F$2000,""))</f>
        <v>8Fr</v>
      </c>
      <c r="F258" s="11" t="s">
        <v>817</v>
      </c>
      <c r="G258" s="11" t="s">
        <v>1014</v>
      </c>
      <c r="H258" s="13">
        <f t="shared" si="8"/>
        <v>10</v>
      </c>
      <c r="I258" s="16" t="str">
        <f>_xlfn.XLOOKUP(C258,Product!$A:$A,Product!$G:$G,"NOT FOUND")</f>
        <v>cái</v>
      </c>
      <c r="J258" s="22">
        <v>30000</v>
      </c>
      <c r="K258" s="15" t="s">
        <v>1401</v>
      </c>
      <c r="L258" s="21" t="s">
        <v>1406</v>
      </c>
      <c r="M258" s="10" t="s">
        <v>1016</v>
      </c>
      <c r="N258" s="12" t="s">
        <v>1230</v>
      </c>
      <c r="O258" t="str">
        <f t="shared" si="7"/>
        <v>INSERT INTO public.medical_supply_sellable_unit (code, price, quantity, sale_uom, product_variant_code) VALUES ('PRODUCT-00126-001-01', 30000, 10, 'Túi', 'PRODUCT-00126-001');</v>
      </c>
    </row>
    <row r="259" spans="1:15" x14ac:dyDescent="0.25">
      <c r="A259" s="10" t="str">
        <f>B259&amp;"-"&amp;TEXT(COUNTIF(B$2:B259,B259),"00")</f>
        <v>PRODUCT-00126-002-01</v>
      </c>
      <c r="B259" s="11" t="s">
        <v>1868</v>
      </c>
      <c r="C259" s="10" t="str">
        <f>_xlfn.XLOOKUP(B259,'Product Variant'!$A:$A,'Product Variant'!$B:$B,"NOT FOUND")</f>
        <v>PRODUCT-00126</v>
      </c>
      <c r="D259" s="10" t="str">
        <f>_xlfn.XLOOKUP(B259,'Product Variant'!$A:$A,'Product Variant'!$C:$C,"NOT FOUND")</f>
        <v>[Hoàng Sơn] Dây hút đàm nhớt không kiểm soát</v>
      </c>
      <c r="E259" s="10" t="str" cm="1">
        <f t="array" ref="E259">_xlfn.TEXTJOIN(" / ",TRUE,_xlfn.XLOOKUP(B259&amp;"|ATTR-27",'Product Variant Attribute'!$A$2:$A$2000&amp;"|"&amp;'Product Variant Attribute'!$D$2:$D$2000,'Product Variant Attribute'!$F$2:$F$2000,""),_xlfn.XLOOKUP(B259&amp;"|ATTR-24",'Product Variant Attribute'!$A$2:$A$2000&amp;"|"&amp;'Product Variant Attribute'!$D$2:$D$2000,'Product Variant Attribute'!$F$2:$F$2000,""))</f>
        <v>12Fr</v>
      </c>
      <c r="F259" s="11" t="s">
        <v>817</v>
      </c>
      <c r="G259" s="11" t="s">
        <v>1014</v>
      </c>
      <c r="H259" s="13">
        <f t="shared" si="8"/>
        <v>10</v>
      </c>
      <c r="I259" s="16" t="str">
        <f>_xlfn.XLOOKUP(C259,Product!$A:$A,Product!$G:$G,"NOT FOUND")</f>
        <v>cái</v>
      </c>
      <c r="J259" s="22">
        <v>30000</v>
      </c>
      <c r="K259" s="15" t="s">
        <v>1401</v>
      </c>
      <c r="L259" s="21" t="s">
        <v>1407</v>
      </c>
      <c r="M259" s="10" t="s">
        <v>1016</v>
      </c>
      <c r="N259" s="12" t="s">
        <v>1231</v>
      </c>
      <c r="O259" t="str">
        <f t="shared" ref="O259:O322" si="9">"INSERT INTO public.medical_supply_sellable_unit (code, price, quantity, sale_uom, product_variant_code) VALUES ('"&amp;A259&amp;"', "&amp;IF(J259="","NULL",J259)&amp;", "&amp;IF(H259="","NULL",H259)&amp;", "&amp;IF(F259="","NULL","'"&amp;SUBSTITUTE(F259,"'","''")&amp;"'")&amp;", '"&amp;B259&amp;"');"</f>
        <v>INSERT INTO public.medical_supply_sellable_unit (code, price, quantity, sale_uom, product_variant_code) VALUES ('PRODUCT-00126-002-01', 30000, 10, 'Túi', 'PRODUCT-00126-002');</v>
      </c>
    </row>
    <row r="260" spans="1:15" x14ac:dyDescent="0.25">
      <c r="A260" s="10" t="str">
        <f>B260&amp;"-"&amp;TEXT(COUNTIF(B$2:B260,B260),"00")</f>
        <v>PRODUCT-00126-003-01</v>
      </c>
      <c r="B260" s="11" t="s">
        <v>1869</v>
      </c>
      <c r="C260" s="10" t="str">
        <f>_xlfn.XLOOKUP(B260,'Product Variant'!$A:$A,'Product Variant'!$B:$B,"NOT FOUND")</f>
        <v>PRODUCT-00126</v>
      </c>
      <c r="D260" s="10" t="str">
        <f>_xlfn.XLOOKUP(B260,'Product Variant'!$A:$A,'Product Variant'!$C:$C,"NOT FOUND")</f>
        <v>[Hoàng Sơn] Dây hút đàm nhớt không kiểm soát</v>
      </c>
      <c r="E260" s="10" t="str" cm="1">
        <f t="array" ref="E260">_xlfn.TEXTJOIN(" / ",TRUE,_xlfn.XLOOKUP(B260&amp;"|ATTR-27",'Product Variant Attribute'!$A$2:$A$2000&amp;"|"&amp;'Product Variant Attribute'!$D$2:$D$2000,'Product Variant Attribute'!$F$2:$F$2000,""),_xlfn.XLOOKUP(B260&amp;"|ATTR-24",'Product Variant Attribute'!$A$2:$A$2000&amp;"|"&amp;'Product Variant Attribute'!$D$2:$D$2000,'Product Variant Attribute'!$F$2:$F$2000,""))</f>
        <v>14Fr</v>
      </c>
      <c r="F260" s="11" t="s">
        <v>817</v>
      </c>
      <c r="G260" s="11" t="s">
        <v>1014</v>
      </c>
      <c r="H260" s="13">
        <f t="shared" si="8"/>
        <v>10</v>
      </c>
      <c r="I260" s="16" t="str">
        <f>_xlfn.XLOOKUP(C260,Product!$A:$A,Product!$G:$G,"NOT FOUND")</f>
        <v>cái</v>
      </c>
      <c r="J260" s="22">
        <v>30000</v>
      </c>
      <c r="K260" s="15" t="s">
        <v>1401</v>
      </c>
      <c r="L260" s="21" t="s">
        <v>1408</v>
      </c>
      <c r="M260" s="10" t="s">
        <v>1016</v>
      </c>
      <c r="N260" s="12" t="s">
        <v>1232</v>
      </c>
      <c r="O260" t="str">
        <f t="shared" si="9"/>
        <v>INSERT INTO public.medical_supply_sellable_unit (code, price, quantity, sale_uom, product_variant_code) VALUES ('PRODUCT-00126-003-01', 30000, 10, 'Túi', 'PRODUCT-00126-003');</v>
      </c>
    </row>
    <row r="261" spans="1:15" x14ac:dyDescent="0.25">
      <c r="A261" s="10" t="str">
        <f>B261&amp;"-"&amp;TEXT(COUNTIF(B$2:B261,B261),"00")</f>
        <v>PRODUCT-00127-001-01</v>
      </c>
      <c r="B261" s="11" t="s">
        <v>1870</v>
      </c>
      <c r="C261" s="10" t="str">
        <f>_xlfn.XLOOKUP(B261,'Product Variant'!$A:$A,'Product Variant'!$B:$B,"NOT FOUND")</f>
        <v>PRODUCT-00127</v>
      </c>
      <c r="D261" s="10" t="str">
        <f>_xlfn.XLOOKUP(B261,'Product Variant'!$A:$A,'Product Variant'!$C:$C,"NOT FOUND")</f>
        <v>[Hollister] Dụng cụ cố định ống nội khí quản chống cắn - AnchorFast 9800</v>
      </c>
      <c r="E261" s="10" t="str" cm="1">
        <f t="array" ref="E261">_xlfn.TEXTJOIN(" / ",TRUE,_xlfn.XLOOKUP(B261&amp;"|ATTR-27",'Product Variant Attribute'!$A$2:$A$2000&amp;"|"&amp;'Product Variant Attribute'!$D$2:$D$2000,'Product Variant Attribute'!$F$2:$F$2000,""),_xlfn.XLOOKUP(B261&amp;"|ATTR-24",'Product Variant Attribute'!$A$2:$A$2000&amp;"|"&amp;'Product Variant Attribute'!$D$2:$D$2000,'Product Variant Attribute'!$F$2:$F$2000,""))</f>
        <v/>
      </c>
      <c r="F261" s="11" t="s">
        <v>818</v>
      </c>
      <c r="G261" s="11" t="s">
        <v>927</v>
      </c>
      <c r="H261" s="13">
        <f t="shared" si="8"/>
        <v>1</v>
      </c>
      <c r="I261" s="16" t="str">
        <f>_xlfn.XLOOKUP(C261,Product!$A:$A,Product!$G:$G,"NOT FOUND")</f>
        <v>cái</v>
      </c>
      <c r="J261" s="20">
        <v>450000</v>
      </c>
      <c r="K261" s="15" t="s">
        <v>1323</v>
      </c>
      <c r="L261" s="21">
        <v>309</v>
      </c>
      <c r="M261" s="10" t="s">
        <v>1017</v>
      </c>
      <c r="N261" s="12">
        <v>218</v>
      </c>
      <c r="O261" t="str">
        <f t="shared" si="9"/>
        <v>INSERT INTO public.medical_supply_sellable_unit (code, price, quantity, sale_uom, product_variant_code) VALUES ('PRODUCT-00127-001-01', 450000, 1, 'Cái', 'PRODUCT-00127-001');</v>
      </c>
    </row>
    <row r="262" spans="1:15" x14ac:dyDescent="0.25">
      <c r="A262" s="10" t="str">
        <f>B262&amp;"-"&amp;TEXT(COUNTIF(B$2:B262,B262),"00")</f>
        <v>PRODUCT-00128-001-01</v>
      </c>
      <c r="B262" s="11" t="s">
        <v>1871</v>
      </c>
      <c r="C262" s="10" t="str">
        <f>_xlfn.XLOOKUP(B262,'Product Variant'!$A:$A,'Product Variant'!$B:$B,"NOT FOUND")</f>
        <v>PRODUCT-00128</v>
      </c>
      <c r="D262" s="10" t="str">
        <f>_xlfn.XLOOKUP(B262,'Product Variant'!$A:$A,'Product Variant'!$C:$C,"NOT FOUND")</f>
        <v>[ICU Medical] Bộ mở khí quản nhanh qua da - PORTEX Percutaneous Dilation Tracheostomy Kit</v>
      </c>
      <c r="E262" s="10" t="str" cm="1">
        <f t="array" ref="E262">_xlfn.TEXTJOIN(" / ",TRUE,_xlfn.XLOOKUP(B262&amp;"|ATTR-27",'Product Variant Attribute'!$A$2:$A$2000&amp;"|"&amp;'Product Variant Attribute'!$D$2:$D$2000,'Product Variant Attribute'!$F$2:$F$2000,""),_xlfn.XLOOKUP(B262&amp;"|ATTR-24",'Product Variant Attribute'!$A$2:$A$2000&amp;"|"&amp;'Product Variant Attribute'!$D$2:$D$2000,'Product Variant Attribute'!$F$2:$F$2000,""))</f>
        <v/>
      </c>
      <c r="F262" s="11" t="s">
        <v>815</v>
      </c>
      <c r="G262" s="11" t="s">
        <v>826</v>
      </c>
      <c r="H262" s="13">
        <f t="shared" si="8"/>
        <v>1</v>
      </c>
      <c r="I262" s="16" t="str">
        <f>_xlfn.XLOOKUP(C262,Product!$A:$A,Product!$G:$G,"NOT FOUND")</f>
        <v>bộ</v>
      </c>
      <c r="J262" s="22"/>
      <c r="K262" s="15" t="s">
        <v>1468</v>
      </c>
      <c r="L262" s="21">
        <v>486</v>
      </c>
      <c r="M262" s="10" t="s">
        <v>1018</v>
      </c>
      <c r="N262" s="12">
        <v>99</v>
      </c>
      <c r="O262" t="str">
        <f t="shared" si="9"/>
        <v>INSERT INTO public.medical_supply_sellable_unit (code, price, quantity, sale_uom, product_variant_code) VALUES ('PRODUCT-00128-001-01', NULL, 1, 'Bộ', 'PRODUCT-00128-001');</v>
      </c>
    </row>
    <row r="263" spans="1:15" x14ac:dyDescent="0.25">
      <c r="A263" s="10" t="str">
        <f>B263&amp;"-"&amp;TEXT(COUNTIF(B$2:B263,B263),"00")</f>
        <v>PRODUCT-00129-001-01</v>
      </c>
      <c r="B263" s="11" t="s">
        <v>1872</v>
      </c>
      <c r="C263" s="10" t="str">
        <f>_xlfn.XLOOKUP(B263,'Product Variant'!$A:$A,'Product Variant'!$B:$B,"NOT FOUND")</f>
        <v>PRODUCT-00129</v>
      </c>
      <c r="D263" s="10" t="str">
        <f>_xlfn.XLOOKUP(B263,'Product Variant'!$A:$A,'Product Variant'!$C:$C,"NOT FOUND")</f>
        <v>[Idealcare] Cây nòng đặt nội khí quản thường - Stylet</v>
      </c>
      <c r="E263" s="10" t="str" cm="1">
        <f t="array" ref="E263">_xlfn.TEXTJOIN(" / ",TRUE,_xlfn.XLOOKUP(B263&amp;"|ATTR-27",'Product Variant Attribute'!$A$2:$A$2000&amp;"|"&amp;'Product Variant Attribute'!$D$2:$D$2000,'Product Variant Attribute'!$F$2:$F$2000,""),_xlfn.XLOOKUP(B263&amp;"|ATTR-24",'Product Variant Attribute'!$A$2:$A$2000&amp;"|"&amp;'Product Variant Attribute'!$D$2:$D$2000,'Product Variant Attribute'!$F$2:$F$2000,""))</f>
        <v>6Fr</v>
      </c>
      <c r="F263" s="11" t="s">
        <v>818</v>
      </c>
      <c r="G263" s="11" t="s">
        <v>927</v>
      </c>
      <c r="H263" s="13">
        <f t="shared" si="8"/>
        <v>1</v>
      </c>
      <c r="I263" s="16" t="str">
        <f>_xlfn.XLOOKUP(C263,Product!$A:$A,Product!$G:$G,"NOT FOUND")</f>
        <v>cái</v>
      </c>
      <c r="J263" s="22"/>
      <c r="K263" s="15" t="s">
        <v>1468</v>
      </c>
      <c r="L263" s="21">
        <v>425</v>
      </c>
      <c r="M263" s="10" t="s">
        <v>1019</v>
      </c>
      <c r="N263" s="12">
        <v>135</v>
      </c>
      <c r="O263" t="str">
        <f t="shared" si="9"/>
        <v>INSERT INTO public.medical_supply_sellable_unit (code, price, quantity, sale_uom, product_variant_code) VALUES ('PRODUCT-00129-001-01', NULL, 1, 'Cái', 'PRODUCT-00129-001');</v>
      </c>
    </row>
    <row r="264" spans="1:15" x14ac:dyDescent="0.25">
      <c r="A264" s="10" t="str">
        <f>B264&amp;"-"&amp;TEXT(COUNTIF(B$2:B264,B264),"00")</f>
        <v>PRODUCT-00129-002-01</v>
      </c>
      <c r="B264" s="11" t="s">
        <v>1873</v>
      </c>
      <c r="C264" s="10" t="str">
        <f>_xlfn.XLOOKUP(B264,'Product Variant'!$A:$A,'Product Variant'!$B:$B,"NOT FOUND")</f>
        <v>PRODUCT-00129</v>
      </c>
      <c r="D264" s="10" t="str">
        <f>_xlfn.XLOOKUP(B264,'Product Variant'!$A:$A,'Product Variant'!$C:$C,"NOT FOUND")</f>
        <v>[Idealcare] Cây nòng đặt nội khí quản thường - Stylet</v>
      </c>
      <c r="E264" s="10" t="str" cm="1">
        <f t="array" ref="E264">_xlfn.TEXTJOIN(" / ",TRUE,_xlfn.XLOOKUP(B264&amp;"|ATTR-27",'Product Variant Attribute'!$A$2:$A$2000&amp;"|"&amp;'Product Variant Attribute'!$D$2:$D$2000,'Product Variant Attribute'!$F$2:$F$2000,""),_xlfn.XLOOKUP(B264&amp;"|ATTR-24",'Product Variant Attribute'!$A$2:$A$2000&amp;"|"&amp;'Product Variant Attribute'!$D$2:$D$2000,'Product Variant Attribute'!$F$2:$F$2000,""))</f>
        <v>10Fr</v>
      </c>
      <c r="F264" s="11" t="s">
        <v>818</v>
      </c>
      <c r="G264" s="11" t="s">
        <v>927</v>
      </c>
      <c r="H264" s="13">
        <f t="shared" si="8"/>
        <v>1</v>
      </c>
      <c r="I264" s="16" t="str">
        <f>_xlfn.XLOOKUP(C264,Product!$A:$A,Product!$G:$G,"NOT FOUND")</f>
        <v>cái</v>
      </c>
      <c r="J264" s="22"/>
      <c r="K264" s="15" t="s">
        <v>1468</v>
      </c>
      <c r="L264" s="21">
        <v>426</v>
      </c>
      <c r="M264" s="10" t="s">
        <v>1019</v>
      </c>
      <c r="N264" s="12">
        <v>136</v>
      </c>
      <c r="O264" t="str">
        <f t="shared" si="9"/>
        <v>INSERT INTO public.medical_supply_sellable_unit (code, price, quantity, sale_uom, product_variant_code) VALUES ('PRODUCT-00129-002-01', NULL, 1, 'Cái', 'PRODUCT-00129-002');</v>
      </c>
    </row>
    <row r="265" spans="1:15" x14ac:dyDescent="0.25">
      <c r="A265" s="10" t="str">
        <f>B265&amp;"-"&amp;TEXT(COUNTIF(B$2:B265,B265),"00")</f>
        <v>PRODUCT-00129-003-01</v>
      </c>
      <c r="B265" s="11" t="s">
        <v>1874</v>
      </c>
      <c r="C265" s="10" t="str">
        <f>_xlfn.XLOOKUP(B265,'Product Variant'!$A:$A,'Product Variant'!$B:$B,"NOT FOUND")</f>
        <v>PRODUCT-00129</v>
      </c>
      <c r="D265" s="10" t="str">
        <f>_xlfn.XLOOKUP(B265,'Product Variant'!$A:$A,'Product Variant'!$C:$C,"NOT FOUND")</f>
        <v>[Idealcare] Cây nòng đặt nội khí quản thường - Stylet</v>
      </c>
      <c r="E265" s="10" t="str" cm="1">
        <f t="array" ref="E265">_xlfn.TEXTJOIN(" / ",TRUE,_xlfn.XLOOKUP(B265&amp;"|ATTR-27",'Product Variant Attribute'!$A$2:$A$2000&amp;"|"&amp;'Product Variant Attribute'!$D$2:$D$2000,'Product Variant Attribute'!$F$2:$F$2000,""),_xlfn.XLOOKUP(B265&amp;"|ATTR-24",'Product Variant Attribute'!$A$2:$A$2000&amp;"|"&amp;'Product Variant Attribute'!$D$2:$D$2000,'Product Variant Attribute'!$F$2:$F$2000,""))</f>
        <v>14Fr</v>
      </c>
      <c r="F265" s="11" t="s">
        <v>818</v>
      </c>
      <c r="G265" s="11" t="s">
        <v>927</v>
      </c>
      <c r="H265" s="13">
        <f t="shared" si="8"/>
        <v>1</v>
      </c>
      <c r="I265" s="16" t="str">
        <f>_xlfn.XLOOKUP(C265,Product!$A:$A,Product!$G:$G,"NOT FOUND")</f>
        <v>cái</v>
      </c>
      <c r="J265" s="22"/>
      <c r="K265" s="15" t="s">
        <v>1468</v>
      </c>
      <c r="L265" s="21">
        <v>427</v>
      </c>
      <c r="M265" s="10" t="s">
        <v>1019</v>
      </c>
      <c r="N265" s="12">
        <v>137</v>
      </c>
      <c r="O265" t="str">
        <f t="shared" si="9"/>
        <v>INSERT INTO public.medical_supply_sellable_unit (code, price, quantity, sale_uom, product_variant_code) VALUES ('PRODUCT-00129-003-01', NULL, 1, 'Cái', 'PRODUCT-00129-003');</v>
      </c>
    </row>
    <row r="266" spans="1:15" x14ac:dyDescent="0.25">
      <c r="A266" s="10" t="str">
        <f>B266&amp;"-"&amp;TEXT(COUNTIF(B$2:B266,B266),"00")</f>
        <v>PRODUCT-00130-001-01</v>
      </c>
      <c r="B266" s="11" t="s">
        <v>1875</v>
      </c>
      <c r="C266" s="10" t="str">
        <f>_xlfn.XLOOKUP(B266,'Product Variant'!$A:$A,'Product Variant'!$B:$B,"NOT FOUND")</f>
        <v>PRODUCT-00130</v>
      </c>
      <c r="D266" s="10" t="str">
        <f>_xlfn.XLOOKUP(B266,'Product Variant'!$A:$A,'Product Variant'!$C:$C,"NOT FOUND")</f>
        <v>[iMedicare] Máy tạo oxy 5 lít - OC-5LH</v>
      </c>
      <c r="E266" s="10" t="str" cm="1">
        <f t="array" ref="E266">_xlfn.TEXTJOIN(" / ",TRUE,_xlfn.XLOOKUP(B266&amp;"|ATTR-27",'Product Variant Attribute'!$A$2:$A$2000&amp;"|"&amp;'Product Variant Attribute'!$D$2:$D$2000,'Product Variant Attribute'!$F$2:$F$2000,""),_xlfn.XLOOKUP(B266&amp;"|ATTR-24",'Product Variant Attribute'!$A$2:$A$2000&amp;"|"&amp;'Product Variant Attribute'!$D$2:$D$2000,'Product Variant Attribute'!$F$2:$F$2000,""))</f>
        <v/>
      </c>
      <c r="F266" s="11" t="s">
        <v>818</v>
      </c>
      <c r="G266" s="11" t="s">
        <v>927</v>
      </c>
      <c r="H266" s="13">
        <f t="shared" si="8"/>
        <v>1</v>
      </c>
      <c r="I266" s="16" t="str">
        <f>_xlfn.XLOOKUP(C266,Product!$A:$A,Product!$G:$G,"NOT FOUND")</f>
        <v>cái</v>
      </c>
      <c r="J266" s="20">
        <v>14000000</v>
      </c>
      <c r="K266" s="15" t="s">
        <v>1323</v>
      </c>
      <c r="L266" s="21">
        <v>504</v>
      </c>
      <c r="M266" s="10" t="s">
        <v>1020</v>
      </c>
      <c r="N266" s="12">
        <v>328</v>
      </c>
      <c r="O266" t="str">
        <f t="shared" si="9"/>
        <v>INSERT INTO public.medical_supply_sellable_unit (code, price, quantity, sale_uom, product_variant_code) VALUES ('PRODUCT-00130-001-01', 14000000, 1, 'Cái', 'PRODUCT-00130-001');</v>
      </c>
    </row>
    <row r="267" spans="1:15" x14ac:dyDescent="0.25">
      <c r="A267" s="10" t="str">
        <f>B267&amp;"-"&amp;TEXT(COUNTIF(B$2:B267,B267),"00")</f>
        <v>PRODUCT-00131-001-01</v>
      </c>
      <c r="B267" s="11" t="s">
        <v>1876</v>
      </c>
      <c r="C267" s="10" t="str">
        <f>_xlfn.XLOOKUP(B267,'Product Variant'!$A:$A,'Product Variant'!$B:$B,"NOT FOUND")</f>
        <v>PRODUCT-00131</v>
      </c>
      <c r="D267" s="10" t="str">
        <f>_xlfn.XLOOKUP(B267,'Product Variant'!$A:$A,'Product Variant'!$C:$C,"NOT FOUND")</f>
        <v>[Lohmann-Rauscher] Gạc mở khí quản vô trùng - Metalline (8cmx9cm)</v>
      </c>
      <c r="E267" s="10" t="str" cm="1">
        <f t="array" ref="E267">_xlfn.TEXTJOIN(" / ",TRUE,_xlfn.XLOOKUP(B267&amp;"|ATTR-27",'Product Variant Attribute'!$A$2:$A$2000&amp;"|"&amp;'Product Variant Attribute'!$D$2:$D$2000,'Product Variant Attribute'!$F$2:$F$2000,""),_xlfn.XLOOKUP(B267&amp;"|ATTR-24",'Product Variant Attribute'!$A$2:$A$2000&amp;"|"&amp;'Product Variant Attribute'!$D$2:$D$2000,'Product Variant Attribute'!$F$2:$F$2000,""))</f>
        <v/>
      </c>
      <c r="F267" s="11" t="s">
        <v>817</v>
      </c>
      <c r="G267" s="11" t="s">
        <v>841</v>
      </c>
      <c r="H267" s="13">
        <f t="shared" si="8"/>
        <v>1</v>
      </c>
      <c r="I267" s="16" t="str">
        <f>_xlfn.XLOOKUP(C267,Product!$A:$A,Product!$G:$G,"NOT FOUND")</f>
        <v>miếng</v>
      </c>
      <c r="J267" s="20">
        <v>20000</v>
      </c>
      <c r="K267" s="15" t="s">
        <v>1323</v>
      </c>
      <c r="L267" s="21">
        <v>485</v>
      </c>
      <c r="M267" s="10" t="s">
        <v>1021</v>
      </c>
      <c r="N267" s="12">
        <v>232</v>
      </c>
      <c r="O267" t="str">
        <f t="shared" si="9"/>
        <v>INSERT INTO public.medical_supply_sellable_unit (code, price, quantity, sale_uom, product_variant_code) VALUES ('PRODUCT-00131-001-01', 20000, 1, 'Túi', 'PRODUCT-00131-001');</v>
      </c>
    </row>
    <row r="268" spans="1:15" x14ac:dyDescent="0.25">
      <c r="A268" s="10" t="str">
        <f>B268&amp;"-"&amp;TEXT(COUNTIF(B$2:B268,B268),"00")</f>
        <v>PRODUCT-00132-001-01</v>
      </c>
      <c r="B268" s="11" t="s">
        <v>1877</v>
      </c>
      <c r="C268" s="10" t="str">
        <f>_xlfn.XLOOKUP(B268,'Product Variant'!$A:$A,'Product Variant'!$B:$B,"NOT FOUND")</f>
        <v>PRODUCT-00132</v>
      </c>
      <c r="D268" s="10" t="str">
        <f>_xlfn.XLOOKUP(B268,'Product Variant'!$A:$A,'Product Variant'!$C:$C,"NOT FOUND")</f>
        <v>[Long-term Health] Gạc xốp đặt xung quanh ống mở khí quản (7cmx11cm)</v>
      </c>
      <c r="E268" s="10" t="str" cm="1">
        <f t="array" ref="E268">_xlfn.TEXTJOIN(" / ",TRUE,_xlfn.XLOOKUP(B268&amp;"|ATTR-27",'Product Variant Attribute'!$A$2:$A$2000&amp;"|"&amp;'Product Variant Attribute'!$D$2:$D$2000,'Product Variant Attribute'!$F$2:$F$2000,""),_xlfn.XLOOKUP(B268&amp;"|ATTR-24",'Product Variant Attribute'!$A$2:$A$2000&amp;"|"&amp;'Product Variant Attribute'!$D$2:$D$2000,'Product Variant Attribute'!$F$2:$F$2000,""))</f>
        <v/>
      </c>
      <c r="F268" s="11" t="s">
        <v>817</v>
      </c>
      <c r="G268" s="11" t="s">
        <v>841</v>
      </c>
      <c r="H268" s="13">
        <f t="shared" si="8"/>
        <v>1</v>
      </c>
      <c r="I268" s="16" t="str">
        <f>_xlfn.XLOOKUP(C268,Product!$A:$A,Product!$G:$G,"NOT FOUND")</f>
        <v>miếng</v>
      </c>
      <c r="J268" s="20">
        <v>30000</v>
      </c>
      <c r="K268" s="15" t="s">
        <v>1323</v>
      </c>
      <c r="L268" s="21">
        <v>260</v>
      </c>
      <c r="M268" s="10" t="s">
        <v>1022</v>
      </c>
      <c r="N268" s="12">
        <v>233</v>
      </c>
      <c r="O268" t="str">
        <f t="shared" si="9"/>
        <v>INSERT INTO public.medical_supply_sellable_unit (code, price, quantity, sale_uom, product_variant_code) VALUES ('PRODUCT-00132-001-01', 30000, 1, 'Túi', 'PRODUCT-00132-001');</v>
      </c>
    </row>
    <row r="269" spans="1:15" x14ac:dyDescent="0.25">
      <c r="A269" s="10" t="str">
        <f>B269&amp;"-"&amp;TEXT(COUNTIF(B$2:B269,B269),"00")</f>
        <v>PRODUCT-00133-001-01</v>
      </c>
      <c r="B269" s="11" t="s">
        <v>1878</v>
      </c>
      <c r="C269" s="10" t="str">
        <f>_xlfn.XLOOKUP(B269,'Product Variant'!$A:$A,'Product Variant'!$B:$B,"NOT FOUND")</f>
        <v>PRODUCT-00133</v>
      </c>
      <c r="D269" s="10" t="str">
        <f>_xlfn.XLOOKUP(B269,'Product Variant'!$A:$A,'Product Variant'!$C:$C,"NOT FOUND")</f>
        <v>[Long-term Health] Gạc xốp răng cưa đặt xung quanh ống mở khí quản (10cmx10cm)</v>
      </c>
      <c r="E269" s="10" t="str" cm="1">
        <f t="array" ref="E269">_xlfn.TEXTJOIN(" / ",TRUE,_xlfn.XLOOKUP(B269&amp;"|ATTR-27",'Product Variant Attribute'!$A$2:$A$2000&amp;"|"&amp;'Product Variant Attribute'!$D$2:$D$2000,'Product Variant Attribute'!$F$2:$F$2000,""),_xlfn.XLOOKUP(B269&amp;"|ATTR-24",'Product Variant Attribute'!$A$2:$A$2000&amp;"|"&amp;'Product Variant Attribute'!$D$2:$D$2000,'Product Variant Attribute'!$F$2:$F$2000,""))</f>
        <v/>
      </c>
      <c r="F269" s="11" t="s">
        <v>817</v>
      </c>
      <c r="G269" s="11" t="s">
        <v>841</v>
      </c>
      <c r="H269" s="13">
        <f t="shared" si="8"/>
        <v>1</v>
      </c>
      <c r="I269" s="16" t="str">
        <f>_xlfn.XLOOKUP(C269,Product!$A:$A,Product!$G:$G,"NOT FOUND")</f>
        <v>miếng</v>
      </c>
      <c r="J269" s="20">
        <v>30000</v>
      </c>
      <c r="K269" s="15" t="s">
        <v>1323</v>
      </c>
      <c r="L269" s="21">
        <v>261</v>
      </c>
      <c r="M269" s="10" t="s">
        <v>1023</v>
      </c>
      <c r="N269" s="12">
        <v>236</v>
      </c>
      <c r="O269" t="str">
        <f t="shared" si="9"/>
        <v>INSERT INTO public.medical_supply_sellable_unit (code, price, quantity, sale_uom, product_variant_code) VALUES ('PRODUCT-00133-001-01', 30000, 1, 'Túi', 'PRODUCT-00133-001');</v>
      </c>
    </row>
    <row r="270" spans="1:15" x14ac:dyDescent="0.25">
      <c r="A270" s="10" t="str">
        <f>B270&amp;"-"&amp;TEXT(COUNTIF(B$2:B270,B270),"00")</f>
        <v>PRODUCT-00134-001-01</v>
      </c>
      <c r="B270" s="11" t="s">
        <v>1879</v>
      </c>
      <c r="C270" s="10" t="str">
        <f>_xlfn.XLOOKUP(B270,'Product Variant'!$A:$A,'Product Variant'!$B:$B,"NOT FOUND")</f>
        <v>PRODUCT-00134</v>
      </c>
      <c r="D270" s="10" t="str">
        <f>_xlfn.XLOOKUP(B270,'Product Variant'!$A:$A,'Product Variant'!$C:$C,"NOT FOUND")</f>
        <v>[Medis Medical] Ống nội khí quản có bóng kèm van đo áp lực bóng - Cuff-Safe® AccuCuff</v>
      </c>
      <c r="E270" s="10" t="str" cm="1">
        <f t="array" ref="E270">_xlfn.TEXTJOIN(" / ",TRUE,_xlfn.XLOOKUP(B270&amp;"|ATTR-27",'Product Variant Attribute'!$A$2:$A$2000&amp;"|"&amp;'Product Variant Attribute'!$D$2:$D$2000,'Product Variant Attribute'!$F$2:$F$2000,""),_xlfn.XLOOKUP(B270&amp;"|ATTR-24",'Product Variant Attribute'!$A$2:$A$2000&amp;"|"&amp;'Product Variant Attribute'!$D$2:$D$2000,'Product Variant Attribute'!$F$2:$F$2000,""))</f>
        <v/>
      </c>
      <c r="F270" s="11" t="s">
        <v>818</v>
      </c>
      <c r="G270" s="11" t="s">
        <v>927</v>
      </c>
      <c r="H270" s="13">
        <f t="shared" si="8"/>
        <v>1</v>
      </c>
      <c r="I270" s="16" t="str">
        <f>_xlfn.XLOOKUP(C270,Product!$A:$A,Product!$G:$G,"NOT FOUND")</f>
        <v>cái</v>
      </c>
      <c r="J270" s="22"/>
      <c r="K270" s="15" t="s">
        <v>1468</v>
      </c>
      <c r="L270" s="21">
        <v>351</v>
      </c>
      <c r="M270" s="10" t="s">
        <v>1024</v>
      </c>
      <c r="N270" s="12">
        <v>423</v>
      </c>
      <c r="O270" t="str">
        <f t="shared" si="9"/>
        <v>INSERT INTO public.medical_supply_sellable_unit (code, price, quantity, sale_uom, product_variant_code) VALUES ('PRODUCT-00134-001-01', NULL, 1, 'Cái', 'PRODUCT-00134-001');</v>
      </c>
    </row>
    <row r="271" spans="1:15" x14ac:dyDescent="0.25">
      <c r="A271" s="10" t="str">
        <f>B271&amp;"-"&amp;TEXT(COUNTIF(B$2:B271,B271),"00")</f>
        <v>PRODUCT-00135-001-01</v>
      </c>
      <c r="B271" s="11" t="s">
        <v>1880</v>
      </c>
      <c r="C271" s="10" t="str">
        <f>_xlfn.XLOOKUP(B271,'Product Variant'!$A:$A,'Product Variant'!$B:$B,"NOT FOUND")</f>
        <v>PRODUCT-00135</v>
      </c>
      <c r="D271" s="10" t="str">
        <f>_xlfn.XLOOKUP(B271,'Product Variant'!$A:$A,'Product Variant'!$C:$C,"NOT FOUND")</f>
        <v>[Medis Medical] Ống nội khí quản có hút trên bóng kèm van đo áp lực bóng - AccuCuff</v>
      </c>
      <c r="E271" s="10" t="str" cm="1">
        <f t="array" ref="E271">_xlfn.TEXTJOIN(" / ",TRUE,_xlfn.XLOOKUP(B271&amp;"|ATTR-27",'Product Variant Attribute'!$A$2:$A$2000&amp;"|"&amp;'Product Variant Attribute'!$D$2:$D$2000,'Product Variant Attribute'!$F$2:$F$2000,""),_xlfn.XLOOKUP(B271&amp;"|ATTR-24",'Product Variant Attribute'!$A$2:$A$2000&amp;"|"&amp;'Product Variant Attribute'!$D$2:$D$2000,'Product Variant Attribute'!$F$2:$F$2000,""))</f>
        <v/>
      </c>
      <c r="F271" s="11" t="s">
        <v>818</v>
      </c>
      <c r="G271" s="11" t="s">
        <v>927</v>
      </c>
      <c r="H271" s="13">
        <f t="shared" si="8"/>
        <v>1</v>
      </c>
      <c r="I271" s="16" t="str">
        <f>_xlfn.XLOOKUP(C271,Product!$A:$A,Product!$G:$G,"NOT FOUND")</f>
        <v>cái</v>
      </c>
      <c r="J271" s="22"/>
      <c r="K271" s="15" t="s">
        <v>1468</v>
      </c>
      <c r="L271" s="21">
        <v>350</v>
      </c>
      <c r="M271" s="10" t="s">
        <v>1025</v>
      </c>
      <c r="N271" s="12">
        <v>424</v>
      </c>
      <c r="O271" t="str">
        <f t="shared" si="9"/>
        <v>INSERT INTO public.medical_supply_sellable_unit (code, price, quantity, sale_uom, product_variant_code) VALUES ('PRODUCT-00135-001-01', NULL, 1, 'Cái', 'PRODUCT-00135-001');</v>
      </c>
    </row>
    <row r="272" spans="1:15" x14ac:dyDescent="0.25">
      <c r="A272" s="10" t="str">
        <f>B272&amp;"-"&amp;TEXT(COUNTIF(B$2:B272,B272),"00")</f>
        <v>PRODUCT-00136-001-01</v>
      </c>
      <c r="B272" s="11" t="s">
        <v>1881</v>
      </c>
      <c r="C272" s="10" t="str">
        <f>_xlfn.XLOOKUP(B272,'Product Variant'!$A:$A,'Product Variant'!$B:$B,"NOT FOUND")</f>
        <v>PRODUCT-00136</v>
      </c>
      <c r="D272" s="10" t="str">
        <f>_xlfn.XLOOKUP(B272,'Product Variant'!$A:$A,'Product Variant'!$C:$C,"NOT FOUND")</f>
        <v>[Meditera] Làm ẩm mở khí quản (mũi nhân tạo)</v>
      </c>
      <c r="E272" s="10" t="str" cm="1">
        <f t="array" ref="E272">_xlfn.TEXTJOIN(" / ",TRUE,_xlfn.XLOOKUP(B272&amp;"|ATTR-27",'Product Variant Attribute'!$A$2:$A$2000&amp;"|"&amp;'Product Variant Attribute'!$D$2:$D$2000,'Product Variant Attribute'!$F$2:$F$2000,""),_xlfn.XLOOKUP(B272&amp;"|ATTR-24",'Product Variant Attribute'!$A$2:$A$2000&amp;"|"&amp;'Product Variant Attribute'!$D$2:$D$2000,'Product Variant Attribute'!$F$2:$F$2000,""))</f>
        <v/>
      </c>
      <c r="F272" s="11" t="s">
        <v>818</v>
      </c>
      <c r="G272" s="11" t="s">
        <v>927</v>
      </c>
      <c r="H272" s="13">
        <f t="shared" si="8"/>
        <v>1</v>
      </c>
      <c r="I272" s="16" t="str">
        <f>_xlfn.XLOOKUP(C272,Product!$A:$A,Product!$G:$G,"NOT FOUND")</f>
        <v>cái</v>
      </c>
      <c r="J272" s="22">
        <v>40000</v>
      </c>
      <c r="K272" s="15" t="s">
        <v>1409</v>
      </c>
      <c r="L272" s="21" t="s">
        <v>1410</v>
      </c>
      <c r="M272" s="10" t="s">
        <v>1026</v>
      </c>
      <c r="N272" s="12" t="s">
        <v>1233</v>
      </c>
      <c r="O272" t="str">
        <f t="shared" si="9"/>
        <v>INSERT INTO public.medical_supply_sellable_unit (code, price, quantity, sale_uom, product_variant_code) VALUES ('PRODUCT-00136-001-01', 40000, 1, 'Cái', 'PRODUCT-00136-001');</v>
      </c>
    </row>
    <row r="273" spans="1:15" x14ac:dyDescent="0.25">
      <c r="A273" s="10" t="str">
        <f>B273&amp;"-"&amp;TEXT(COUNTIF(B$2:B273,B273),"00")</f>
        <v>PRODUCT-00137-001-01</v>
      </c>
      <c r="B273" s="11" t="s">
        <v>1882</v>
      </c>
      <c r="C273" s="10" t="str">
        <f>_xlfn.XLOOKUP(B273,'Product Variant'!$A:$A,'Product Variant'!$B:$B,"NOT FOUND")</f>
        <v>PRODUCT-00137</v>
      </c>
      <c r="D273" s="10" t="str">
        <f>_xlfn.XLOOKUP(B273,'Product Variant'!$A:$A,'Product Variant'!$C:$C,"NOT FOUND")</f>
        <v>[Meditera] Phin lọc máy thở 3 chức năng - HME</v>
      </c>
      <c r="E273" s="10" t="str" cm="1">
        <f t="array" ref="E273">_xlfn.TEXTJOIN(" / ",TRUE,_xlfn.XLOOKUP(B273&amp;"|ATTR-27",'Product Variant Attribute'!$A$2:$A$2000&amp;"|"&amp;'Product Variant Attribute'!$D$2:$D$2000,'Product Variant Attribute'!$F$2:$F$2000,""),_xlfn.XLOOKUP(B273&amp;"|ATTR-24",'Product Variant Attribute'!$A$2:$A$2000&amp;"|"&amp;'Product Variant Attribute'!$D$2:$D$2000,'Product Variant Attribute'!$F$2:$F$2000,""))</f>
        <v>L</v>
      </c>
      <c r="F273" s="11" t="s">
        <v>817</v>
      </c>
      <c r="G273" s="11" t="s">
        <v>924</v>
      </c>
      <c r="H273" s="13">
        <f t="shared" si="8"/>
        <v>1</v>
      </c>
      <c r="I273" s="16" t="str">
        <f>_xlfn.XLOOKUP(C273,Product!$A:$A,Product!$G:$G,"NOT FOUND")</f>
        <v>chiếc</v>
      </c>
      <c r="J273" s="22"/>
      <c r="K273" s="15" t="s">
        <v>1468</v>
      </c>
      <c r="L273" s="21">
        <v>218</v>
      </c>
      <c r="M273" s="10" t="s">
        <v>1027</v>
      </c>
      <c r="N273" s="12">
        <v>449</v>
      </c>
      <c r="O273" t="str">
        <f t="shared" si="9"/>
        <v>INSERT INTO public.medical_supply_sellable_unit (code, price, quantity, sale_uom, product_variant_code) VALUES ('PRODUCT-00137-001-01', NULL, 1, 'Túi', 'PRODUCT-00137-001');</v>
      </c>
    </row>
    <row r="274" spans="1:15" x14ac:dyDescent="0.25">
      <c r="A274" s="10" t="str">
        <f>B274&amp;"-"&amp;TEXT(COUNTIF(B$2:B274,B274),"00")</f>
        <v>PRODUCT-00137-002-01</v>
      </c>
      <c r="B274" s="11" t="s">
        <v>1883</v>
      </c>
      <c r="C274" s="10" t="str">
        <f>_xlfn.XLOOKUP(B274,'Product Variant'!$A:$A,'Product Variant'!$B:$B,"NOT FOUND")</f>
        <v>PRODUCT-00137</v>
      </c>
      <c r="D274" s="10" t="str">
        <f>_xlfn.XLOOKUP(B274,'Product Variant'!$A:$A,'Product Variant'!$C:$C,"NOT FOUND")</f>
        <v>[Meditera] Phin lọc máy thở 3 chức năng - HME</v>
      </c>
      <c r="E274" s="10" t="str" cm="1">
        <f t="array" ref="E274">_xlfn.TEXTJOIN(" / ",TRUE,_xlfn.XLOOKUP(B274&amp;"|ATTR-27",'Product Variant Attribute'!$A$2:$A$2000&amp;"|"&amp;'Product Variant Attribute'!$D$2:$D$2000,'Product Variant Attribute'!$F$2:$F$2000,""),_xlfn.XLOOKUP(B274&amp;"|ATTR-24",'Product Variant Attribute'!$A$2:$A$2000&amp;"|"&amp;'Product Variant Attribute'!$D$2:$D$2000,'Product Variant Attribute'!$F$2:$F$2000,""))</f>
        <v>S</v>
      </c>
      <c r="F274" s="11" t="s">
        <v>817</v>
      </c>
      <c r="G274" s="11" t="s">
        <v>924</v>
      </c>
      <c r="H274" s="13">
        <f t="shared" si="8"/>
        <v>1</v>
      </c>
      <c r="I274" s="16" t="str">
        <f>_xlfn.XLOOKUP(C274,Product!$A:$A,Product!$G:$G,"NOT FOUND")</f>
        <v>chiếc</v>
      </c>
      <c r="J274" s="22"/>
      <c r="K274" s="15" t="s">
        <v>1468</v>
      </c>
      <c r="L274" s="21">
        <v>219</v>
      </c>
      <c r="M274" s="10" t="s">
        <v>1027</v>
      </c>
      <c r="N274" s="12">
        <v>450</v>
      </c>
      <c r="O274" t="str">
        <f t="shared" si="9"/>
        <v>INSERT INTO public.medical_supply_sellable_unit (code, price, quantity, sale_uom, product_variant_code) VALUES ('PRODUCT-00137-002-01', NULL, 1, 'Túi', 'PRODUCT-00137-002');</v>
      </c>
    </row>
    <row r="275" spans="1:15" x14ac:dyDescent="0.25">
      <c r="A275" s="10" t="str">
        <f>B275&amp;"-"&amp;TEXT(COUNTIF(B$2:B275,B275),"00")</f>
        <v>PRODUCT-00138-001-01</v>
      </c>
      <c r="B275" s="11" t="s">
        <v>1884</v>
      </c>
      <c r="C275" s="10" t="str">
        <f>_xlfn.XLOOKUP(B275,'Product Variant'!$A:$A,'Product Variant'!$B:$B,"NOT FOUND")</f>
        <v>PRODUCT-00138</v>
      </c>
      <c r="D275" s="10" t="str">
        <f>_xlfn.XLOOKUP(B275,'Product Variant'!$A:$A,'Product Variant'!$C:$C,"NOT FOUND")</f>
        <v>[Mera Senko] Nòng trong ống mở khí quản có cửa sổ - Sofit Canula</v>
      </c>
      <c r="E275" s="10" t="str" cm="1">
        <f t="array" ref="E275">_xlfn.TEXTJOIN(" / ",TRUE,_xlfn.XLOOKUP(B275&amp;"|ATTR-27",'Product Variant Attribute'!$A$2:$A$2000&amp;"|"&amp;'Product Variant Attribute'!$D$2:$D$2000,'Product Variant Attribute'!$F$2:$F$2000,""),_xlfn.XLOOKUP(B275&amp;"|ATTR-24",'Product Variant Attribute'!$A$2:$A$2000&amp;"|"&amp;'Product Variant Attribute'!$D$2:$D$2000,'Product Variant Attribute'!$F$2:$F$2000,""))</f>
        <v>Số 7</v>
      </c>
      <c r="F275" s="11" t="s">
        <v>818</v>
      </c>
      <c r="G275" s="11" t="s">
        <v>927</v>
      </c>
      <c r="H275" s="13">
        <f t="shared" si="8"/>
        <v>1</v>
      </c>
      <c r="I275" s="16" t="str">
        <f>_xlfn.XLOOKUP(C275,Product!$A:$A,Product!$G:$G,"NOT FOUND")</f>
        <v>cái</v>
      </c>
      <c r="J275" s="22"/>
      <c r="K275" s="15" t="s">
        <v>1468</v>
      </c>
      <c r="L275" s="21">
        <v>291</v>
      </c>
      <c r="M275" s="10" t="s">
        <v>1028</v>
      </c>
      <c r="N275" s="12">
        <v>375</v>
      </c>
      <c r="O275" t="str">
        <f t="shared" si="9"/>
        <v>INSERT INTO public.medical_supply_sellable_unit (code, price, quantity, sale_uom, product_variant_code) VALUES ('PRODUCT-00138-001-01', NULL, 1, 'Cái', 'PRODUCT-00138-001');</v>
      </c>
    </row>
    <row r="276" spans="1:15" x14ac:dyDescent="0.25">
      <c r="A276" s="10" t="str">
        <f>B276&amp;"-"&amp;TEXT(COUNTIF(B$2:B276,B276),"00")</f>
        <v>PRODUCT-00138-002-01</v>
      </c>
      <c r="B276" s="11" t="s">
        <v>1885</v>
      </c>
      <c r="C276" s="10" t="str">
        <f>_xlfn.XLOOKUP(B276,'Product Variant'!$A:$A,'Product Variant'!$B:$B,"NOT FOUND")</f>
        <v>PRODUCT-00138</v>
      </c>
      <c r="D276" s="10" t="str">
        <f>_xlfn.XLOOKUP(B276,'Product Variant'!$A:$A,'Product Variant'!$C:$C,"NOT FOUND")</f>
        <v>[Mera Senko] Nòng trong ống mở khí quản có cửa sổ - Sofit Canula</v>
      </c>
      <c r="E276" s="10" t="str" cm="1">
        <f t="array" ref="E276">_xlfn.TEXTJOIN(" / ",TRUE,_xlfn.XLOOKUP(B276&amp;"|ATTR-27",'Product Variant Attribute'!$A$2:$A$2000&amp;"|"&amp;'Product Variant Attribute'!$D$2:$D$2000,'Product Variant Attribute'!$F$2:$F$2000,""),_xlfn.XLOOKUP(B276&amp;"|ATTR-24",'Product Variant Attribute'!$A$2:$A$2000&amp;"|"&amp;'Product Variant Attribute'!$D$2:$D$2000,'Product Variant Attribute'!$F$2:$F$2000,""))</f>
        <v>Số 8</v>
      </c>
      <c r="F276" s="11" t="s">
        <v>818</v>
      </c>
      <c r="G276" s="11" t="s">
        <v>927</v>
      </c>
      <c r="H276" s="13">
        <f t="shared" si="8"/>
        <v>1</v>
      </c>
      <c r="I276" s="16" t="str">
        <f>_xlfn.XLOOKUP(C276,Product!$A:$A,Product!$G:$G,"NOT FOUND")</f>
        <v>cái</v>
      </c>
      <c r="J276" s="22"/>
      <c r="K276" s="15" t="s">
        <v>1468</v>
      </c>
      <c r="L276" s="21">
        <v>292</v>
      </c>
      <c r="M276" s="10" t="s">
        <v>1028</v>
      </c>
      <c r="N276" s="12">
        <v>376</v>
      </c>
      <c r="O276" t="str">
        <f t="shared" si="9"/>
        <v>INSERT INTO public.medical_supply_sellable_unit (code, price, quantity, sale_uom, product_variant_code) VALUES ('PRODUCT-00138-002-01', NULL, 1, 'Cái', 'PRODUCT-00138-002');</v>
      </c>
    </row>
    <row r="277" spans="1:15" x14ac:dyDescent="0.25">
      <c r="A277" s="10" t="str">
        <f>B277&amp;"-"&amp;TEXT(COUNTIF(B$2:B277,B277),"00")</f>
        <v>PRODUCT-00139-001-01</v>
      </c>
      <c r="B277" s="11" t="s">
        <v>1886</v>
      </c>
      <c r="C277" s="10" t="str">
        <f>_xlfn.XLOOKUP(B277,'Product Variant'!$A:$A,'Product Variant'!$B:$B,"NOT FOUND")</f>
        <v>PRODUCT-00139</v>
      </c>
      <c r="D277" s="10" t="str">
        <f>_xlfn.XLOOKUP(B277,'Product Variant'!$A:$A,'Product Variant'!$C:$C,"NOT FOUND")</f>
        <v>[Mera Senko] Nòng trong ống mở khí quản không cửa sổ - Sofit Canula</v>
      </c>
      <c r="E277" s="10" t="str" cm="1">
        <f t="array" ref="E277">_xlfn.TEXTJOIN(" / ",TRUE,_xlfn.XLOOKUP(B277&amp;"|ATTR-27",'Product Variant Attribute'!$A$2:$A$2000&amp;"|"&amp;'Product Variant Attribute'!$D$2:$D$2000,'Product Variant Attribute'!$F$2:$F$2000,""),_xlfn.XLOOKUP(B277&amp;"|ATTR-24",'Product Variant Attribute'!$A$2:$A$2000&amp;"|"&amp;'Product Variant Attribute'!$D$2:$D$2000,'Product Variant Attribute'!$F$2:$F$2000,""))</f>
        <v>Số 7</v>
      </c>
      <c r="F277" s="11" t="s">
        <v>818</v>
      </c>
      <c r="G277" s="11" t="s">
        <v>927</v>
      </c>
      <c r="H277" s="13">
        <f t="shared" si="8"/>
        <v>1</v>
      </c>
      <c r="I277" s="16" t="str">
        <f>_xlfn.XLOOKUP(C277,Product!$A:$A,Product!$G:$G,"NOT FOUND")</f>
        <v>cái</v>
      </c>
      <c r="J277" s="20">
        <v>150000</v>
      </c>
      <c r="K277" s="15" t="s">
        <v>1327</v>
      </c>
      <c r="L277" s="21">
        <v>515</v>
      </c>
      <c r="M277" s="10" t="s">
        <v>1029</v>
      </c>
      <c r="N277" s="12">
        <v>373</v>
      </c>
      <c r="O277" t="str">
        <f t="shared" si="9"/>
        <v>INSERT INTO public.medical_supply_sellable_unit (code, price, quantity, sale_uom, product_variant_code) VALUES ('PRODUCT-00139-001-01', 150000, 1, 'Cái', 'PRODUCT-00139-001');</v>
      </c>
    </row>
    <row r="278" spans="1:15" x14ac:dyDescent="0.25">
      <c r="A278" s="10" t="str">
        <f>B278&amp;"-"&amp;TEXT(COUNTIF(B$2:B278,B278),"00")</f>
        <v>PRODUCT-00139-002-01</v>
      </c>
      <c r="B278" s="11" t="s">
        <v>1887</v>
      </c>
      <c r="C278" s="10" t="str">
        <f>_xlfn.XLOOKUP(B278,'Product Variant'!$A:$A,'Product Variant'!$B:$B,"NOT FOUND")</f>
        <v>PRODUCT-00139</v>
      </c>
      <c r="D278" s="10" t="str">
        <f>_xlfn.XLOOKUP(B278,'Product Variant'!$A:$A,'Product Variant'!$C:$C,"NOT FOUND")</f>
        <v>[Mera Senko] Nòng trong ống mở khí quản không cửa sổ - Sofit Canula</v>
      </c>
      <c r="E278" s="10" t="str" cm="1">
        <f t="array" ref="E278">_xlfn.TEXTJOIN(" / ",TRUE,_xlfn.XLOOKUP(B278&amp;"|ATTR-27",'Product Variant Attribute'!$A$2:$A$2000&amp;"|"&amp;'Product Variant Attribute'!$D$2:$D$2000,'Product Variant Attribute'!$F$2:$F$2000,""),_xlfn.XLOOKUP(B278&amp;"|ATTR-24",'Product Variant Attribute'!$A$2:$A$2000&amp;"|"&amp;'Product Variant Attribute'!$D$2:$D$2000,'Product Variant Attribute'!$F$2:$F$2000,""))</f>
        <v>Số 8</v>
      </c>
      <c r="F278" s="11" t="s">
        <v>818</v>
      </c>
      <c r="G278" s="11" t="s">
        <v>927</v>
      </c>
      <c r="H278" s="13">
        <f t="shared" si="8"/>
        <v>1</v>
      </c>
      <c r="I278" s="16" t="str">
        <f>_xlfn.XLOOKUP(C278,Product!$A:$A,Product!$G:$G,"NOT FOUND")</f>
        <v>cái</v>
      </c>
      <c r="J278" s="20">
        <v>150000</v>
      </c>
      <c r="K278" s="15" t="s">
        <v>1327</v>
      </c>
      <c r="L278" s="21">
        <v>516</v>
      </c>
      <c r="M278" s="10" t="s">
        <v>1029</v>
      </c>
      <c r="N278" s="12">
        <v>374</v>
      </c>
      <c r="O278" t="str">
        <f t="shared" si="9"/>
        <v>INSERT INTO public.medical_supply_sellable_unit (code, price, quantity, sale_uom, product_variant_code) VALUES ('PRODUCT-00139-002-01', 150000, 1, 'Cái', 'PRODUCT-00139-002');</v>
      </c>
    </row>
    <row r="279" spans="1:15" x14ac:dyDescent="0.25">
      <c r="A279" s="10" t="str">
        <f>B279&amp;"-"&amp;TEXT(COUNTIF(B$2:B279,B279),"00")</f>
        <v>PRODUCT-00140-001-01</v>
      </c>
      <c r="B279" s="11" t="s">
        <v>1888</v>
      </c>
      <c r="C279" s="10" t="str">
        <f>_xlfn.XLOOKUP(B279,'Product Variant'!$A:$A,'Product Variant'!$B:$B,"NOT FOUND")</f>
        <v>PRODUCT-00140</v>
      </c>
      <c r="D279" s="10" t="str">
        <f>_xlfn.XLOOKUP(B279,'Product Variant'!$A:$A,'Product Variant'!$C:$C,"NOT FOUND")</f>
        <v>[Mera Senko] Ống mở khí quản 2 nòng có bóng - Sofit D-C</v>
      </c>
      <c r="E279" s="10" t="str" cm="1">
        <f t="array" ref="E279">_xlfn.TEXTJOIN(" / ",TRUE,_xlfn.XLOOKUP(B279&amp;"|ATTR-27",'Product Variant Attribute'!$A$2:$A$2000&amp;"|"&amp;'Product Variant Attribute'!$D$2:$D$2000,'Product Variant Attribute'!$F$2:$F$2000,""),_xlfn.XLOOKUP(B279&amp;"|ATTR-24",'Product Variant Attribute'!$A$2:$A$2000&amp;"|"&amp;'Product Variant Attribute'!$D$2:$D$2000,'Product Variant Attribute'!$F$2:$F$2000,""))</f>
        <v>Số 5</v>
      </c>
      <c r="F279" s="11" t="s">
        <v>815</v>
      </c>
      <c r="G279" s="11" t="s">
        <v>826</v>
      </c>
      <c r="H279" s="13">
        <f t="shared" si="8"/>
        <v>1</v>
      </c>
      <c r="I279" s="16" t="str">
        <f>_xlfn.XLOOKUP(C279,Product!$A:$A,Product!$G:$G,"NOT FOUND")</f>
        <v>bộ</v>
      </c>
      <c r="J279" s="22"/>
      <c r="K279" s="15" t="s">
        <v>1468</v>
      </c>
      <c r="L279" s="21">
        <v>517</v>
      </c>
      <c r="M279" s="10" t="s">
        <v>1030</v>
      </c>
      <c r="N279" s="12">
        <v>386</v>
      </c>
      <c r="O279" t="str">
        <f t="shared" si="9"/>
        <v>INSERT INTO public.medical_supply_sellable_unit (code, price, quantity, sale_uom, product_variant_code) VALUES ('PRODUCT-00140-001-01', NULL, 1, 'Bộ', 'PRODUCT-00140-001');</v>
      </c>
    </row>
    <row r="280" spans="1:15" x14ac:dyDescent="0.25">
      <c r="A280" s="10" t="str">
        <f>B280&amp;"-"&amp;TEXT(COUNTIF(B$2:B280,B280),"00")</f>
        <v>PRODUCT-00140-002-01</v>
      </c>
      <c r="B280" s="11" t="s">
        <v>1889</v>
      </c>
      <c r="C280" s="10" t="str">
        <f>_xlfn.XLOOKUP(B280,'Product Variant'!$A:$A,'Product Variant'!$B:$B,"NOT FOUND")</f>
        <v>PRODUCT-00140</v>
      </c>
      <c r="D280" s="10" t="str">
        <f>_xlfn.XLOOKUP(B280,'Product Variant'!$A:$A,'Product Variant'!$C:$C,"NOT FOUND")</f>
        <v>[Mera Senko] Ống mở khí quản 2 nòng có bóng - Sofit D-C</v>
      </c>
      <c r="E280" s="10" t="str" cm="1">
        <f t="array" ref="E280">_xlfn.TEXTJOIN(" / ",TRUE,_xlfn.XLOOKUP(B280&amp;"|ATTR-27",'Product Variant Attribute'!$A$2:$A$2000&amp;"|"&amp;'Product Variant Attribute'!$D$2:$D$2000,'Product Variant Attribute'!$F$2:$F$2000,""),_xlfn.XLOOKUP(B280&amp;"|ATTR-24",'Product Variant Attribute'!$A$2:$A$2000&amp;"|"&amp;'Product Variant Attribute'!$D$2:$D$2000,'Product Variant Attribute'!$F$2:$F$2000,""))</f>
        <v>Số 6</v>
      </c>
      <c r="F280" s="11" t="s">
        <v>815</v>
      </c>
      <c r="G280" s="11" t="s">
        <v>826</v>
      </c>
      <c r="H280" s="13">
        <f t="shared" si="8"/>
        <v>1</v>
      </c>
      <c r="I280" s="16" t="str">
        <f>_xlfn.XLOOKUP(C280,Product!$A:$A,Product!$G:$G,"NOT FOUND")</f>
        <v>bộ</v>
      </c>
      <c r="J280" s="22"/>
      <c r="K280" s="15" t="s">
        <v>1468</v>
      </c>
      <c r="L280" s="21">
        <v>518</v>
      </c>
      <c r="M280" s="10" t="s">
        <v>1030</v>
      </c>
      <c r="N280" s="12">
        <v>387</v>
      </c>
      <c r="O280" t="str">
        <f t="shared" si="9"/>
        <v>INSERT INTO public.medical_supply_sellable_unit (code, price, quantity, sale_uom, product_variant_code) VALUES ('PRODUCT-00140-002-01', NULL, 1, 'Bộ', 'PRODUCT-00140-002');</v>
      </c>
    </row>
    <row r="281" spans="1:15" x14ac:dyDescent="0.25">
      <c r="A281" s="10" t="str">
        <f>B281&amp;"-"&amp;TEXT(COUNTIF(B$2:B281,B281),"00")</f>
        <v>PRODUCT-00140-003-01</v>
      </c>
      <c r="B281" s="11" t="s">
        <v>1890</v>
      </c>
      <c r="C281" s="10" t="str">
        <f>_xlfn.XLOOKUP(B281,'Product Variant'!$A:$A,'Product Variant'!$B:$B,"NOT FOUND")</f>
        <v>PRODUCT-00140</v>
      </c>
      <c r="D281" s="10" t="str">
        <f>_xlfn.XLOOKUP(B281,'Product Variant'!$A:$A,'Product Variant'!$C:$C,"NOT FOUND")</f>
        <v>[Mera Senko] Ống mở khí quản 2 nòng có bóng - Sofit D-C</v>
      </c>
      <c r="E281" s="10" t="str" cm="1">
        <f t="array" ref="E281">_xlfn.TEXTJOIN(" / ",TRUE,_xlfn.XLOOKUP(B281&amp;"|ATTR-27",'Product Variant Attribute'!$A$2:$A$2000&amp;"|"&amp;'Product Variant Attribute'!$D$2:$D$2000,'Product Variant Attribute'!$F$2:$F$2000,""),_xlfn.XLOOKUP(B281&amp;"|ATTR-24",'Product Variant Attribute'!$A$2:$A$2000&amp;"|"&amp;'Product Variant Attribute'!$D$2:$D$2000,'Product Variant Attribute'!$F$2:$F$2000,""))</f>
        <v>Số 7</v>
      </c>
      <c r="F281" s="11" t="s">
        <v>815</v>
      </c>
      <c r="G281" s="11" t="s">
        <v>826</v>
      </c>
      <c r="H281" s="13">
        <f t="shared" si="8"/>
        <v>1</v>
      </c>
      <c r="I281" s="16" t="str">
        <f>_xlfn.XLOOKUP(C281,Product!$A:$A,Product!$G:$G,"NOT FOUND")</f>
        <v>bộ</v>
      </c>
      <c r="J281" s="22"/>
      <c r="K281" s="15" t="s">
        <v>1468</v>
      </c>
      <c r="L281" s="21">
        <v>519</v>
      </c>
      <c r="M281" s="10" t="s">
        <v>1030</v>
      </c>
      <c r="N281" s="12">
        <v>388</v>
      </c>
      <c r="O281" t="str">
        <f t="shared" si="9"/>
        <v>INSERT INTO public.medical_supply_sellable_unit (code, price, quantity, sale_uom, product_variant_code) VALUES ('PRODUCT-00140-003-01', NULL, 1, 'Bộ', 'PRODUCT-00140-003');</v>
      </c>
    </row>
    <row r="282" spans="1:15" x14ac:dyDescent="0.25">
      <c r="A282" s="10" t="str">
        <f>B282&amp;"-"&amp;TEXT(COUNTIF(B$2:B282,B282),"00")</f>
        <v>PRODUCT-00140-004-01</v>
      </c>
      <c r="B282" s="11" t="s">
        <v>1891</v>
      </c>
      <c r="C282" s="10" t="str">
        <f>_xlfn.XLOOKUP(B282,'Product Variant'!$A:$A,'Product Variant'!$B:$B,"NOT FOUND")</f>
        <v>PRODUCT-00140</v>
      </c>
      <c r="D282" s="10" t="str">
        <f>_xlfn.XLOOKUP(B282,'Product Variant'!$A:$A,'Product Variant'!$C:$C,"NOT FOUND")</f>
        <v>[Mera Senko] Ống mở khí quản 2 nòng có bóng - Sofit D-C</v>
      </c>
      <c r="E282" s="10" t="str" cm="1">
        <f t="array" ref="E282">_xlfn.TEXTJOIN(" / ",TRUE,_xlfn.XLOOKUP(B282&amp;"|ATTR-27",'Product Variant Attribute'!$A$2:$A$2000&amp;"|"&amp;'Product Variant Attribute'!$D$2:$D$2000,'Product Variant Attribute'!$F$2:$F$2000,""),_xlfn.XLOOKUP(B282&amp;"|ATTR-24",'Product Variant Attribute'!$A$2:$A$2000&amp;"|"&amp;'Product Variant Attribute'!$D$2:$D$2000,'Product Variant Attribute'!$F$2:$F$2000,""))</f>
        <v>Số 8</v>
      </c>
      <c r="F282" s="11" t="s">
        <v>815</v>
      </c>
      <c r="G282" s="11" t="s">
        <v>826</v>
      </c>
      <c r="H282" s="13">
        <f t="shared" si="8"/>
        <v>1</v>
      </c>
      <c r="I282" s="16" t="str">
        <f>_xlfn.XLOOKUP(C282,Product!$A:$A,Product!$G:$G,"NOT FOUND")</f>
        <v>bộ</v>
      </c>
      <c r="J282" s="22"/>
      <c r="K282" s="15" t="s">
        <v>1468</v>
      </c>
      <c r="L282" s="21">
        <v>520</v>
      </c>
      <c r="M282" s="10" t="s">
        <v>1030</v>
      </c>
      <c r="N282" s="12">
        <v>389</v>
      </c>
      <c r="O282" t="str">
        <f t="shared" si="9"/>
        <v>INSERT INTO public.medical_supply_sellable_unit (code, price, quantity, sale_uom, product_variant_code) VALUES ('PRODUCT-00140-004-01', NULL, 1, 'Bộ', 'PRODUCT-00140-004');</v>
      </c>
    </row>
    <row r="283" spans="1:15" x14ac:dyDescent="0.25">
      <c r="A283" s="10" t="str">
        <f>B283&amp;"-"&amp;TEXT(COUNTIF(B$2:B283,B283),"00")</f>
        <v>PRODUCT-00141-001-01</v>
      </c>
      <c r="B283" s="11" t="s">
        <v>1892</v>
      </c>
      <c r="C283" s="10" t="str">
        <f>_xlfn.XLOOKUP(B283,'Product Variant'!$A:$A,'Product Variant'!$B:$B,"NOT FOUND")</f>
        <v>PRODUCT-00141</v>
      </c>
      <c r="D283" s="10" t="str">
        <f>_xlfn.XLOOKUP(B283,'Product Variant'!$A:$A,'Product Variant'!$C:$C,"NOT FOUND")</f>
        <v>[Mera Senko] Ống mở khí quản 2 nòng có bóng kèm ống hút trên bóng - Sofit D-CS</v>
      </c>
      <c r="E283" s="10" t="str" cm="1">
        <f t="array" ref="E283">_xlfn.TEXTJOIN(" / ",TRUE,_xlfn.XLOOKUP(B283&amp;"|ATTR-27",'Product Variant Attribute'!$A$2:$A$2000&amp;"|"&amp;'Product Variant Attribute'!$D$2:$D$2000,'Product Variant Attribute'!$F$2:$F$2000,""),_xlfn.XLOOKUP(B283&amp;"|ATTR-24",'Product Variant Attribute'!$A$2:$A$2000&amp;"|"&amp;'Product Variant Attribute'!$D$2:$D$2000,'Product Variant Attribute'!$F$2:$F$2000,""))</f>
        <v>Số 5</v>
      </c>
      <c r="F283" s="11" t="s">
        <v>815</v>
      </c>
      <c r="G283" s="11" t="s">
        <v>826</v>
      </c>
      <c r="H283" s="13">
        <f t="shared" si="8"/>
        <v>1</v>
      </c>
      <c r="I283" s="16" t="str">
        <f>_xlfn.XLOOKUP(C283,Product!$A:$A,Product!$G:$G,"NOT FOUND")</f>
        <v>bộ</v>
      </c>
      <c r="J283" s="22"/>
      <c r="K283" s="15" t="s">
        <v>1468</v>
      </c>
      <c r="L283" s="21">
        <v>529</v>
      </c>
      <c r="M283" s="10" t="s">
        <v>1031</v>
      </c>
      <c r="N283" s="12">
        <v>382</v>
      </c>
      <c r="O283" t="str">
        <f t="shared" si="9"/>
        <v>INSERT INTO public.medical_supply_sellable_unit (code, price, quantity, sale_uom, product_variant_code) VALUES ('PRODUCT-00141-001-01', NULL, 1, 'Bộ', 'PRODUCT-00141-001');</v>
      </c>
    </row>
    <row r="284" spans="1:15" x14ac:dyDescent="0.25">
      <c r="A284" s="10" t="str">
        <f>B284&amp;"-"&amp;TEXT(COUNTIF(B$2:B284,B284),"00")</f>
        <v>PRODUCT-00141-002-01</v>
      </c>
      <c r="B284" s="11" t="s">
        <v>1893</v>
      </c>
      <c r="C284" s="10" t="str">
        <f>_xlfn.XLOOKUP(B284,'Product Variant'!$A:$A,'Product Variant'!$B:$B,"NOT FOUND")</f>
        <v>PRODUCT-00141</v>
      </c>
      <c r="D284" s="10" t="str">
        <f>_xlfn.XLOOKUP(B284,'Product Variant'!$A:$A,'Product Variant'!$C:$C,"NOT FOUND")</f>
        <v>[Mera Senko] Ống mở khí quản 2 nòng có bóng kèm ống hút trên bóng - Sofit D-CS</v>
      </c>
      <c r="E284" s="10" t="str" cm="1">
        <f t="array" ref="E284">_xlfn.TEXTJOIN(" / ",TRUE,_xlfn.XLOOKUP(B284&amp;"|ATTR-27",'Product Variant Attribute'!$A$2:$A$2000&amp;"|"&amp;'Product Variant Attribute'!$D$2:$D$2000,'Product Variant Attribute'!$F$2:$F$2000,""),_xlfn.XLOOKUP(B284&amp;"|ATTR-24",'Product Variant Attribute'!$A$2:$A$2000&amp;"|"&amp;'Product Variant Attribute'!$D$2:$D$2000,'Product Variant Attribute'!$F$2:$F$2000,""))</f>
        <v>Số 6</v>
      </c>
      <c r="F284" s="11" t="s">
        <v>815</v>
      </c>
      <c r="G284" s="11" t="s">
        <v>826</v>
      </c>
      <c r="H284" s="13">
        <f t="shared" si="8"/>
        <v>1</v>
      </c>
      <c r="I284" s="16" t="str">
        <f>_xlfn.XLOOKUP(C284,Product!$A:$A,Product!$G:$G,"NOT FOUND")</f>
        <v>bộ</v>
      </c>
      <c r="J284" s="22"/>
      <c r="K284" s="15" t="s">
        <v>1468</v>
      </c>
      <c r="L284" s="21">
        <v>530</v>
      </c>
      <c r="M284" s="10" t="s">
        <v>1031</v>
      </c>
      <c r="N284" s="12">
        <v>383</v>
      </c>
      <c r="O284" t="str">
        <f t="shared" si="9"/>
        <v>INSERT INTO public.medical_supply_sellable_unit (code, price, quantity, sale_uom, product_variant_code) VALUES ('PRODUCT-00141-002-01', NULL, 1, 'Bộ', 'PRODUCT-00141-002');</v>
      </c>
    </row>
    <row r="285" spans="1:15" x14ac:dyDescent="0.25">
      <c r="A285" s="10" t="str">
        <f>B285&amp;"-"&amp;TEXT(COUNTIF(B$2:B285,B285),"00")</f>
        <v>PRODUCT-00141-003-01</v>
      </c>
      <c r="B285" s="11" t="s">
        <v>1894</v>
      </c>
      <c r="C285" s="10" t="str">
        <f>_xlfn.XLOOKUP(B285,'Product Variant'!$A:$A,'Product Variant'!$B:$B,"NOT FOUND")</f>
        <v>PRODUCT-00141</v>
      </c>
      <c r="D285" s="10" t="str">
        <f>_xlfn.XLOOKUP(B285,'Product Variant'!$A:$A,'Product Variant'!$C:$C,"NOT FOUND")</f>
        <v>[Mera Senko] Ống mở khí quản 2 nòng có bóng kèm ống hút trên bóng - Sofit D-CS</v>
      </c>
      <c r="E285" s="10" t="str" cm="1">
        <f t="array" ref="E285">_xlfn.TEXTJOIN(" / ",TRUE,_xlfn.XLOOKUP(B285&amp;"|ATTR-27",'Product Variant Attribute'!$A$2:$A$2000&amp;"|"&amp;'Product Variant Attribute'!$D$2:$D$2000,'Product Variant Attribute'!$F$2:$F$2000,""),_xlfn.XLOOKUP(B285&amp;"|ATTR-24",'Product Variant Attribute'!$A$2:$A$2000&amp;"|"&amp;'Product Variant Attribute'!$D$2:$D$2000,'Product Variant Attribute'!$F$2:$F$2000,""))</f>
        <v>Số 7</v>
      </c>
      <c r="F285" s="11" t="s">
        <v>815</v>
      </c>
      <c r="G285" s="11" t="s">
        <v>826</v>
      </c>
      <c r="H285" s="13">
        <f t="shared" si="8"/>
        <v>1</v>
      </c>
      <c r="I285" s="16" t="str">
        <f>_xlfn.XLOOKUP(C285,Product!$A:$A,Product!$G:$G,"NOT FOUND")</f>
        <v>bộ</v>
      </c>
      <c r="J285" s="22"/>
      <c r="K285" s="15" t="s">
        <v>1468</v>
      </c>
      <c r="L285" s="21">
        <v>531</v>
      </c>
      <c r="M285" s="10" t="s">
        <v>1031</v>
      </c>
      <c r="N285" s="12">
        <v>384</v>
      </c>
      <c r="O285" t="str">
        <f t="shared" si="9"/>
        <v>INSERT INTO public.medical_supply_sellable_unit (code, price, quantity, sale_uom, product_variant_code) VALUES ('PRODUCT-00141-003-01', NULL, 1, 'Bộ', 'PRODUCT-00141-003');</v>
      </c>
    </row>
    <row r="286" spans="1:15" x14ac:dyDescent="0.25">
      <c r="A286" s="10" t="str">
        <f>B286&amp;"-"&amp;TEXT(COUNTIF(B$2:B286,B286),"00")</f>
        <v>PRODUCT-00141-004-01</v>
      </c>
      <c r="B286" s="11" t="s">
        <v>1895</v>
      </c>
      <c r="C286" s="10" t="str">
        <f>_xlfn.XLOOKUP(B286,'Product Variant'!$A:$A,'Product Variant'!$B:$B,"NOT FOUND")</f>
        <v>PRODUCT-00141</v>
      </c>
      <c r="D286" s="10" t="str">
        <f>_xlfn.XLOOKUP(B286,'Product Variant'!$A:$A,'Product Variant'!$C:$C,"NOT FOUND")</f>
        <v>[Mera Senko] Ống mở khí quản 2 nòng có bóng kèm ống hút trên bóng - Sofit D-CS</v>
      </c>
      <c r="E286" s="10" t="str" cm="1">
        <f t="array" ref="E286">_xlfn.TEXTJOIN(" / ",TRUE,_xlfn.XLOOKUP(B286&amp;"|ATTR-27",'Product Variant Attribute'!$A$2:$A$2000&amp;"|"&amp;'Product Variant Attribute'!$D$2:$D$2000,'Product Variant Attribute'!$F$2:$F$2000,""),_xlfn.XLOOKUP(B286&amp;"|ATTR-24",'Product Variant Attribute'!$A$2:$A$2000&amp;"|"&amp;'Product Variant Attribute'!$D$2:$D$2000,'Product Variant Attribute'!$F$2:$F$2000,""))</f>
        <v>Số 8</v>
      </c>
      <c r="F286" s="11" t="s">
        <v>815</v>
      </c>
      <c r="G286" s="11" t="s">
        <v>826</v>
      </c>
      <c r="H286" s="13">
        <f t="shared" si="8"/>
        <v>1</v>
      </c>
      <c r="I286" s="16" t="str">
        <f>_xlfn.XLOOKUP(C286,Product!$A:$A,Product!$G:$G,"NOT FOUND")</f>
        <v>bộ</v>
      </c>
      <c r="J286" s="22"/>
      <c r="K286" s="15" t="s">
        <v>1468</v>
      </c>
      <c r="L286" s="21">
        <v>532</v>
      </c>
      <c r="M286" s="10" t="s">
        <v>1031</v>
      </c>
      <c r="N286" s="12">
        <v>385</v>
      </c>
      <c r="O286" t="str">
        <f t="shared" si="9"/>
        <v>INSERT INTO public.medical_supply_sellable_unit (code, price, quantity, sale_uom, product_variant_code) VALUES ('PRODUCT-00141-004-01', NULL, 1, 'Bộ', 'PRODUCT-00141-004');</v>
      </c>
    </row>
    <row r="287" spans="1:15" x14ac:dyDescent="0.25">
      <c r="A287" s="10" t="str">
        <f>B287&amp;"-"&amp;TEXT(COUNTIF(B$2:B287,B287),"00")</f>
        <v>PRODUCT-00142-001-01</v>
      </c>
      <c r="B287" s="11" t="s">
        <v>1896</v>
      </c>
      <c r="C287" s="10" t="str">
        <f>_xlfn.XLOOKUP(B287,'Product Variant'!$A:$A,'Product Variant'!$B:$B,"NOT FOUND")</f>
        <v>PRODUCT-00142</v>
      </c>
      <c r="D287" s="10" t="str">
        <f>_xlfn.XLOOKUP(B287,'Product Variant'!$A:$A,'Product Variant'!$C:$C,"NOT FOUND")</f>
        <v>[Mera Senko] Ống mở khí quản 2 nòng có bóng, có cửa sổ - Sofit D-CF</v>
      </c>
      <c r="E287" s="10" t="str" cm="1">
        <f t="array" ref="E287">_xlfn.TEXTJOIN(" / ",TRUE,_xlfn.XLOOKUP(B287&amp;"|ATTR-27",'Product Variant Attribute'!$A$2:$A$2000&amp;"|"&amp;'Product Variant Attribute'!$D$2:$D$2000,'Product Variant Attribute'!$F$2:$F$2000,""),_xlfn.XLOOKUP(B287&amp;"|ATTR-24",'Product Variant Attribute'!$A$2:$A$2000&amp;"|"&amp;'Product Variant Attribute'!$D$2:$D$2000,'Product Variant Attribute'!$F$2:$F$2000,""))</f>
        <v>Số 5</v>
      </c>
      <c r="F287" s="11" t="s">
        <v>815</v>
      </c>
      <c r="G287" s="11" t="s">
        <v>826</v>
      </c>
      <c r="H287" s="13">
        <f t="shared" si="8"/>
        <v>1</v>
      </c>
      <c r="I287" s="16" t="str">
        <f>_xlfn.XLOOKUP(C287,Product!$A:$A,Product!$G:$G,"NOT FOUND")</f>
        <v>bộ</v>
      </c>
      <c r="J287" s="22"/>
      <c r="K287" s="15" t="s">
        <v>1468</v>
      </c>
      <c r="L287" s="21">
        <v>525</v>
      </c>
      <c r="M287" s="10" t="s">
        <v>1032</v>
      </c>
      <c r="N287" s="12">
        <v>396</v>
      </c>
      <c r="O287" t="str">
        <f t="shared" si="9"/>
        <v>INSERT INTO public.medical_supply_sellable_unit (code, price, quantity, sale_uom, product_variant_code) VALUES ('PRODUCT-00142-001-01', NULL, 1, 'Bộ', 'PRODUCT-00142-001');</v>
      </c>
    </row>
    <row r="288" spans="1:15" x14ac:dyDescent="0.25">
      <c r="A288" s="10" t="str">
        <f>B288&amp;"-"&amp;TEXT(COUNTIF(B$2:B288,B288),"00")</f>
        <v>PRODUCT-00142-002-01</v>
      </c>
      <c r="B288" s="11" t="s">
        <v>1897</v>
      </c>
      <c r="C288" s="10" t="str">
        <f>_xlfn.XLOOKUP(B288,'Product Variant'!$A:$A,'Product Variant'!$B:$B,"NOT FOUND")</f>
        <v>PRODUCT-00142</v>
      </c>
      <c r="D288" s="10" t="str">
        <f>_xlfn.XLOOKUP(B288,'Product Variant'!$A:$A,'Product Variant'!$C:$C,"NOT FOUND")</f>
        <v>[Mera Senko] Ống mở khí quản 2 nòng có bóng, có cửa sổ - Sofit D-CF</v>
      </c>
      <c r="E288" s="10" t="str" cm="1">
        <f t="array" ref="E288">_xlfn.TEXTJOIN(" / ",TRUE,_xlfn.XLOOKUP(B288&amp;"|ATTR-27",'Product Variant Attribute'!$A$2:$A$2000&amp;"|"&amp;'Product Variant Attribute'!$D$2:$D$2000,'Product Variant Attribute'!$F$2:$F$2000,""),_xlfn.XLOOKUP(B288&amp;"|ATTR-24",'Product Variant Attribute'!$A$2:$A$2000&amp;"|"&amp;'Product Variant Attribute'!$D$2:$D$2000,'Product Variant Attribute'!$F$2:$F$2000,""))</f>
        <v>Số 6</v>
      </c>
      <c r="F288" s="11" t="s">
        <v>815</v>
      </c>
      <c r="G288" s="11" t="s">
        <v>826</v>
      </c>
      <c r="H288" s="13">
        <f t="shared" si="8"/>
        <v>1</v>
      </c>
      <c r="I288" s="16" t="str">
        <f>_xlfn.XLOOKUP(C288,Product!$A:$A,Product!$G:$G,"NOT FOUND")</f>
        <v>bộ</v>
      </c>
      <c r="J288" s="22"/>
      <c r="K288" s="15" t="s">
        <v>1468</v>
      </c>
      <c r="L288" s="21">
        <v>526</v>
      </c>
      <c r="M288" s="10" t="s">
        <v>1032</v>
      </c>
      <c r="N288" s="12">
        <v>397</v>
      </c>
      <c r="O288" t="str">
        <f t="shared" si="9"/>
        <v>INSERT INTO public.medical_supply_sellable_unit (code, price, quantity, sale_uom, product_variant_code) VALUES ('PRODUCT-00142-002-01', NULL, 1, 'Bộ', 'PRODUCT-00142-002');</v>
      </c>
    </row>
    <row r="289" spans="1:15" x14ac:dyDescent="0.25">
      <c r="A289" s="10" t="str">
        <f>B289&amp;"-"&amp;TEXT(COUNTIF(B$2:B289,B289),"00")</f>
        <v>PRODUCT-00142-003-01</v>
      </c>
      <c r="B289" s="11" t="s">
        <v>1898</v>
      </c>
      <c r="C289" s="10" t="str">
        <f>_xlfn.XLOOKUP(B289,'Product Variant'!$A:$A,'Product Variant'!$B:$B,"NOT FOUND")</f>
        <v>PRODUCT-00142</v>
      </c>
      <c r="D289" s="10" t="str">
        <f>_xlfn.XLOOKUP(B289,'Product Variant'!$A:$A,'Product Variant'!$C:$C,"NOT FOUND")</f>
        <v>[Mera Senko] Ống mở khí quản 2 nòng có bóng, có cửa sổ - Sofit D-CF</v>
      </c>
      <c r="E289" s="10" t="str" cm="1">
        <f t="array" ref="E289">_xlfn.TEXTJOIN(" / ",TRUE,_xlfn.XLOOKUP(B289&amp;"|ATTR-27",'Product Variant Attribute'!$A$2:$A$2000&amp;"|"&amp;'Product Variant Attribute'!$D$2:$D$2000,'Product Variant Attribute'!$F$2:$F$2000,""),_xlfn.XLOOKUP(B289&amp;"|ATTR-24",'Product Variant Attribute'!$A$2:$A$2000&amp;"|"&amp;'Product Variant Attribute'!$D$2:$D$2000,'Product Variant Attribute'!$F$2:$F$2000,""))</f>
        <v>Số 7</v>
      </c>
      <c r="F289" s="11" t="s">
        <v>815</v>
      </c>
      <c r="G289" s="11" t="s">
        <v>826</v>
      </c>
      <c r="H289" s="13">
        <f t="shared" si="8"/>
        <v>1</v>
      </c>
      <c r="I289" s="16" t="str">
        <f>_xlfn.XLOOKUP(C289,Product!$A:$A,Product!$G:$G,"NOT FOUND")</f>
        <v>bộ</v>
      </c>
      <c r="J289" s="22"/>
      <c r="K289" s="15" t="s">
        <v>1468</v>
      </c>
      <c r="L289" s="21">
        <v>527</v>
      </c>
      <c r="M289" s="10" t="s">
        <v>1032</v>
      </c>
      <c r="N289" s="12">
        <v>398</v>
      </c>
      <c r="O289" t="str">
        <f t="shared" si="9"/>
        <v>INSERT INTO public.medical_supply_sellable_unit (code, price, quantity, sale_uom, product_variant_code) VALUES ('PRODUCT-00142-003-01', NULL, 1, 'Bộ', 'PRODUCT-00142-003');</v>
      </c>
    </row>
    <row r="290" spans="1:15" x14ac:dyDescent="0.25">
      <c r="A290" s="10" t="str">
        <f>B290&amp;"-"&amp;TEXT(COUNTIF(B$2:B290,B290),"00")</f>
        <v>PRODUCT-00142-004-01</v>
      </c>
      <c r="B290" s="11" t="s">
        <v>1899</v>
      </c>
      <c r="C290" s="10" t="str">
        <f>_xlfn.XLOOKUP(B290,'Product Variant'!$A:$A,'Product Variant'!$B:$B,"NOT FOUND")</f>
        <v>PRODUCT-00142</v>
      </c>
      <c r="D290" s="10" t="str">
        <f>_xlfn.XLOOKUP(B290,'Product Variant'!$A:$A,'Product Variant'!$C:$C,"NOT FOUND")</f>
        <v>[Mera Senko] Ống mở khí quản 2 nòng có bóng, có cửa sổ - Sofit D-CF</v>
      </c>
      <c r="E290" s="10" t="str" cm="1">
        <f t="array" ref="E290">_xlfn.TEXTJOIN(" / ",TRUE,_xlfn.XLOOKUP(B290&amp;"|ATTR-27",'Product Variant Attribute'!$A$2:$A$2000&amp;"|"&amp;'Product Variant Attribute'!$D$2:$D$2000,'Product Variant Attribute'!$F$2:$F$2000,""),_xlfn.XLOOKUP(B290&amp;"|ATTR-24",'Product Variant Attribute'!$A$2:$A$2000&amp;"|"&amp;'Product Variant Attribute'!$D$2:$D$2000,'Product Variant Attribute'!$F$2:$F$2000,""))</f>
        <v>Số 8</v>
      </c>
      <c r="F290" s="11" t="s">
        <v>815</v>
      </c>
      <c r="G290" s="11" t="s">
        <v>826</v>
      </c>
      <c r="H290" s="13">
        <f t="shared" si="8"/>
        <v>1</v>
      </c>
      <c r="I290" s="16" t="str">
        <f>_xlfn.XLOOKUP(C290,Product!$A:$A,Product!$G:$G,"NOT FOUND")</f>
        <v>bộ</v>
      </c>
      <c r="J290" s="22"/>
      <c r="K290" s="15" t="s">
        <v>1468</v>
      </c>
      <c r="L290" s="21">
        <v>528</v>
      </c>
      <c r="M290" s="10" t="s">
        <v>1032</v>
      </c>
      <c r="N290" s="12">
        <v>399</v>
      </c>
      <c r="O290" t="str">
        <f t="shared" si="9"/>
        <v>INSERT INTO public.medical_supply_sellable_unit (code, price, quantity, sale_uom, product_variant_code) VALUES ('PRODUCT-00142-004-01', NULL, 1, 'Bộ', 'PRODUCT-00142-004');</v>
      </c>
    </row>
    <row r="291" spans="1:15" x14ac:dyDescent="0.25">
      <c r="A291" s="10" t="str">
        <f>B291&amp;"-"&amp;TEXT(COUNTIF(B$2:B291,B291),"00")</f>
        <v>PRODUCT-00143-001-01</v>
      </c>
      <c r="B291" s="11" t="s">
        <v>1900</v>
      </c>
      <c r="C291" s="10" t="str">
        <f>_xlfn.XLOOKUP(B291,'Product Variant'!$A:$A,'Product Variant'!$B:$B,"NOT FOUND")</f>
        <v>PRODUCT-00143</v>
      </c>
      <c r="D291" s="10" t="str">
        <f>_xlfn.XLOOKUP(B291,'Product Variant'!$A:$A,'Product Variant'!$C:$C,"NOT FOUND")</f>
        <v>[Mera Senko] Ống mở khí quản 2 nòng có bóng, có cửa sổ kèm ống hút trên bóng - Sofit D-CFS</v>
      </c>
      <c r="E291" s="10" t="str" cm="1">
        <f t="array" ref="E291">_xlfn.TEXTJOIN(" / ",TRUE,_xlfn.XLOOKUP(B291&amp;"|ATTR-27",'Product Variant Attribute'!$A$2:$A$2000&amp;"|"&amp;'Product Variant Attribute'!$D$2:$D$2000,'Product Variant Attribute'!$F$2:$F$2000,""),_xlfn.XLOOKUP(B291&amp;"|ATTR-24",'Product Variant Attribute'!$A$2:$A$2000&amp;"|"&amp;'Product Variant Attribute'!$D$2:$D$2000,'Product Variant Attribute'!$F$2:$F$2000,""))</f>
        <v>Số 5</v>
      </c>
      <c r="F291" s="11" t="s">
        <v>815</v>
      </c>
      <c r="G291" s="11" t="s">
        <v>826</v>
      </c>
      <c r="H291" s="13">
        <f t="shared" si="8"/>
        <v>1</v>
      </c>
      <c r="I291" s="16" t="str">
        <f>_xlfn.XLOOKUP(C291,Product!$A:$A,Product!$G:$G,"NOT FOUND")</f>
        <v>bộ</v>
      </c>
      <c r="J291" s="20">
        <v>1500000</v>
      </c>
      <c r="K291" s="15" t="s">
        <v>1322</v>
      </c>
      <c r="L291" s="21">
        <v>533</v>
      </c>
      <c r="M291" s="10" t="s">
        <v>1033</v>
      </c>
      <c r="N291" s="12">
        <v>392</v>
      </c>
      <c r="O291" t="str">
        <f t="shared" si="9"/>
        <v>INSERT INTO public.medical_supply_sellable_unit (code, price, quantity, sale_uom, product_variant_code) VALUES ('PRODUCT-00143-001-01', 1500000, 1, 'Bộ', 'PRODUCT-00143-001');</v>
      </c>
    </row>
    <row r="292" spans="1:15" x14ac:dyDescent="0.25">
      <c r="A292" s="10" t="str">
        <f>B292&amp;"-"&amp;TEXT(COUNTIF(B$2:B292,B292),"00")</f>
        <v>PRODUCT-00143-002-01</v>
      </c>
      <c r="B292" s="11" t="s">
        <v>1901</v>
      </c>
      <c r="C292" s="10" t="str">
        <f>_xlfn.XLOOKUP(B292,'Product Variant'!$A:$A,'Product Variant'!$B:$B,"NOT FOUND")</f>
        <v>PRODUCT-00143</v>
      </c>
      <c r="D292" s="10" t="str">
        <f>_xlfn.XLOOKUP(B292,'Product Variant'!$A:$A,'Product Variant'!$C:$C,"NOT FOUND")</f>
        <v>[Mera Senko] Ống mở khí quản 2 nòng có bóng, có cửa sổ kèm ống hút trên bóng - Sofit D-CFS</v>
      </c>
      <c r="E292" s="10" t="str" cm="1">
        <f t="array" ref="E292">_xlfn.TEXTJOIN(" / ",TRUE,_xlfn.XLOOKUP(B292&amp;"|ATTR-27",'Product Variant Attribute'!$A$2:$A$2000&amp;"|"&amp;'Product Variant Attribute'!$D$2:$D$2000,'Product Variant Attribute'!$F$2:$F$2000,""),_xlfn.XLOOKUP(B292&amp;"|ATTR-24",'Product Variant Attribute'!$A$2:$A$2000&amp;"|"&amp;'Product Variant Attribute'!$D$2:$D$2000,'Product Variant Attribute'!$F$2:$F$2000,""))</f>
        <v>Số 6</v>
      </c>
      <c r="F292" s="11" t="s">
        <v>815</v>
      </c>
      <c r="G292" s="11" t="s">
        <v>826</v>
      </c>
      <c r="H292" s="13">
        <f t="shared" si="8"/>
        <v>1</v>
      </c>
      <c r="I292" s="16" t="str">
        <f>_xlfn.XLOOKUP(C292,Product!$A:$A,Product!$G:$G,"NOT FOUND")</f>
        <v>bộ</v>
      </c>
      <c r="J292" s="20">
        <v>1500000</v>
      </c>
      <c r="K292" s="15" t="s">
        <v>1322</v>
      </c>
      <c r="L292" s="21">
        <v>534</v>
      </c>
      <c r="M292" s="10" t="s">
        <v>1033</v>
      </c>
      <c r="N292" s="12">
        <v>393</v>
      </c>
      <c r="O292" t="str">
        <f t="shared" si="9"/>
        <v>INSERT INTO public.medical_supply_sellable_unit (code, price, quantity, sale_uom, product_variant_code) VALUES ('PRODUCT-00143-002-01', 1500000, 1, 'Bộ', 'PRODUCT-00143-002');</v>
      </c>
    </row>
    <row r="293" spans="1:15" x14ac:dyDescent="0.25">
      <c r="A293" s="10" t="str">
        <f>B293&amp;"-"&amp;TEXT(COUNTIF(B$2:B293,B293),"00")</f>
        <v>PRODUCT-00143-003-01</v>
      </c>
      <c r="B293" s="11" t="s">
        <v>1902</v>
      </c>
      <c r="C293" s="10" t="str">
        <f>_xlfn.XLOOKUP(B293,'Product Variant'!$A:$A,'Product Variant'!$B:$B,"NOT FOUND")</f>
        <v>PRODUCT-00143</v>
      </c>
      <c r="D293" s="10" t="str">
        <f>_xlfn.XLOOKUP(B293,'Product Variant'!$A:$A,'Product Variant'!$C:$C,"NOT FOUND")</f>
        <v>[Mera Senko] Ống mở khí quản 2 nòng có bóng, có cửa sổ kèm ống hút trên bóng - Sofit D-CFS</v>
      </c>
      <c r="E293" s="10" t="str" cm="1">
        <f t="array" ref="E293">_xlfn.TEXTJOIN(" / ",TRUE,_xlfn.XLOOKUP(B293&amp;"|ATTR-27",'Product Variant Attribute'!$A$2:$A$2000&amp;"|"&amp;'Product Variant Attribute'!$D$2:$D$2000,'Product Variant Attribute'!$F$2:$F$2000,""),_xlfn.XLOOKUP(B293&amp;"|ATTR-24",'Product Variant Attribute'!$A$2:$A$2000&amp;"|"&amp;'Product Variant Attribute'!$D$2:$D$2000,'Product Variant Attribute'!$F$2:$F$2000,""))</f>
        <v>Số 7</v>
      </c>
      <c r="F293" s="11" t="s">
        <v>815</v>
      </c>
      <c r="G293" s="11" t="s">
        <v>826</v>
      </c>
      <c r="H293" s="13">
        <f t="shared" si="8"/>
        <v>1</v>
      </c>
      <c r="I293" s="16" t="str">
        <f>_xlfn.XLOOKUP(C293,Product!$A:$A,Product!$G:$G,"NOT FOUND")</f>
        <v>bộ</v>
      </c>
      <c r="J293" s="20">
        <v>1500000</v>
      </c>
      <c r="K293" s="15" t="s">
        <v>1327</v>
      </c>
      <c r="L293" s="21">
        <v>535</v>
      </c>
      <c r="M293" s="10" t="s">
        <v>1033</v>
      </c>
      <c r="N293" s="12">
        <v>394</v>
      </c>
      <c r="O293" t="str">
        <f t="shared" si="9"/>
        <v>INSERT INTO public.medical_supply_sellable_unit (code, price, quantity, sale_uom, product_variant_code) VALUES ('PRODUCT-00143-003-01', 1500000, 1, 'Bộ', 'PRODUCT-00143-003');</v>
      </c>
    </row>
    <row r="294" spans="1:15" x14ac:dyDescent="0.25">
      <c r="A294" s="10" t="str">
        <f>B294&amp;"-"&amp;TEXT(COUNTIF(B$2:B294,B294),"00")</f>
        <v>PRODUCT-00143-004-01</v>
      </c>
      <c r="B294" s="11" t="s">
        <v>1903</v>
      </c>
      <c r="C294" s="10" t="str">
        <f>_xlfn.XLOOKUP(B294,'Product Variant'!$A:$A,'Product Variant'!$B:$B,"NOT FOUND")</f>
        <v>PRODUCT-00143</v>
      </c>
      <c r="D294" s="10" t="str">
        <f>_xlfn.XLOOKUP(B294,'Product Variant'!$A:$A,'Product Variant'!$C:$C,"NOT FOUND")</f>
        <v>[Mera Senko] Ống mở khí quản 2 nòng có bóng, có cửa sổ kèm ống hút trên bóng - Sofit D-CFS</v>
      </c>
      <c r="E294" s="10" t="str" cm="1">
        <f t="array" ref="E294">_xlfn.TEXTJOIN(" / ",TRUE,_xlfn.XLOOKUP(B294&amp;"|ATTR-27",'Product Variant Attribute'!$A$2:$A$2000&amp;"|"&amp;'Product Variant Attribute'!$D$2:$D$2000,'Product Variant Attribute'!$F$2:$F$2000,""),_xlfn.XLOOKUP(B294&amp;"|ATTR-24",'Product Variant Attribute'!$A$2:$A$2000&amp;"|"&amp;'Product Variant Attribute'!$D$2:$D$2000,'Product Variant Attribute'!$F$2:$F$2000,""))</f>
        <v>Số 8</v>
      </c>
      <c r="F294" s="11" t="s">
        <v>815</v>
      </c>
      <c r="G294" s="11" t="s">
        <v>826</v>
      </c>
      <c r="H294" s="13">
        <f t="shared" si="8"/>
        <v>1</v>
      </c>
      <c r="I294" s="16" t="str">
        <f>_xlfn.XLOOKUP(C294,Product!$A:$A,Product!$G:$G,"NOT FOUND")</f>
        <v>bộ</v>
      </c>
      <c r="J294" s="20">
        <v>1500000</v>
      </c>
      <c r="K294" s="15" t="s">
        <v>1322</v>
      </c>
      <c r="L294" s="21">
        <v>536</v>
      </c>
      <c r="M294" s="10" t="s">
        <v>1033</v>
      </c>
      <c r="N294" s="12">
        <v>395</v>
      </c>
      <c r="O294" t="str">
        <f t="shared" si="9"/>
        <v>INSERT INTO public.medical_supply_sellable_unit (code, price, quantity, sale_uom, product_variant_code) VALUES ('PRODUCT-00143-004-01', 1500000, 1, 'Bộ', 'PRODUCT-00143-004');</v>
      </c>
    </row>
    <row r="295" spans="1:15" x14ac:dyDescent="0.25">
      <c r="A295" s="10" t="str">
        <f>B295&amp;"-"&amp;TEXT(COUNTIF(B$2:B295,B295),"00")</f>
        <v>PRODUCT-00144-001-01</v>
      </c>
      <c r="B295" s="11" t="s">
        <v>1904</v>
      </c>
      <c r="C295" s="10" t="str">
        <f>_xlfn.XLOOKUP(B295,'Product Variant'!$A:$A,'Product Variant'!$B:$B,"NOT FOUND")</f>
        <v>PRODUCT-00144</v>
      </c>
      <c r="D295" s="10" t="str">
        <f>_xlfn.XLOOKUP(B295,'Product Variant'!$A:$A,'Product Variant'!$C:$C,"NOT FOUND")</f>
        <v>[Mera Senko] Ống mở khí quản 2 nòng không bóng - Sofit D-NC</v>
      </c>
      <c r="E295" s="10" t="str" cm="1">
        <f t="array" ref="E295">_xlfn.TEXTJOIN(" / ",TRUE,_xlfn.XLOOKUP(B295&amp;"|ATTR-27",'Product Variant Attribute'!$A$2:$A$2000&amp;"|"&amp;'Product Variant Attribute'!$D$2:$D$2000,'Product Variant Attribute'!$F$2:$F$2000,""),_xlfn.XLOOKUP(B295&amp;"|ATTR-24",'Product Variant Attribute'!$A$2:$A$2000&amp;"|"&amp;'Product Variant Attribute'!$D$2:$D$2000,'Product Variant Attribute'!$F$2:$F$2000,""))</f>
        <v>Số 5</v>
      </c>
      <c r="F295" s="11" t="s">
        <v>815</v>
      </c>
      <c r="G295" s="11" t="s">
        <v>826</v>
      </c>
      <c r="H295" s="13">
        <f t="shared" si="8"/>
        <v>1</v>
      </c>
      <c r="I295" s="16" t="str">
        <f>_xlfn.XLOOKUP(C295,Product!$A:$A,Product!$G:$G,"NOT FOUND")</f>
        <v>bộ</v>
      </c>
      <c r="J295" s="22"/>
      <c r="K295" s="15" t="s">
        <v>1468</v>
      </c>
      <c r="L295" s="21">
        <v>2</v>
      </c>
      <c r="M295" s="10" t="s">
        <v>1034</v>
      </c>
      <c r="N295" s="12">
        <v>406</v>
      </c>
      <c r="O295" t="str">
        <f t="shared" si="9"/>
        <v>INSERT INTO public.medical_supply_sellable_unit (code, price, quantity, sale_uom, product_variant_code) VALUES ('PRODUCT-00144-001-01', NULL, 1, 'Bộ', 'PRODUCT-00144-001');</v>
      </c>
    </row>
    <row r="296" spans="1:15" x14ac:dyDescent="0.25">
      <c r="A296" s="10" t="str">
        <f>B296&amp;"-"&amp;TEXT(COUNTIF(B$2:B296,B296),"00")</f>
        <v>PRODUCT-00144-002-01</v>
      </c>
      <c r="B296" s="11" t="s">
        <v>1905</v>
      </c>
      <c r="C296" s="10" t="str">
        <f>_xlfn.XLOOKUP(B296,'Product Variant'!$A:$A,'Product Variant'!$B:$B,"NOT FOUND")</f>
        <v>PRODUCT-00144</v>
      </c>
      <c r="D296" s="10" t="str">
        <f>_xlfn.XLOOKUP(B296,'Product Variant'!$A:$A,'Product Variant'!$C:$C,"NOT FOUND")</f>
        <v>[Mera Senko] Ống mở khí quản 2 nòng không bóng - Sofit D-NC</v>
      </c>
      <c r="E296" s="10" t="str" cm="1">
        <f t="array" ref="E296">_xlfn.TEXTJOIN(" / ",TRUE,_xlfn.XLOOKUP(B296&amp;"|ATTR-27",'Product Variant Attribute'!$A$2:$A$2000&amp;"|"&amp;'Product Variant Attribute'!$D$2:$D$2000,'Product Variant Attribute'!$F$2:$F$2000,""),_xlfn.XLOOKUP(B296&amp;"|ATTR-24",'Product Variant Attribute'!$A$2:$A$2000&amp;"|"&amp;'Product Variant Attribute'!$D$2:$D$2000,'Product Variant Attribute'!$F$2:$F$2000,""))</f>
        <v>Số 6</v>
      </c>
      <c r="F296" s="11" t="s">
        <v>815</v>
      </c>
      <c r="G296" s="11" t="s">
        <v>826</v>
      </c>
      <c r="H296" s="13">
        <f t="shared" si="8"/>
        <v>1</v>
      </c>
      <c r="I296" s="16" t="str">
        <f>_xlfn.XLOOKUP(C296,Product!$A:$A,Product!$G:$G,"NOT FOUND")</f>
        <v>bộ</v>
      </c>
      <c r="J296" s="22"/>
      <c r="K296" s="15" t="s">
        <v>1468</v>
      </c>
      <c r="L296" s="21">
        <v>3</v>
      </c>
      <c r="M296" s="10" t="s">
        <v>1034</v>
      </c>
      <c r="N296" s="12">
        <v>407</v>
      </c>
      <c r="O296" t="str">
        <f t="shared" si="9"/>
        <v>INSERT INTO public.medical_supply_sellable_unit (code, price, quantity, sale_uom, product_variant_code) VALUES ('PRODUCT-00144-002-01', NULL, 1, 'Bộ', 'PRODUCT-00144-002');</v>
      </c>
    </row>
    <row r="297" spans="1:15" x14ac:dyDescent="0.25">
      <c r="A297" s="10" t="str">
        <f>B297&amp;"-"&amp;TEXT(COUNTIF(B$2:B297,B297),"00")</f>
        <v>PRODUCT-00144-003-01</v>
      </c>
      <c r="B297" s="11" t="s">
        <v>1906</v>
      </c>
      <c r="C297" s="10" t="str">
        <f>_xlfn.XLOOKUP(B297,'Product Variant'!$A:$A,'Product Variant'!$B:$B,"NOT FOUND")</f>
        <v>PRODUCT-00144</v>
      </c>
      <c r="D297" s="10" t="str">
        <f>_xlfn.XLOOKUP(B297,'Product Variant'!$A:$A,'Product Variant'!$C:$C,"NOT FOUND")</f>
        <v>[Mera Senko] Ống mở khí quản 2 nòng không bóng - Sofit D-NC</v>
      </c>
      <c r="E297" s="10" t="str" cm="1">
        <f t="array" ref="E297">_xlfn.TEXTJOIN(" / ",TRUE,_xlfn.XLOOKUP(B297&amp;"|ATTR-27",'Product Variant Attribute'!$A$2:$A$2000&amp;"|"&amp;'Product Variant Attribute'!$D$2:$D$2000,'Product Variant Attribute'!$F$2:$F$2000,""),_xlfn.XLOOKUP(B297&amp;"|ATTR-24",'Product Variant Attribute'!$A$2:$A$2000&amp;"|"&amp;'Product Variant Attribute'!$D$2:$D$2000,'Product Variant Attribute'!$F$2:$F$2000,""))</f>
        <v>Số 7</v>
      </c>
      <c r="F297" s="11" t="s">
        <v>815</v>
      </c>
      <c r="G297" s="11" t="s">
        <v>826</v>
      </c>
      <c r="H297" s="13">
        <f t="shared" si="8"/>
        <v>1</v>
      </c>
      <c r="I297" s="16" t="str">
        <f>_xlfn.XLOOKUP(C297,Product!$A:$A,Product!$G:$G,"NOT FOUND")</f>
        <v>bộ</v>
      </c>
      <c r="J297" s="22"/>
      <c r="K297" s="15" t="s">
        <v>1468</v>
      </c>
      <c r="L297" s="21">
        <v>4</v>
      </c>
      <c r="M297" s="10" t="s">
        <v>1034</v>
      </c>
      <c r="N297" s="12">
        <v>408</v>
      </c>
      <c r="O297" t="str">
        <f t="shared" si="9"/>
        <v>INSERT INTO public.medical_supply_sellable_unit (code, price, quantity, sale_uom, product_variant_code) VALUES ('PRODUCT-00144-003-01', NULL, 1, 'Bộ', 'PRODUCT-00144-003');</v>
      </c>
    </row>
    <row r="298" spans="1:15" x14ac:dyDescent="0.25">
      <c r="A298" s="10" t="str">
        <f>B298&amp;"-"&amp;TEXT(COUNTIF(B$2:B298,B298),"00")</f>
        <v>PRODUCT-00144-004-01</v>
      </c>
      <c r="B298" s="11" t="s">
        <v>1907</v>
      </c>
      <c r="C298" s="10" t="str">
        <f>_xlfn.XLOOKUP(B298,'Product Variant'!$A:$A,'Product Variant'!$B:$B,"NOT FOUND")</f>
        <v>PRODUCT-00144</v>
      </c>
      <c r="D298" s="10" t="str">
        <f>_xlfn.XLOOKUP(B298,'Product Variant'!$A:$A,'Product Variant'!$C:$C,"NOT FOUND")</f>
        <v>[Mera Senko] Ống mở khí quản 2 nòng không bóng - Sofit D-NC</v>
      </c>
      <c r="E298" s="10" t="str" cm="1">
        <f t="array" ref="E298">_xlfn.TEXTJOIN(" / ",TRUE,_xlfn.XLOOKUP(B298&amp;"|ATTR-27",'Product Variant Attribute'!$A$2:$A$2000&amp;"|"&amp;'Product Variant Attribute'!$D$2:$D$2000,'Product Variant Attribute'!$F$2:$F$2000,""),_xlfn.XLOOKUP(B298&amp;"|ATTR-24",'Product Variant Attribute'!$A$2:$A$2000&amp;"|"&amp;'Product Variant Attribute'!$D$2:$D$2000,'Product Variant Attribute'!$F$2:$F$2000,""))</f>
        <v>Số 8</v>
      </c>
      <c r="F298" s="11" t="s">
        <v>815</v>
      </c>
      <c r="G298" s="11" t="s">
        <v>826</v>
      </c>
      <c r="H298" s="13">
        <f t="shared" si="8"/>
        <v>1</v>
      </c>
      <c r="I298" s="16" t="str">
        <f>_xlfn.XLOOKUP(C298,Product!$A:$A,Product!$G:$G,"NOT FOUND")</f>
        <v>bộ</v>
      </c>
      <c r="J298" s="22"/>
      <c r="K298" s="15" t="s">
        <v>1468</v>
      </c>
      <c r="L298" s="21">
        <v>5</v>
      </c>
      <c r="M298" s="10" t="s">
        <v>1034</v>
      </c>
      <c r="N298" s="12">
        <v>409</v>
      </c>
      <c r="O298" t="str">
        <f t="shared" si="9"/>
        <v>INSERT INTO public.medical_supply_sellable_unit (code, price, quantity, sale_uom, product_variant_code) VALUES ('PRODUCT-00144-004-01', NULL, 1, 'Bộ', 'PRODUCT-00144-004');</v>
      </c>
    </row>
    <row r="299" spans="1:15" x14ac:dyDescent="0.25">
      <c r="A299" s="10" t="str">
        <f>B299&amp;"-"&amp;TEXT(COUNTIF(B$2:B299,B299),"00")</f>
        <v>PRODUCT-00145-001-01</v>
      </c>
      <c r="B299" s="11" t="s">
        <v>1908</v>
      </c>
      <c r="C299" s="10" t="str">
        <f>_xlfn.XLOOKUP(B299,'Product Variant'!$A:$A,'Product Variant'!$B:$B,"NOT FOUND")</f>
        <v>PRODUCT-00145</v>
      </c>
      <c r="D299" s="10" t="str">
        <f>_xlfn.XLOOKUP(B299,'Product Variant'!$A:$A,'Product Variant'!$C:$C,"NOT FOUND")</f>
        <v>[Mera Senko] Ống mở khí quản 2 nòng không bóng, có cửa sổ - Sofit D-F</v>
      </c>
      <c r="E299" s="10" t="str" cm="1">
        <f t="array" ref="E299">_xlfn.TEXTJOIN(" / ",TRUE,_xlfn.XLOOKUP(B299&amp;"|ATTR-27",'Product Variant Attribute'!$A$2:$A$2000&amp;"|"&amp;'Product Variant Attribute'!$D$2:$D$2000,'Product Variant Attribute'!$F$2:$F$2000,""),_xlfn.XLOOKUP(B299&amp;"|ATTR-24",'Product Variant Attribute'!$A$2:$A$2000&amp;"|"&amp;'Product Variant Attribute'!$D$2:$D$2000,'Product Variant Attribute'!$F$2:$F$2000,""))</f>
        <v>Số 5</v>
      </c>
      <c r="F299" s="11" t="s">
        <v>815</v>
      </c>
      <c r="G299" s="11" t="s">
        <v>826</v>
      </c>
      <c r="H299" s="13">
        <f t="shared" si="8"/>
        <v>1</v>
      </c>
      <c r="I299" s="16" t="str">
        <f>_xlfn.XLOOKUP(C299,Product!$A:$A,Product!$G:$G,"NOT FOUND")</f>
        <v>bộ</v>
      </c>
      <c r="J299" s="22"/>
      <c r="K299" s="15" t="s">
        <v>1468</v>
      </c>
      <c r="L299" s="21">
        <v>521</v>
      </c>
      <c r="M299" s="10" t="s">
        <v>1035</v>
      </c>
      <c r="N299" s="12">
        <v>410</v>
      </c>
      <c r="O299" t="str">
        <f t="shared" si="9"/>
        <v>INSERT INTO public.medical_supply_sellable_unit (code, price, quantity, sale_uom, product_variant_code) VALUES ('PRODUCT-00145-001-01', NULL, 1, 'Bộ', 'PRODUCT-00145-001');</v>
      </c>
    </row>
    <row r="300" spans="1:15" x14ac:dyDescent="0.25">
      <c r="A300" s="10" t="str">
        <f>B300&amp;"-"&amp;TEXT(COUNTIF(B$2:B300,B300),"00")</f>
        <v>PRODUCT-00145-002-01</v>
      </c>
      <c r="B300" s="11" t="s">
        <v>1909</v>
      </c>
      <c r="C300" s="10" t="str">
        <f>_xlfn.XLOOKUP(B300,'Product Variant'!$A:$A,'Product Variant'!$B:$B,"NOT FOUND")</f>
        <v>PRODUCT-00145</v>
      </c>
      <c r="D300" s="10" t="str">
        <f>_xlfn.XLOOKUP(B300,'Product Variant'!$A:$A,'Product Variant'!$C:$C,"NOT FOUND")</f>
        <v>[Mera Senko] Ống mở khí quản 2 nòng không bóng, có cửa sổ - Sofit D-F</v>
      </c>
      <c r="E300" s="10" t="str" cm="1">
        <f t="array" ref="E300">_xlfn.TEXTJOIN(" / ",TRUE,_xlfn.XLOOKUP(B300&amp;"|ATTR-27",'Product Variant Attribute'!$A$2:$A$2000&amp;"|"&amp;'Product Variant Attribute'!$D$2:$D$2000,'Product Variant Attribute'!$F$2:$F$2000,""),_xlfn.XLOOKUP(B300&amp;"|ATTR-24",'Product Variant Attribute'!$A$2:$A$2000&amp;"|"&amp;'Product Variant Attribute'!$D$2:$D$2000,'Product Variant Attribute'!$F$2:$F$2000,""))</f>
        <v>Số 6</v>
      </c>
      <c r="F300" s="11" t="s">
        <v>815</v>
      </c>
      <c r="G300" s="11" t="s">
        <v>826</v>
      </c>
      <c r="H300" s="13">
        <f t="shared" si="8"/>
        <v>1</v>
      </c>
      <c r="I300" s="16" t="str">
        <f>_xlfn.XLOOKUP(C300,Product!$A:$A,Product!$G:$G,"NOT FOUND")</f>
        <v>bộ</v>
      </c>
      <c r="J300" s="22"/>
      <c r="K300" s="15" t="s">
        <v>1468</v>
      </c>
      <c r="L300" s="21">
        <v>522</v>
      </c>
      <c r="M300" s="10" t="s">
        <v>1035</v>
      </c>
      <c r="N300" s="12">
        <v>411</v>
      </c>
      <c r="O300" t="str">
        <f t="shared" si="9"/>
        <v>INSERT INTO public.medical_supply_sellable_unit (code, price, quantity, sale_uom, product_variant_code) VALUES ('PRODUCT-00145-002-01', NULL, 1, 'Bộ', 'PRODUCT-00145-002');</v>
      </c>
    </row>
    <row r="301" spans="1:15" x14ac:dyDescent="0.25">
      <c r="A301" s="10" t="str">
        <f>B301&amp;"-"&amp;TEXT(COUNTIF(B$2:B301,B301),"00")</f>
        <v>PRODUCT-00145-003-01</v>
      </c>
      <c r="B301" s="11" t="s">
        <v>1910</v>
      </c>
      <c r="C301" s="10" t="str">
        <f>_xlfn.XLOOKUP(B301,'Product Variant'!$A:$A,'Product Variant'!$B:$B,"NOT FOUND")</f>
        <v>PRODUCT-00145</v>
      </c>
      <c r="D301" s="10" t="str">
        <f>_xlfn.XLOOKUP(B301,'Product Variant'!$A:$A,'Product Variant'!$C:$C,"NOT FOUND")</f>
        <v>[Mera Senko] Ống mở khí quản 2 nòng không bóng, có cửa sổ - Sofit D-F</v>
      </c>
      <c r="E301" s="10" t="str" cm="1">
        <f t="array" ref="E301">_xlfn.TEXTJOIN(" / ",TRUE,_xlfn.XLOOKUP(B301&amp;"|ATTR-27",'Product Variant Attribute'!$A$2:$A$2000&amp;"|"&amp;'Product Variant Attribute'!$D$2:$D$2000,'Product Variant Attribute'!$F$2:$F$2000,""),_xlfn.XLOOKUP(B301&amp;"|ATTR-24",'Product Variant Attribute'!$A$2:$A$2000&amp;"|"&amp;'Product Variant Attribute'!$D$2:$D$2000,'Product Variant Attribute'!$F$2:$F$2000,""))</f>
        <v>Số 7</v>
      </c>
      <c r="F301" s="11" t="s">
        <v>815</v>
      </c>
      <c r="G301" s="11" t="s">
        <v>826</v>
      </c>
      <c r="H301" s="13">
        <f t="shared" si="8"/>
        <v>1</v>
      </c>
      <c r="I301" s="16" t="str">
        <f>_xlfn.XLOOKUP(C301,Product!$A:$A,Product!$G:$G,"NOT FOUND")</f>
        <v>bộ</v>
      </c>
      <c r="J301" s="22"/>
      <c r="K301" s="15" t="s">
        <v>1468</v>
      </c>
      <c r="L301" s="21">
        <v>523</v>
      </c>
      <c r="M301" s="10" t="s">
        <v>1035</v>
      </c>
      <c r="N301" s="12">
        <v>412</v>
      </c>
      <c r="O301" t="str">
        <f t="shared" si="9"/>
        <v>INSERT INTO public.medical_supply_sellable_unit (code, price, quantity, sale_uom, product_variant_code) VALUES ('PRODUCT-00145-003-01', NULL, 1, 'Bộ', 'PRODUCT-00145-003');</v>
      </c>
    </row>
    <row r="302" spans="1:15" x14ac:dyDescent="0.25">
      <c r="A302" s="10" t="str">
        <f>B302&amp;"-"&amp;TEXT(COUNTIF(B$2:B302,B302),"00")</f>
        <v>PRODUCT-00145-004-01</v>
      </c>
      <c r="B302" s="11" t="s">
        <v>1911</v>
      </c>
      <c r="C302" s="10" t="str">
        <f>_xlfn.XLOOKUP(B302,'Product Variant'!$A:$A,'Product Variant'!$B:$B,"NOT FOUND")</f>
        <v>PRODUCT-00145</v>
      </c>
      <c r="D302" s="10" t="str">
        <f>_xlfn.XLOOKUP(B302,'Product Variant'!$A:$A,'Product Variant'!$C:$C,"NOT FOUND")</f>
        <v>[Mera Senko] Ống mở khí quản 2 nòng không bóng, có cửa sổ - Sofit D-F</v>
      </c>
      <c r="E302" s="10" t="str" cm="1">
        <f t="array" ref="E302">_xlfn.TEXTJOIN(" / ",TRUE,_xlfn.XLOOKUP(B302&amp;"|ATTR-27",'Product Variant Attribute'!$A$2:$A$2000&amp;"|"&amp;'Product Variant Attribute'!$D$2:$D$2000,'Product Variant Attribute'!$F$2:$F$2000,""),_xlfn.XLOOKUP(B302&amp;"|ATTR-24",'Product Variant Attribute'!$A$2:$A$2000&amp;"|"&amp;'Product Variant Attribute'!$D$2:$D$2000,'Product Variant Attribute'!$F$2:$F$2000,""))</f>
        <v>Số 8</v>
      </c>
      <c r="F302" s="11" t="s">
        <v>815</v>
      </c>
      <c r="G302" s="11" t="s">
        <v>826</v>
      </c>
      <c r="H302" s="13">
        <f t="shared" si="8"/>
        <v>1</v>
      </c>
      <c r="I302" s="16" t="str">
        <f>_xlfn.XLOOKUP(C302,Product!$A:$A,Product!$G:$G,"NOT FOUND")</f>
        <v>bộ</v>
      </c>
      <c r="J302" s="22"/>
      <c r="K302" s="15" t="s">
        <v>1468</v>
      </c>
      <c r="L302" s="21">
        <v>524</v>
      </c>
      <c r="M302" s="10" t="s">
        <v>1035</v>
      </c>
      <c r="N302" s="12">
        <v>413</v>
      </c>
      <c r="O302" t="str">
        <f t="shared" si="9"/>
        <v>INSERT INTO public.medical_supply_sellable_unit (code, price, quantity, sale_uom, product_variant_code) VALUES ('PRODUCT-00145-004-01', NULL, 1, 'Bộ', 'PRODUCT-00145-004');</v>
      </c>
    </row>
    <row r="303" spans="1:15" x14ac:dyDescent="0.25">
      <c r="A303" s="10" t="str">
        <f>B303&amp;"-"&amp;TEXT(COUNTIF(B$2:B303,B303),"00")</f>
        <v>PRODUCT-00146-001-01</v>
      </c>
      <c r="B303" s="11" t="s">
        <v>1912</v>
      </c>
      <c r="C303" s="10" t="str">
        <f>_xlfn.XLOOKUP(B303,'Product Variant'!$A:$A,'Product Variant'!$B:$B,"NOT FOUND")</f>
        <v>PRODUCT-00146</v>
      </c>
      <c r="D303" s="10" t="str">
        <f>_xlfn.XLOOKUP(B303,'Product Variant'!$A:$A,'Product Variant'!$C:$C,"NOT FOUND")</f>
        <v>[Mera Senko] Van tập nói - Sofit</v>
      </c>
      <c r="E303" s="10" t="str" cm="1">
        <f t="array" ref="E303">_xlfn.TEXTJOIN(" / ",TRUE,_xlfn.XLOOKUP(B303&amp;"|ATTR-27",'Product Variant Attribute'!$A$2:$A$2000&amp;"|"&amp;'Product Variant Attribute'!$D$2:$D$2000,'Product Variant Attribute'!$F$2:$F$2000,""),_xlfn.XLOOKUP(B303&amp;"|ATTR-24",'Product Variant Attribute'!$A$2:$A$2000&amp;"|"&amp;'Product Variant Attribute'!$D$2:$D$2000,'Product Variant Attribute'!$F$2:$F$2000,""))</f>
        <v/>
      </c>
      <c r="F303" s="11" t="s">
        <v>818</v>
      </c>
      <c r="G303" s="11" t="s">
        <v>927</v>
      </c>
      <c r="H303" s="13">
        <f t="shared" si="8"/>
        <v>1</v>
      </c>
      <c r="I303" s="16" t="str">
        <f>_xlfn.XLOOKUP(C303,Product!$A:$A,Product!$G:$G,"NOT FOUND")</f>
        <v>cái</v>
      </c>
      <c r="J303" s="22"/>
      <c r="K303" s="15" t="s">
        <v>1468</v>
      </c>
      <c r="L303" s="21">
        <v>434</v>
      </c>
      <c r="M303" s="10" t="s">
        <v>1036</v>
      </c>
      <c r="N303" s="12">
        <v>506</v>
      </c>
      <c r="O303" t="str">
        <f t="shared" si="9"/>
        <v>INSERT INTO public.medical_supply_sellable_unit (code, price, quantity, sale_uom, product_variant_code) VALUES ('PRODUCT-00146-001-01', NULL, 1, 'Cái', 'PRODUCT-00146-001');</v>
      </c>
    </row>
    <row r="304" spans="1:15" x14ac:dyDescent="0.25">
      <c r="A304" s="10" t="str">
        <f>B304&amp;"-"&amp;TEXT(COUNTIF(B$2:B304,B304),"00")</f>
        <v>PRODUCT-00147-001-01</v>
      </c>
      <c r="B304" s="11" t="s">
        <v>1913</v>
      </c>
      <c r="C304" s="10" t="str">
        <f>_xlfn.XLOOKUP(B304,'Product Variant'!$A:$A,'Product Variant'!$B:$B,"NOT FOUND")</f>
        <v>PRODUCT-00147</v>
      </c>
      <c r="D304" s="10" t="str">
        <f>_xlfn.XLOOKUP(B304,'Product Variant'!$A:$A,'Product Variant'!$C:$C,"NOT FOUND")</f>
        <v>[Omron] Máy xông khí dung - NE-C101</v>
      </c>
      <c r="E304" s="10" t="str" cm="1">
        <f t="array" ref="E304">_xlfn.TEXTJOIN(" / ",TRUE,_xlfn.XLOOKUP(B304&amp;"|ATTR-27",'Product Variant Attribute'!$A$2:$A$2000&amp;"|"&amp;'Product Variant Attribute'!$D$2:$D$2000,'Product Variant Attribute'!$F$2:$F$2000,""),_xlfn.XLOOKUP(B304&amp;"|ATTR-24",'Product Variant Attribute'!$A$2:$A$2000&amp;"|"&amp;'Product Variant Attribute'!$D$2:$D$2000,'Product Variant Attribute'!$F$2:$F$2000,""))</f>
        <v/>
      </c>
      <c r="F304" s="11" t="s">
        <v>815</v>
      </c>
      <c r="G304" s="11" t="s">
        <v>826</v>
      </c>
      <c r="H304" s="13">
        <f t="shared" ref="H304:H367" si="10">IFERROR(--LEFT(G304,FIND(" ",G304&amp;" ")-1),"")</f>
        <v>1</v>
      </c>
      <c r="I304" s="16" t="str">
        <f>_xlfn.XLOOKUP(C304,Product!$A:$A,Product!$G:$G,"NOT FOUND")</f>
        <v>bộ</v>
      </c>
      <c r="J304" s="20">
        <v>830000</v>
      </c>
      <c r="K304" s="15" t="s">
        <v>1323</v>
      </c>
      <c r="L304" s="21">
        <v>498</v>
      </c>
      <c r="M304" s="10" t="s">
        <v>1037</v>
      </c>
      <c r="N304" s="12">
        <v>337</v>
      </c>
      <c r="O304" t="str">
        <f t="shared" si="9"/>
        <v>INSERT INTO public.medical_supply_sellable_unit (code, price, quantity, sale_uom, product_variant_code) VALUES ('PRODUCT-00147-001-01', 830000, 1, 'Bộ', 'PRODUCT-00147-001');</v>
      </c>
    </row>
    <row r="305" spans="1:15" x14ac:dyDescent="0.25">
      <c r="A305" s="10" t="str">
        <f>B305&amp;"-"&amp;TEXT(COUNTIF(B$2:B305,B305),"00")</f>
        <v>PRODUCT-00148-001-01</v>
      </c>
      <c r="B305" s="11" t="s">
        <v>1914</v>
      </c>
      <c r="C305" s="10" t="str">
        <f>_xlfn.XLOOKUP(B305,'Product Variant'!$A:$A,'Product Variant'!$B:$B,"NOT FOUND")</f>
        <v>PRODUCT-00148</v>
      </c>
      <c r="D305" s="10" t="str">
        <f>_xlfn.XLOOKUP(B305,'Product Variant'!$A:$A,'Product Variant'!$C:$C,"NOT FOUND")</f>
        <v>[Omron] Máy xông khí dung - NE-C106</v>
      </c>
      <c r="E305" s="10" t="str" cm="1">
        <f t="array" ref="E305">_xlfn.TEXTJOIN(" / ",TRUE,_xlfn.XLOOKUP(B305&amp;"|ATTR-27",'Product Variant Attribute'!$A$2:$A$2000&amp;"|"&amp;'Product Variant Attribute'!$D$2:$D$2000,'Product Variant Attribute'!$F$2:$F$2000,""),_xlfn.XLOOKUP(B305&amp;"|ATTR-24",'Product Variant Attribute'!$A$2:$A$2000&amp;"|"&amp;'Product Variant Attribute'!$D$2:$D$2000,'Product Variant Attribute'!$F$2:$F$2000,""))</f>
        <v/>
      </c>
      <c r="F305" s="11" t="s">
        <v>815</v>
      </c>
      <c r="G305" s="11" t="s">
        <v>826</v>
      </c>
      <c r="H305" s="13">
        <f t="shared" si="10"/>
        <v>1</v>
      </c>
      <c r="I305" s="16" t="str">
        <f>_xlfn.XLOOKUP(C305,Product!$A:$A,Product!$G:$G,"NOT FOUND")</f>
        <v>bộ</v>
      </c>
      <c r="J305" s="20">
        <v>680000</v>
      </c>
      <c r="K305" s="15" t="s">
        <v>1323</v>
      </c>
      <c r="L305" s="21">
        <v>499</v>
      </c>
      <c r="M305" s="10" t="s">
        <v>1038</v>
      </c>
      <c r="N305" s="12">
        <v>338</v>
      </c>
      <c r="O305" t="str">
        <f t="shared" si="9"/>
        <v>INSERT INTO public.medical_supply_sellable_unit (code, price, quantity, sale_uom, product_variant_code) VALUES ('PRODUCT-00148-001-01', 680000, 1, 'Bộ', 'PRODUCT-00148-001');</v>
      </c>
    </row>
    <row r="306" spans="1:15" x14ac:dyDescent="0.25">
      <c r="A306" s="10" t="str">
        <f>B306&amp;"-"&amp;TEXT(COUNTIF(B$2:B306,B306),"00")</f>
        <v>PRODUCT-00149-001-01</v>
      </c>
      <c r="B306" s="11" t="s">
        <v>1915</v>
      </c>
      <c r="C306" s="10" t="str">
        <f>_xlfn.XLOOKUP(B306,'Product Variant'!$A:$A,'Product Variant'!$B:$B,"NOT FOUND")</f>
        <v>PRODUCT-00149</v>
      </c>
      <c r="D306" s="10" t="str">
        <f>_xlfn.XLOOKUP(B306,'Product Variant'!$A:$A,'Product Variant'!$C:$C,"NOT FOUND")</f>
        <v>[Omron] Máy xông khí dung - NE-C28</v>
      </c>
      <c r="E306" s="10" t="str" cm="1">
        <f t="array" ref="E306">_xlfn.TEXTJOIN(" / ",TRUE,_xlfn.XLOOKUP(B306&amp;"|ATTR-27",'Product Variant Attribute'!$A$2:$A$2000&amp;"|"&amp;'Product Variant Attribute'!$D$2:$D$2000,'Product Variant Attribute'!$F$2:$F$2000,""),_xlfn.XLOOKUP(B306&amp;"|ATTR-24",'Product Variant Attribute'!$A$2:$A$2000&amp;"|"&amp;'Product Variant Attribute'!$D$2:$D$2000,'Product Variant Attribute'!$F$2:$F$2000,""))</f>
        <v/>
      </c>
      <c r="F306" s="11" t="s">
        <v>815</v>
      </c>
      <c r="G306" s="11" t="s">
        <v>826</v>
      </c>
      <c r="H306" s="13">
        <f t="shared" si="10"/>
        <v>1</v>
      </c>
      <c r="I306" s="16" t="str">
        <f>_xlfn.XLOOKUP(C306,Product!$A:$A,Product!$G:$G,"NOT FOUND")</f>
        <v>bộ</v>
      </c>
      <c r="J306" s="20">
        <v>1230000</v>
      </c>
      <c r="K306" s="15" t="s">
        <v>1323</v>
      </c>
      <c r="L306" s="21">
        <v>497</v>
      </c>
      <c r="M306" s="10" t="s">
        <v>1039</v>
      </c>
      <c r="N306" s="12">
        <v>339</v>
      </c>
      <c r="O306" t="str">
        <f t="shared" si="9"/>
        <v>INSERT INTO public.medical_supply_sellable_unit (code, price, quantity, sale_uom, product_variant_code) VALUES ('PRODUCT-00149-001-01', 1230000, 1, 'Bộ', 'PRODUCT-00149-001');</v>
      </c>
    </row>
    <row r="307" spans="1:15" x14ac:dyDescent="0.25">
      <c r="A307" s="10" t="str">
        <f>B307&amp;"-"&amp;TEXT(COUNTIF(B$2:B307,B307),"00")</f>
        <v>PRODUCT-00150-001-01</v>
      </c>
      <c r="B307" s="11" t="s">
        <v>1916</v>
      </c>
      <c r="C307" s="10" t="str">
        <f>_xlfn.XLOOKUP(B307,'Product Variant'!$A:$A,'Product Variant'!$B:$B,"NOT FOUND")</f>
        <v>PRODUCT-00150</v>
      </c>
      <c r="D307" s="10" t="str">
        <f>_xlfn.XLOOKUP(B307,'Product Variant'!$A:$A,'Product Variant'!$C:$C,"NOT FOUND")</f>
        <v>[Owgels] Máy tạo oxy 10 lít có xông khí dung - OZ-5-01GW0-10L</v>
      </c>
      <c r="E307" s="10" t="str" cm="1">
        <f t="array" ref="E307">_xlfn.TEXTJOIN(" / ",TRUE,_xlfn.XLOOKUP(B307&amp;"|ATTR-27",'Product Variant Attribute'!$A$2:$A$2000&amp;"|"&amp;'Product Variant Attribute'!$D$2:$D$2000,'Product Variant Attribute'!$F$2:$F$2000,""),_xlfn.XLOOKUP(B307&amp;"|ATTR-24",'Product Variant Attribute'!$A$2:$A$2000&amp;"|"&amp;'Product Variant Attribute'!$D$2:$D$2000,'Product Variant Attribute'!$F$2:$F$2000,""))</f>
        <v/>
      </c>
      <c r="F307" s="11" t="s">
        <v>815</v>
      </c>
      <c r="G307" s="11" t="s">
        <v>826</v>
      </c>
      <c r="H307" s="13">
        <f t="shared" si="10"/>
        <v>1</v>
      </c>
      <c r="I307" s="16" t="str">
        <f>_xlfn.XLOOKUP(C307,Product!$A:$A,Product!$G:$G,"NOT FOUND")</f>
        <v>bộ</v>
      </c>
      <c r="J307" s="20">
        <v>14500000</v>
      </c>
      <c r="K307" s="15" t="s">
        <v>1323</v>
      </c>
      <c r="L307" s="21">
        <v>319</v>
      </c>
      <c r="M307" s="10" t="s">
        <v>1040</v>
      </c>
      <c r="N307" s="12">
        <v>329</v>
      </c>
      <c r="O307" t="str">
        <f t="shared" si="9"/>
        <v>INSERT INTO public.medical_supply_sellable_unit (code, price, quantity, sale_uom, product_variant_code) VALUES ('PRODUCT-00150-001-01', 14500000, 1, 'Bộ', 'PRODUCT-00150-001');</v>
      </c>
    </row>
    <row r="308" spans="1:15" x14ac:dyDescent="0.25">
      <c r="A308" s="10" t="str">
        <f>B308&amp;"-"&amp;TEXT(COUNTIF(B$2:B308,B308),"00")</f>
        <v>PRODUCT-00151-001-01</v>
      </c>
      <c r="B308" s="11" t="s">
        <v>1917</v>
      </c>
      <c r="C308" s="10" t="str">
        <f>_xlfn.XLOOKUP(B308,'Product Variant'!$A:$A,'Product Variant'!$B:$B,"NOT FOUND")</f>
        <v>PRODUCT-00151</v>
      </c>
      <c r="D308" s="10" t="str">
        <f>_xlfn.XLOOKUP(B308,'Product Variant'!$A:$A,'Product Variant'!$C:$C,"NOT FOUND")</f>
        <v>[Owgels] Máy tạo oxy 5 lít có xông khí dung - OZ-501PW0</v>
      </c>
      <c r="E308" s="10" t="str" cm="1">
        <f t="array" ref="E308">_xlfn.TEXTJOIN(" / ",TRUE,_xlfn.XLOOKUP(B308&amp;"|ATTR-27",'Product Variant Attribute'!$A$2:$A$2000&amp;"|"&amp;'Product Variant Attribute'!$D$2:$D$2000,'Product Variant Attribute'!$F$2:$F$2000,""),_xlfn.XLOOKUP(B308&amp;"|ATTR-24",'Product Variant Attribute'!$A$2:$A$2000&amp;"|"&amp;'Product Variant Attribute'!$D$2:$D$2000,'Product Variant Attribute'!$F$2:$F$2000,""))</f>
        <v/>
      </c>
      <c r="F308" s="11" t="s">
        <v>815</v>
      </c>
      <c r="G308" s="11" t="s">
        <v>826</v>
      </c>
      <c r="H308" s="13">
        <f t="shared" si="10"/>
        <v>1</v>
      </c>
      <c r="I308" s="16" t="str">
        <f>_xlfn.XLOOKUP(C308,Product!$A:$A,Product!$G:$G,"NOT FOUND")</f>
        <v>bộ</v>
      </c>
      <c r="J308" s="22"/>
      <c r="K308" s="15" t="s">
        <v>1468</v>
      </c>
      <c r="L308" s="21">
        <v>241</v>
      </c>
      <c r="M308" s="10" t="s">
        <v>1041</v>
      </c>
      <c r="N308" s="12">
        <v>330</v>
      </c>
      <c r="O308" t="str">
        <f t="shared" si="9"/>
        <v>INSERT INTO public.medical_supply_sellable_unit (code, price, quantity, sale_uom, product_variant_code) VALUES ('PRODUCT-00151-001-01', NULL, 1, 'Bộ', 'PRODUCT-00151-001');</v>
      </c>
    </row>
    <row r="309" spans="1:15" x14ac:dyDescent="0.25">
      <c r="A309" s="10" t="str">
        <f>B309&amp;"-"&amp;TEXT(COUNTIF(B$2:B309,B309),"00")</f>
        <v>PRODUCT-00152-001-01</v>
      </c>
      <c r="B309" s="11" t="s">
        <v>1918</v>
      </c>
      <c r="C309" s="10" t="str">
        <f>_xlfn.XLOOKUP(B309,'Product Variant'!$A:$A,'Product Variant'!$B:$B,"NOT FOUND")</f>
        <v>PRODUCT-00152</v>
      </c>
      <c r="D309" s="10" t="str">
        <f>_xlfn.XLOOKUP(B309,'Product Variant'!$A:$A,'Product Variant'!$C:$C,"NOT FOUND")</f>
        <v>[Owgels] Máy tạo oxy 5 lít có xông khí dung - OZ-501TW0</v>
      </c>
      <c r="E309" s="10" t="str" cm="1">
        <f t="array" ref="E309">_xlfn.TEXTJOIN(" / ",TRUE,_xlfn.XLOOKUP(B309&amp;"|ATTR-27",'Product Variant Attribute'!$A$2:$A$2000&amp;"|"&amp;'Product Variant Attribute'!$D$2:$D$2000,'Product Variant Attribute'!$F$2:$F$2000,""),_xlfn.XLOOKUP(B309&amp;"|ATTR-24",'Product Variant Attribute'!$A$2:$A$2000&amp;"|"&amp;'Product Variant Attribute'!$D$2:$D$2000,'Product Variant Attribute'!$F$2:$F$2000,""))</f>
        <v/>
      </c>
      <c r="F309" s="11" t="s">
        <v>815</v>
      </c>
      <c r="G309" s="11" t="s">
        <v>826</v>
      </c>
      <c r="H309" s="13">
        <f t="shared" si="10"/>
        <v>1</v>
      </c>
      <c r="I309" s="16" t="str">
        <f>_xlfn.XLOOKUP(C309,Product!$A:$A,Product!$G:$G,"NOT FOUND")</f>
        <v>bộ</v>
      </c>
      <c r="J309" s="20">
        <v>7800000</v>
      </c>
      <c r="K309" s="15" t="s">
        <v>1323</v>
      </c>
      <c r="L309" s="21">
        <v>240</v>
      </c>
      <c r="M309" s="10" t="s">
        <v>1042</v>
      </c>
      <c r="N309" s="12">
        <v>331</v>
      </c>
      <c r="O309" t="str">
        <f t="shared" si="9"/>
        <v>INSERT INTO public.medical_supply_sellable_unit (code, price, quantity, sale_uom, product_variant_code) VALUES ('PRODUCT-00152-001-01', 7800000, 1, 'Bộ', 'PRODUCT-00152-001');</v>
      </c>
    </row>
    <row r="310" spans="1:15" x14ac:dyDescent="0.25">
      <c r="A310" s="10" t="str">
        <f>B310&amp;"-"&amp;TEXT(COUNTIF(B$2:B310,B310),"00")</f>
        <v>PRODUCT-00153-001-01</v>
      </c>
      <c r="B310" s="11" t="s">
        <v>1919</v>
      </c>
      <c r="C310" s="10" t="str">
        <f>_xlfn.XLOOKUP(B310,'Product Variant'!$A:$A,'Product Variant'!$B:$B,"NOT FOUND")</f>
        <v>PRODUCT-00153</v>
      </c>
      <c r="D310" s="10" t="str">
        <f>_xlfn.XLOOKUP(B310,'Product Variant'!$A:$A,'Product Variant'!$C:$C,"NOT FOUND")</f>
        <v>[Owgels] Máy trợ thở 2 chiều BiPAP - OGH-520C</v>
      </c>
      <c r="E310" s="10" t="str" cm="1">
        <f t="array" ref="E310">_xlfn.TEXTJOIN(" / ",TRUE,_xlfn.XLOOKUP(B310&amp;"|ATTR-27",'Product Variant Attribute'!$A$2:$A$2000&amp;"|"&amp;'Product Variant Attribute'!$D$2:$D$2000,'Product Variant Attribute'!$F$2:$F$2000,""),_xlfn.XLOOKUP(B310&amp;"|ATTR-24",'Product Variant Attribute'!$A$2:$A$2000&amp;"|"&amp;'Product Variant Attribute'!$D$2:$D$2000,'Product Variant Attribute'!$F$2:$F$2000,""))</f>
        <v/>
      </c>
      <c r="F310" s="11" t="s">
        <v>815</v>
      </c>
      <c r="G310" s="11" t="s">
        <v>826</v>
      </c>
      <c r="H310" s="13">
        <f t="shared" si="10"/>
        <v>1</v>
      </c>
      <c r="I310" s="16" t="str">
        <f>_xlfn.XLOOKUP(C310,Product!$A:$A,Product!$G:$G,"NOT FOUND")</f>
        <v>bộ</v>
      </c>
      <c r="J310" s="22"/>
      <c r="K310" s="15" t="s">
        <v>1468</v>
      </c>
      <c r="L310" s="21">
        <v>320</v>
      </c>
      <c r="M310" s="10" t="s">
        <v>1043</v>
      </c>
      <c r="N310" s="12">
        <v>335</v>
      </c>
      <c r="O310" t="str">
        <f t="shared" si="9"/>
        <v>INSERT INTO public.medical_supply_sellable_unit (code, price, quantity, sale_uom, product_variant_code) VALUES ('PRODUCT-00153-001-01', NULL, 1, 'Bộ', 'PRODUCT-00153-001');</v>
      </c>
    </row>
    <row r="311" spans="1:15" x14ac:dyDescent="0.25">
      <c r="A311" s="10" t="str">
        <f>B311&amp;"-"&amp;TEXT(COUNTIF(B$2:B311,B311),"00")</f>
        <v>PRODUCT-00154-001-01</v>
      </c>
      <c r="B311" s="11" t="s">
        <v>1920</v>
      </c>
      <c r="C311" s="10" t="str">
        <f>_xlfn.XLOOKUP(B311,'Product Variant'!$A:$A,'Product Variant'!$B:$B,"NOT FOUND")</f>
        <v>PRODUCT-00154</v>
      </c>
      <c r="D311" s="10" t="str">
        <f>_xlfn.XLOOKUP(B311,'Product Variant'!$A:$A,'Product Variant'!$C:$C,"NOT FOUND")</f>
        <v>[Owgels] Máy trợ thở Auto CPAP - OGH-520A</v>
      </c>
      <c r="E311" s="10" t="str" cm="1">
        <f t="array" ref="E311">_xlfn.TEXTJOIN(" / ",TRUE,_xlfn.XLOOKUP(B311&amp;"|ATTR-27",'Product Variant Attribute'!$A$2:$A$2000&amp;"|"&amp;'Product Variant Attribute'!$D$2:$D$2000,'Product Variant Attribute'!$F$2:$F$2000,""),_xlfn.XLOOKUP(B311&amp;"|ATTR-24",'Product Variant Attribute'!$A$2:$A$2000&amp;"|"&amp;'Product Variant Attribute'!$D$2:$D$2000,'Product Variant Attribute'!$F$2:$F$2000,""))</f>
        <v/>
      </c>
      <c r="F311" s="11" t="s">
        <v>815</v>
      </c>
      <c r="G311" s="11" t="s">
        <v>826</v>
      </c>
      <c r="H311" s="13">
        <f t="shared" si="10"/>
        <v>1</v>
      </c>
      <c r="I311" s="16" t="str">
        <f>_xlfn.XLOOKUP(C311,Product!$A:$A,Product!$G:$G,"NOT FOUND")</f>
        <v>bộ</v>
      </c>
      <c r="J311" s="22"/>
      <c r="K311" s="15" t="s">
        <v>1468</v>
      </c>
      <c r="L311" s="21">
        <v>172</v>
      </c>
      <c r="M311" s="10" t="s">
        <v>1044</v>
      </c>
      <c r="N311" s="12">
        <v>336</v>
      </c>
      <c r="O311" t="str">
        <f t="shared" si="9"/>
        <v>INSERT INTO public.medical_supply_sellable_unit (code, price, quantity, sale_uom, product_variant_code) VALUES ('PRODUCT-00154-001-01', NULL, 1, 'Bộ', 'PRODUCT-00154-001');</v>
      </c>
    </row>
    <row r="312" spans="1:15" x14ac:dyDescent="0.25">
      <c r="A312" s="10" t="str">
        <f>B312&amp;"-"&amp;TEXT(COUNTIF(B$2:B312,B312),"00")</f>
        <v>PRODUCT-00155-001-01</v>
      </c>
      <c r="B312" s="11" t="s">
        <v>1921</v>
      </c>
      <c r="C312" s="10" t="str">
        <f>_xlfn.XLOOKUP(B312,'Product Variant'!$A:$A,'Product Variant'!$B:$B,"NOT FOUND")</f>
        <v>PRODUCT-00155</v>
      </c>
      <c r="D312" s="10" t="str">
        <f>_xlfn.XLOOKUP(B312,'Product Variant'!$A:$A,'Product Variant'!$C:$C,"NOT FOUND")</f>
        <v>[Pharma] Làm ẩm mở khí quản (mũi nhân tạo)</v>
      </c>
      <c r="E312" s="10" t="str" cm="1">
        <f t="array" ref="E312">_xlfn.TEXTJOIN(" / ",TRUE,_xlfn.XLOOKUP(B312&amp;"|ATTR-27",'Product Variant Attribute'!$A$2:$A$2000&amp;"|"&amp;'Product Variant Attribute'!$D$2:$D$2000,'Product Variant Attribute'!$F$2:$F$2000,""),_xlfn.XLOOKUP(B312&amp;"|ATTR-24",'Product Variant Attribute'!$A$2:$A$2000&amp;"|"&amp;'Product Variant Attribute'!$D$2:$D$2000,'Product Variant Attribute'!$F$2:$F$2000,""))</f>
        <v/>
      </c>
      <c r="F312" s="11" t="s">
        <v>818</v>
      </c>
      <c r="G312" s="11" t="s">
        <v>927</v>
      </c>
      <c r="H312" s="13">
        <f t="shared" si="10"/>
        <v>1</v>
      </c>
      <c r="I312" s="16" t="str">
        <f>_xlfn.XLOOKUP(C312,Product!$A:$A,Product!$G:$G,"NOT FOUND")</f>
        <v>cái</v>
      </c>
      <c r="J312" s="20">
        <v>60000</v>
      </c>
      <c r="K312" s="15" t="s">
        <v>1323</v>
      </c>
      <c r="L312" s="21">
        <v>449</v>
      </c>
      <c r="M312" s="10" t="s">
        <v>1045</v>
      </c>
      <c r="N312" s="12">
        <v>280</v>
      </c>
      <c r="O312" t="str">
        <f t="shared" si="9"/>
        <v>INSERT INTO public.medical_supply_sellable_unit (code, price, quantity, sale_uom, product_variant_code) VALUES ('PRODUCT-00155-001-01', 60000, 1, 'Cái', 'PRODUCT-00155-001');</v>
      </c>
    </row>
    <row r="313" spans="1:15" x14ac:dyDescent="0.25">
      <c r="A313" s="10" t="str">
        <f>B313&amp;"-"&amp;TEXT(COUNTIF(B$2:B313,B313),"00")</f>
        <v>PRODUCT-00156-001-01</v>
      </c>
      <c r="B313" s="11" t="s">
        <v>1922</v>
      </c>
      <c r="C313" s="10" t="str">
        <f>_xlfn.XLOOKUP(B313,'Product Variant'!$A:$A,'Product Variant'!$B:$B,"NOT FOUND")</f>
        <v>PRODUCT-00156</v>
      </c>
      <c r="D313" s="10" t="str">
        <f>_xlfn.XLOOKUP(B313,'Product Variant'!$A:$A,'Product Variant'!$C:$C,"NOT FOUND")</f>
        <v>[SeaSight] Dụng cụ tập thở phế dung kế - 5000ml</v>
      </c>
      <c r="E313" s="10" t="str" cm="1">
        <f t="array" ref="E313">_xlfn.TEXTJOIN(" / ",TRUE,_xlfn.XLOOKUP(B313&amp;"|ATTR-27",'Product Variant Attribute'!$A$2:$A$2000&amp;"|"&amp;'Product Variant Attribute'!$D$2:$D$2000,'Product Variant Attribute'!$F$2:$F$2000,""),_xlfn.XLOOKUP(B313&amp;"|ATTR-24",'Product Variant Attribute'!$A$2:$A$2000&amp;"|"&amp;'Product Variant Attribute'!$D$2:$D$2000,'Product Variant Attribute'!$F$2:$F$2000,""))</f>
        <v/>
      </c>
      <c r="F313" s="11" t="s">
        <v>815</v>
      </c>
      <c r="G313" s="11" t="s">
        <v>826</v>
      </c>
      <c r="H313" s="13">
        <f t="shared" si="10"/>
        <v>1</v>
      </c>
      <c r="I313" s="16" t="str">
        <f>_xlfn.XLOOKUP(C313,Product!$A:$A,Product!$G:$G,"NOT FOUND")</f>
        <v>bộ</v>
      </c>
      <c r="J313" s="20">
        <v>180000</v>
      </c>
      <c r="K313" s="15" t="s">
        <v>1323</v>
      </c>
      <c r="L313" s="21">
        <v>220</v>
      </c>
      <c r="M313" s="10" t="s">
        <v>1046</v>
      </c>
      <c r="N313" s="12">
        <v>222</v>
      </c>
      <c r="O313" t="str">
        <f t="shared" si="9"/>
        <v>INSERT INTO public.medical_supply_sellable_unit (code, price, quantity, sale_uom, product_variant_code) VALUES ('PRODUCT-00156-001-01', 180000, 1, 'Bộ', 'PRODUCT-00156-001');</v>
      </c>
    </row>
    <row r="314" spans="1:15" x14ac:dyDescent="0.25">
      <c r="A314" s="10" t="str">
        <f>B314&amp;"-"&amp;TEXT(COUNTIF(B$2:B314,B314),"00")</f>
        <v>PRODUCT-00157-001-01</v>
      </c>
      <c r="B314" s="11" t="s">
        <v>1923</v>
      </c>
      <c r="C314" s="10" t="str">
        <f>_xlfn.XLOOKUP(B314,'Product Variant'!$A:$A,'Product Variant'!$B:$B,"NOT FOUND")</f>
        <v>PRODUCT-00157</v>
      </c>
      <c r="D314" s="10" t="str">
        <f>_xlfn.XLOOKUP(B314,'Product Variant'!$A:$A,'Product Variant'!$C:$C,"NOT FOUND")</f>
        <v>[Smiths] Bộ mở khí quản cấp cứu - PCK</v>
      </c>
      <c r="E314" s="10" t="str" cm="1">
        <f t="array" ref="E314">_xlfn.TEXTJOIN(" / ",TRUE,_xlfn.XLOOKUP(B314&amp;"|ATTR-27",'Product Variant Attribute'!$A$2:$A$2000&amp;"|"&amp;'Product Variant Attribute'!$D$2:$D$2000,'Product Variant Attribute'!$F$2:$F$2000,""),_xlfn.XLOOKUP(B314&amp;"|ATTR-24",'Product Variant Attribute'!$A$2:$A$2000&amp;"|"&amp;'Product Variant Attribute'!$D$2:$D$2000,'Product Variant Attribute'!$F$2:$F$2000,""))</f>
        <v/>
      </c>
      <c r="F314" s="11" t="s">
        <v>815</v>
      </c>
      <c r="G314" s="11" t="s">
        <v>826</v>
      </c>
      <c r="H314" s="13">
        <f t="shared" si="10"/>
        <v>1</v>
      </c>
      <c r="I314" s="16" t="str">
        <f>_xlfn.XLOOKUP(C314,Product!$A:$A,Product!$G:$G,"NOT FOUND")</f>
        <v>bộ</v>
      </c>
      <c r="J314" s="22"/>
      <c r="K314" s="15" t="s">
        <v>1468</v>
      </c>
      <c r="L314" s="21">
        <v>559</v>
      </c>
      <c r="M314" s="10" t="s">
        <v>1047</v>
      </c>
      <c r="N314" s="12">
        <v>97</v>
      </c>
      <c r="O314" t="str">
        <f t="shared" si="9"/>
        <v>INSERT INTO public.medical_supply_sellable_unit (code, price, quantity, sale_uom, product_variant_code) VALUES ('PRODUCT-00157-001-01', NULL, 1, 'Bộ', 'PRODUCT-00157-001');</v>
      </c>
    </row>
    <row r="315" spans="1:15" x14ac:dyDescent="0.25">
      <c r="A315" s="10" t="str">
        <f>B315&amp;"-"&amp;TEXT(COUNTIF(B$2:B315,B315),"00")</f>
        <v>PRODUCT-00158-001-01</v>
      </c>
      <c r="B315" s="11" t="s">
        <v>1924</v>
      </c>
      <c r="C315" s="10" t="str">
        <f>_xlfn.XLOOKUP(B315,'Product Variant'!$A:$A,'Product Variant'!$B:$B,"NOT FOUND")</f>
        <v>PRODUCT-00158</v>
      </c>
      <c r="D315" s="10" t="str">
        <f>_xlfn.XLOOKUP(B315,'Product Variant'!$A:$A,'Product Variant'!$C:$C,"NOT FOUND")</f>
        <v>[Smiths] Bộ mở khí quản nhanh - Portex® Mini-Trach® II</v>
      </c>
      <c r="E315" s="10" t="str" cm="1">
        <f t="array" ref="E315">_xlfn.TEXTJOIN(" / ",TRUE,_xlfn.XLOOKUP(B315&amp;"|ATTR-27",'Product Variant Attribute'!$A$2:$A$2000&amp;"|"&amp;'Product Variant Attribute'!$D$2:$D$2000,'Product Variant Attribute'!$F$2:$F$2000,""),_xlfn.XLOOKUP(B315&amp;"|ATTR-24",'Product Variant Attribute'!$A$2:$A$2000&amp;"|"&amp;'Product Variant Attribute'!$D$2:$D$2000,'Product Variant Attribute'!$F$2:$F$2000,""))</f>
        <v/>
      </c>
      <c r="F315" s="11" t="s">
        <v>815</v>
      </c>
      <c r="G315" s="11" t="s">
        <v>826</v>
      </c>
      <c r="H315" s="13">
        <f t="shared" si="10"/>
        <v>1</v>
      </c>
      <c r="I315" s="16" t="str">
        <f>_xlfn.XLOOKUP(C315,Product!$A:$A,Product!$G:$G,"NOT FOUND")</f>
        <v>bộ</v>
      </c>
      <c r="J315" s="22"/>
      <c r="K315" s="15" t="s">
        <v>1468</v>
      </c>
      <c r="L315" s="21">
        <v>484</v>
      </c>
      <c r="M315" s="10" t="s">
        <v>1048</v>
      </c>
      <c r="N315" s="12">
        <v>98</v>
      </c>
      <c r="O315" t="str">
        <f t="shared" si="9"/>
        <v>INSERT INTO public.medical_supply_sellable_unit (code, price, quantity, sale_uom, product_variant_code) VALUES ('PRODUCT-00158-001-01', NULL, 1, 'Bộ', 'PRODUCT-00158-001');</v>
      </c>
    </row>
    <row r="316" spans="1:15" x14ac:dyDescent="0.25">
      <c r="A316" s="10" t="str">
        <f>B316&amp;"-"&amp;TEXT(COUNTIF(B$2:B316,B316),"00")</f>
        <v>PRODUCT-00159-001-01</v>
      </c>
      <c r="B316" s="11" t="s">
        <v>1925</v>
      </c>
      <c r="C316" s="10" t="str">
        <f>_xlfn.XLOOKUP(B316,'Product Variant'!$A:$A,'Product Variant'!$B:$B,"NOT FOUND")</f>
        <v>PRODUCT-00159</v>
      </c>
      <c r="D316" s="10" t="str">
        <f>_xlfn.XLOOKUP(B316,'Product Variant'!$A:$A,'Product Variant'!$C:$C,"NOT FOUND")</f>
        <v>[Smiths] Cây nòng đặt nội khí quản khó - Bougie</v>
      </c>
      <c r="E316" s="10" t="str" cm="1">
        <f t="array" ref="E316">_xlfn.TEXTJOIN(" / ",TRUE,_xlfn.XLOOKUP(B316&amp;"|ATTR-27",'Product Variant Attribute'!$A$2:$A$2000&amp;"|"&amp;'Product Variant Attribute'!$D$2:$D$2000,'Product Variant Attribute'!$F$2:$F$2000,""),_xlfn.XLOOKUP(B316&amp;"|ATTR-24",'Product Variant Attribute'!$A$2:$A$2000&amp;"|"&amp;'Product Variant Attribute'!$D$2:$D$2000,'Product Variant Attribute'!$F$2:$F$2000,""))</f>
        <v>15Fr</v>
      </c>
      <c r="F316" s="11" t="s">
        <v>818</v>
      </c>
      <c r="G316" s="11" t="s">
        <v>927</v>
      </c>
      <c r="H316" s="13">
        <f t="shared" si="10"/>
        <v>1</v>
      </c>
      <c r="I316" s="16" t="str">
        <f>_xlfn.XLOOKUP(C316,Product!$A:$A,Product!$G:$G,"NOT FOUND")</f>
        <v>cái</v>
      </c>
      <c r="J316" s="22"/>
      <c r="K316" s="15" t="s">
        <v>1468</v>
      </c>
      <c r="L316" s="21">
        <v>428</v>
      </c>
      <c r="M316" s="10" t="s">
        <v>1049</v>
      </c>
      <c r="N316" s="12">
        <v>134</v>
      </c>
      <c r="O316" t="str">
        <f t="shared" si="9"/>
        <v>INSERT INTO public.medical_supply_sellable_unit (code, price, quantity, sale_uom, product_variant_code) VALUES ('PRODUCT-00159-001-01', NULL, 1, 'Cái', 'PRODUCT-00159-001');</v>
      </c>
    </row>
    <row r="317" spans="1:15" x14ac:dyDescent="0.25">
      <c r="A317" s="10" t="str">
        <f>B317&amp;"-"&amp;TEXT(COUNTIF(B$2:B317,B317),"00")</f>
        <v>PRODUCT-00160-001-01</v>
      </c>
      <c r="B317" s="11" t="s">
        <v>1926</v>
      </c>
      <c r="C317" s="10" t="str">
        <f>_xlfn.XLOOKUP(B317,'Product Variant'!$A:$A,'Product Variant'!$B:$B,"NOT FOUND")</f>
        <v>PRODUCT-00160</v>
      </c>
      <c r="D317" s="10" t="str">
        <f>_xlfn.XLOOKUP(B317,'Product Variant'!$A:$A,'Product Variant'!$C:$C,"NOT FOUND")</f>
        <v>[Smiths] Đồng hồ đo áp lực bóng</v>
      </c>
      <c r="E317" s="10" t="str" cm="1">
        <f t="array" ref="E317">_xlfn.TEXTJOIN(" / ",TRUE,_xlfn.XLOOKUP(B317&amp;"|ATTR-27",'Product Variant Attribute'!$A$2:$A$2000&amp;"|"&amp;'Product Variant Attribute'!$D$2:$D$2000,'Product Variant Attribute'!$F$2:$F$2000,""),_xlfn.XLOOKUP(B317&amp;"|ATTR-24",'Product Variant Attribute'!$A$2:$A$2000&amp;"|"&amp;'Product Variant Attribute'!$D$2:$D$2000,'Product Variant Attribute'!$F$2:$F$2000,""))</f>
        <v/>
      </c>
      <c r="F317" s="11" t="s">
        <v>818</v>
      </c>
      <c r="G317" s="11" t="s">
        <v>927</v>
      </c>
      <c r="H317" s="13">
        <f t="shared" si="10"/>
        <v>1</v>
      </c>
      <c r="I317" s="16" t="str">
        <f>_xlfn.XLOOKUP(C317,Product!$A:$A,Product!$G:$G,"NOT FOUND")</f>
        <v>cái</v>
      </c>
      <c r="J317" s="22"/>
      <c r="K317" s="15" t="s">
        <v>1468</v>
      </c>
      <c r="L317" s="21">
        <v>429</v>
      </c>
      <c r="M317" s="10" t="s">
        <v>1050</v>
      </c>
      <c r="N317" s="12">
        <v>217</v>
      </c>
      <c r="O317" t="str">
        <f t="shared" si="9"/>
        <v>INSERT INTO public.medical_supply_sellable_unit (code, price, quantity, sale_uom, product_variant_code) VALUES ('PRODUCT-00160-001-01', NULL, 1, 'Cái', 'PRODUCT-00160-001');</v>
      </c>
    </row>
    <row r="318" spans="1:15" x14ac:dyDescent="0.25">
      <c r="A318" s="10" t="str">
        <f>B318&amp;"-"&amp;TEXT(COUNTIF(B$2:B318,B318),"00")</f>
        <v>PRODUCT-00161-001-01</v>
      </c>
      <c r="B318" s="11" t="s">
        <v>1927</v>
      </c>
      <c r="C318" s="10" t="str">
        <f>_xlfn.XLOOKUP(B318,'Product Variant'!$A:$A,'Product Variant'!$B:$B,"NOT FOUND")</f>
        <v>PRODUCT-00161</v>
      </c>
      <c r="D318" s="10" t="str">
        <f>_xlfn.XLOOKUP(B318,'Product Variant'!$A:$A,'Product Variant'!$C:$C,"NOT FOUND")</f>
        <v>[Smiths] Ống nội khí quản có ống hút trên bóng - Portex SACETT</v>
      </c>
      <c r="E318" s="10" t="str" cm="1">
        <f t="array" ref="E318">_xlfn.TEXTJOIN(" / ",TRUE,_xlfn.XLOOKUP(B318&amp;"|ATTR-27",'Product Variant Attribute'!$A$2:$A$2000&amp;"|"&amp;'Product Variant Attribute'!$D$2:$D$2000,'Product Variant Attribute'!$F$2:$F$2000,""),_xlfn.XLOOKUP(B318&amp;"|ATTR-24",'Product Variant Attribute'!$A$2:$A$2000&amp;"|"&amp;'Product Variant Attribute'!$D$2:$D$2000,'Product Variant Attribute'!$F$2:$F$2000,""))</f>
        <v>Số 6</v>
      </c>
      <c r="F318" s="11" t="s">
        <v>818</v>
      </c>
      <c r="G318" s="11" t="s">
        <v>927</v>
      </c>
      <c r="H318" s="13">
        <f t="shared" si="10"/>
        <v>1</v>
      </c>
      <c r="I318" s="16" t="str">
        <f>_xlfn.XLOOKUP(C318,Product!$A:$A,Product!$G:$G,"NOT FOUND")</f>
        <v>cái</v>
      </c>
      <c r="J318" s="22"/>
      <c r="K318" s="15" t="s">
        <v>1468</v>
      </c>
      <c r="L318" s="21">
        <v>554</v>
      </c>
      <c r="M318" s="10" t="s">
        <v>1051</v>
      </c>
      <c r="N318" s="12">
        <v>425</v>
      </c>
      <c r="O318" t="str">
        <f t="shared" si="9"/>
        <v>INSERT INTO public.medical_supply_sellable_unit (code, price, quantity, sale_uom, product_variant_code) VALUES ('PRODUCT-00161-001-01', NULL, 1, 'Cái', 'PRODUCT-00161-001');</v>
      </c>
    </row>
    <row r="319" spans="1:15" x14ac:dyDescent="0.25">
      <c r="A319" s="10" t="str">
        <f>B319&amp;"-"&amp;TEXT(COUNTIF(B$2:B319,B319),"00")</f>
        <v>PRODUCT-00161-002-01</v>
      </c>
      <c r="B319" s="11" t="s">
        <v>1928</v>
      </c>
      <c r="C319" s="10" t="str">
        <f>_xlfn.XLOOKUP(B319,'Product Variant'!$A:$A,'Product Variant'!$B:$B,"NOT FOUND")</f>
        <v>PRODUCT-00161</v>
      </c>
      <c r="D319" s="10" t="str">
        <f>_xlfn.XLOOKUP(B319,'Product Variant'!$A:$A,'Product Variant'!$C:$C,"NOT FOUND")</f>
        <v>[Smiths] Ống nội khí quản có ống hút trên bóng - Portex SACETT</v>
      </c>
      <c r="E319" s="10" t="str" cm="1">
        <f t="array" ref="E319">_xlfn.TEXTJOIN(" / ",TRUE,_xlfn.XLOOKUP(B319&amp;"|ATTR-27",'Product Variant Attribute'!$A$2:$A$2000&amp;"|"&amp;'Product Variant Attribute'!$D$2:$D$2000,'Product Variant Attribute'!$F$2:$F$2000,""),_xlfn.XLOOKUP(B319&amp;"|ATTR-24",'Product Variant Attribute'!$A$2:$A$2000&amp;"|"&amp;'Product Variant Attribute'!$D$2:$D$2000,'Product Variant Attribute'!$F$2:$F$2000,""))</f>
        <v>Số 6.5</v>
      </c>
      <c r="F319" s="11" t="s">
        <v>818</v>
      </c>
      <c r="G319" s="11" t="s">
        <v>927</v>
      </c>
      <c r="H319" s="13">
        <f t="shared" si="10"/>
        <v>1</v>
      </c>
      <c r="I319" s="16" t="str">
        <f>_xlfn.XLOOKUP(C319,Product!$A:$A,Product!$G:$G,"NOT FOUND")</f>
        <v>cái</v>
      </c>
      <c r="J319" s="22"/>
      <c r="K319" s="15" t="s">
        <v>1468</v>
      </c>
      <c r="L319" s="21">
        <v>555</v>
      </c>
      <c r="M319" s="10" t="s">
        <v>1051</v>
      </c>
      <c r="N319" s="12">
        <v>426</v>
      </c>
      <c r="O319" t="str">
        <f t="shared" si="9"/>
        <v>INSERT INTO public.medical_supply_sellable_unit (code, price, quantity, sale_uom, product_variant_code) VALUES ('PRODUCT-00161-002-01', NULL, 1, 'Cái', 'PRODUCT-00161-002');</v>
      </c>
    </row>
    <row r="320" spans="1:15" x14ac:dyDescent="0.25">
      <c r="A320" s="10" t="str">
        <f>B320&amp;"-"&amp;TEXT(COUNTIF(B$2:B320,B320),"00")</f>
        <v>PRODUCT-00161-003-01</v>
      </c>
      <c r="B320" s="11" t="s">
        <v>1929</v>
      </c>
      <c r="C320" s="10" t="str">
        <f>_xlfn.XLOOKUP(B320,'Product Variant'!$A:$A,'Product Variant'!$B:$B,"NOT FOUND")</f>
        <v>PRODUCT-00161</v>
      </c>
      <c r="D320" s="10" t="str">
        <f>_xlfn.XLOOKUP(B320,'Product Variant'!$A:$A,'Product Variant'!$C:$C,"NOT FOUND")</f>
        <v>[Smiths] Ống nội khí quản có ống hút trên bóng - Portex SACETT</v>
      </c>
      <c r="E320" s="10" t="str" cm="1">
        <f t="array" ref="E320">_xlfn.TEXTJOIN(" / ",TRUE,_xlfn.XLOOKUP(B320&amp;"|ATTR-27",'Product Variant Attribute'!$A$2:$A$2000&amp;"|"&amp;'Product Variant Attribute'!$D$2:$D$2000,'Product Variant Attribute'!$F$2:$F$2000,""),_xlfn.XLOOKUP(B320&amp;"|ATTR-24",'Product Variant Attribute'!$A$2:$A$2000&amp;"|"&amp;'Product Variant Attribute'!$D$2:$D$2000,'Product Variant Attribute'!$F$2:$F$2000,""))</f>
        <v>Số 7</v>
      </c>
      <c r="F320" s="11" t="s">
        <v>818</v>
      </c>
      <c r="G320" s="11" t="s">
        <v>927</v>
      </c>
      <c r="H320" s="13">
        <f t="shared" si="10"/>
        <v>1</v>
      </c>
      <c r="I320" s="16" t="str">
        <f>_xlfn.XLOOKUP(C320,Product!$A:$A,Product!$G:$G,"NOT FOUND")</f>
        <v>cái</v>
      </c>
      <c r="J320" s="22"/>
      <c r="K320" s="15" t="s">
        <v>1468</v>
      </c>
      <c r="L320" s="21">
        <v>556</v>
      </c>
      <c r="M320" s="10" t="s">
        <v>1051</v>
      </c>
      <c r="N320" s="12">
        <v>427</v>
      </c>
      <c r="O320" t="str">
        <f t="shared" si="9"/>
        <v>INSERT INTO public.medical_supply_sellable_unit (code, price, quantity, sale_uom, product_variant_code) VALUES ('PRODUCT-00161-003-01', NULL, 1, 'Cái', 'PRODUCT-00161-003');</v>
      </c>
    </row>
    <row r="321" spans="1:15" x14ac:dyDescent="0.25">
      <c r="A321" s="10" t="str">
        <f>B321&amp;"-"&amp;TEXT(COUNTIF(B$2:B321,B321),"00")</f>
        <v>PRODUCT-00161-004-01</v>
      </c>
      <c r="B321" s="11" t="s">
        <v>1930</v>
      </c>
      <c r="C321" s="10" t="str">
        <f>_xlfn.XLOOKUP(B321,'Product Variant'!$A:$A,'Product Variant'!$B:$B,"NOT FOUND")</f>
        <v>PRODUCT-00161</v>
      </c>
      <c r="D321" s="10" t="str">
        <f>_xlfn.XLOOKUP(B321,'Product Variant'!$A:$A,'Product Variant'!$C:$C,"NOT FOUND")</f>
        <v>[Smiths] Ống nội khí quản có ống hút trên bóng - Portex SACETT</v>
      </c>
      <c r="E321" s="10" t="str" cm="1">
        <f t="array" ref="E321">_xlfn.TEXTJOIN(" / ",TRUE,_xlfn.XLOOKUP(B321&amp;"|ATTR-27",'Product Variant Attribute'!$A$2:$A$2000&amp;"|"&amp;'Product Variant Attribute'!$D$2:$D$2000,'Product Variant Attribute'!$F$2:$F$2000,""),_xlfn.XLOOKUP(B321&amp;"|ATTR-24",'Product Variant Attribute'!$A$2:$A$2000&amp;"|"&amp;'Product Variant Attribute'!$D$2:$D$2000,'Product Variant Attribute'!$F$2:$F$2000,""))</f>
        <v>Số 7.5</v>
      </c>
      <c r="F321" s="11" t="s">
        <v>818</v>
      </c>
      <c r="G321" s="11" t="s">
        <v>927</v>
      </c>
      <c r="H321" s="13">
        <f t="shared" si="10"/>
        <v>1</v>
      </c>
      <c r="I321" s="16" t="str">
        <f>_xlfn.XLOOKUP(C321,Product!$A:$A,Product!$G:$G,"NOT FOUND")</f>
        <v>cái</v>
      </c>
      <c r="J321" s="22"/>
      <c r="K321" s="15" t="s">
        <v>1468</v>
      </c>
      <c r="L321" s="21">
        <v>557</v>
      </c>
      <c r="M321" s="10" t="s">
        <v>1051</v>
      </c>
      <c r="N321" s="12">
        <v>428</v>
      </c>
      <c r="O321" t="str">
        <f t="shared" si="9"/>
        <v>INSERT INTO public.medical_supply_sellable_unit (code, price, quantity, sale_uom, product_variant_code) VALUES ('PRODUCT-00161-004-01', NULL, 1, 'Cái', 'PRODUCT-00161-004');</v>
      </c>
    </row>
    <row r="322" spans="1:15" x14ac:dyDescent="0.25">
      <c r="A322" s="10" t="str">
        <f>B322&amp;"-"&amp;TEXT(COUNTIF(B$2:B322,B322),"00")</f>
        <v>PRODUCT-00161-005-01</v>
      </c>
      <c r="B322" s="11" t="s">
        <v>1931</v>
      </c>
      <c r="C322" s="10" t="str">
        <f>_xlfn.XLOOKUP(B322,'Product Variant'!$A:$A,'Product Variant'!$B:$B,"NOT FOUND")</f>
        <v>PRODUCT-00161</v>
      </c>
      <c r="D322" s="10" t="str">
        <f>_xlfn.XLOOKUP(B322,'Product Variant'!$A:$A,'Product Variant'!$C:$C,"NOT FOUND")</f>
        <v>[Smiths] Ống nội khí quản có ống hút trên bóng - Portex SACETT</v>
      </c>
      <c r="E322" s="10" t="str" cm="1">
        <f t="array" ref="E322">_xlfn.TEXTJOIN(" / ",TRUE,_xlfn.XLOOKUP(B322&amp;"|ATTR-27",'Product Variant Attribute'!$A$2:$A$2000&amp;"|"&amp;'Product Variant Attribute'!$D$2:$D$2000,'Product Variant Attribute'!$F$2:$F$2000,""),_xlfn.XLOOKUP(B322&amp;"|ATTR-24",'Product Variant Attribute'!$A$2:$A$2000&amp;"|"&amp;'Product Variant Attribute'!$D$2:$D$2000,'Product Variant Attribute'!$F$2:$F$2000,""))</f>
        <v>Số 8</v>
      </c>
      <c r="F322" s="11" t="s">
        <v>818</v>
      </c>
      <c r="G322" s="11" t="s">
        <v>927</v>
      </c>
      <c r="H322" s="13">
        <f t="shared" si="10"/>
        <v>1</v>
      </c>
      <c r="I322" s="16" t="str">
        <f>_xlfn.XLOOKUP(C322,Product!$A:$A,Product!$G:$G,"NOT FOUND")</f>
        <v>cái</v>
      </c>
      <c r="J322" s="22"/>
      <c r="K322" s="15" t="s">
        <v>1468</v>
      </c>
      <c r="L322" s="21">
        <v>558</v>
      </c>
      <c r="M322" s="10" t="s">
        <v>1051</v>
      </c>
      <c r="N322" s="12">
        <v>429</v>
      </c>
      <c r="O322" t="str">
        <f t="shared" si="9"/>
        <v>INSERT INTO public.medical_supply_sellable_unit (code, price, quantity, sale_uom, product_variant_code) VALUES ('PRODUCT-00161-005-01', NULL, 1, 'Cái', 'PRODUCT-00161-005');</v>
      </c>
    </row>
    <row r="323" spans="1:15" x14ac:dyDescent="0.25">
      <c r="A323" s="10" t="str">
        <f>B323&amp;"-"&amp;TEXT(COUNTIF(B$2:B323,B323),"00")</f>
        <v>PRODUCT-00162-001-01</v>
      </c>
      <c r="B323" s="11" t="s">
        <v>1932</v>
      </c>
      <c r="C323" s="10" t="str">
        <f>_xlfn.XLOOKUP(B323,'Product Variant'!$A:$A,'Product Variant'!$B:$B,"NOT FOUND")</f>
        <v>PRODUCT-00162</v>
      </c>
      <c r="D323" s="10" t="str">
        <f>_xlfn.XLOOKUP(B323,'Product Variant'!$A:$A,'Product Variant'!$C:$C,"NOT FOUND")</f>
        <v>[VBM] Đồng hồ đo áp lực bóng chèn - Universal (Ø68mm)</v>
      </c>
      <c r="E323" s="10" t="str" cm="1">
        <f t="array" ref="E323">_xlfn.TEXTJOIN(" / ",TRUE,_xlfn.XLOOKUP(B323&amp;"|ATTR-27",'Product Variant Attribute'!$A$2:$A$2000&amp;"|"&amp;'Product Variant Attribute'!$D$2:$D$2000,'Product Variant Attribute'!$F$2:$F$2000,""),_xlfn.XLOOKUP(B323&amp;"|ATTR-24",'Product Variant Attribute'!$A$2:$A$2000&amp;"|"&amp;'Product Variant Attribute'!$D$2:$D$2000,'Product Variant Attribute'!$F$2:$F$2000,""))</f>
        <v/>
      </c>
      <c r="F323" s="11" t="s">
        <v>818</v>
      </c>
      <c r="G323" s="11" t="s">
        <v>927</v>
      </c>
      <c r="H323" s="13">
        <f t="shared" si="10"/>
        <v>1</v>
      </c>
      <c r="I323" s="16" t="str">
        <f>_xlfn.XLOOKUP(C323,Product!$A:$A,Product!$G:$G,"NOT FOUND")</f>
        <v>cái</v>
      </c>
      <c r="J323" s="22"/>
      <c r="K323" s="15" t="s">
        <v>1468</v>
      </c>
      <c r="L323" s="21">
        <v>136</v>
      </c>
      <c r="M323" s="10" t="s">
        <v>1052</v>
      </c>
      <c r="N323" s="12">
        <v>216</v>
      </c>
      <c r="O323" t="str">
        <f t="shared" ref="O323:O386" si="11">"INSERT INTO public.medical_supply_sellable_unit (code, price, quantity, sale_uom, product_variant_code) VALUES ('"&amp;A323&amp;"', "&amp;IF(J323="","NULL",J323)&amp;", "&amp;IF(H323="","NULL",H323)&amp;", "&amp;IF(F323="","NULL","'"&amp;SUBSTITUTE(F323,"'","''")&amp;"'")&amp;", '"&amp;B323&amp;"');"</f>
        <v>INSERT INTO public.medical_supply_sellable_unit (code, price, quantity, sale_uom, product_variant_code) VALUES ('PRODUCT-00162-001-01', NULL, 1, 'Cái', 'PRODUCT-00162-001');</v>
      </c>
    </row>
    <row r="324" spans="1:15" x14ac:dyDescent="0.25">
      <c r="A324" s="10" t="str">
        <f>B324&amp;"-"&amp;TEXT(COUNTIF(B$2:B324,B324),"00")</f>
        <v>PRODUCT-00163-001-01</v>
      </c>
      <c r="B324" s="11" t="s">
        <v>1933</v>
      </c>
      <c r="C324" s="10" t="str">
        <f>_xlfn.XLOOKUP(B324,'Product Variant'!$A:$A,'Product Variant'!$B:$B,"NOT FOUND")</f>
        <v>PRODUCT-00163</v>
      </c>
      <c r="D324" s="10" t="str">
        <f>_xlfn.XLOOKUP(B324,'Product Variant'!$A:$A,'Product Variant'!$C:$C,"NOT FOUND")</f>
        <v>[Vitaltec] Ống mở khí quản 2 nòng có bóng, có cửa sổ - Rota-Trach</v>
      </c>
      <c r="E324" s="10" t="str" cm="1">
        <f t="array" ref="E324">_xlfn.TEXTJOIN(" / ",TRUE,_xlfn.XLOOKUP(B324&amp;"|ATTR-27",'Product Variant Attribute'!$A$2:$A$2000&amp;"|"&amp;'Product Variant Attribute'!$D$2:$D$2000,'Product Variant Attribute'!$F$2:$F$2000,""),_xlfn.XLOOKUP(B324&amp;"|ATTR-24",'Product Variant Attribute'!$A$2:$A$2000&amp;"|"&amp;'Product Variant Attribute'!$D$2:$D$2000,'Product Variant Attribute'!$F$2:$F$2000,""))</f>
        <v>Số 7</v>
      </c>
      <c r="F324" s="11" t="s">
        <v>815</v>
      </c>
      <c r="G324" s="11" t="s">
        <v>826</v>
      </c>
      <c r="H324" s="13">
        <f t="shared" si="10"/>
        <v>1</v>
      </c>
      <c r="I324" s="16" t="str">
        <f>_xlfn.XLOOKUP(C324,Product!$A:$A,Product!$G:$G,"NOT FOUND")</f>
        <v>bộ</v>
      </c>
      <c r="J324" s="22"/>
      <c r="K324" s="15" t="s">
        <v>1468</v>
      </c>
      <c r="L324" s="21">
        <v>281</v>
      </c>
      <c r="M324" s="10" t="s">
        <v>1053</v>
      </c>
      <c r="N324" s="12">
        <v>400</v>
      </c>
      <c r="O324" t="str">
        <f t="shared" si="11"/>
        <v>INSERT INTO public.medical_supply_sellable_unit (code, price, quantity, sale_uom, product_variant_code) VALUES ('PRODUCT-00163-001-01', NULL, 1, 'Bộ', 'PRODUCT-00163-001');</v>
      </c>
    </row>
    <row r="325" spans="1:15" x14ac:dyDescent="0.25">
      <c r="A325" s="10" t="str">
        <f>B325&amp;"-"&amp;TEXT(COUNTIF(B$2:B325,B325),"00")</f>
        <v>PRODUCT-00163-002-01</v>
      </c>
      <c r="B325" s="11" t="s">
        <v>1934</v>
      </c>
      <c r="C325" s="10" t="str">
        <f>_xlfn.XLOOKUP(B325,'Product Variant'!$A:$A,'Product Variant'!$B:$B,"NOT FOUND")</f>
        <v>PRODUCT-00163</v>
      </c>
      <c r="D325" s="10" t="str">
        <f>_xlfn.XLOOKUP(B325,'Product Variant'!$A:$A,'Product Variant'!$C:$C,"NOT FOUND")</f>
        <v>[Vitaltec] Ống mở khí quản 2 nòng có bóng, có cửa sổ - Rota-Trach</v>
      </c>
      <c r="E325" s="10" t="str" cm="1">
        <f t="array" ref="E325">_xlfn.TEXTJOIN(" / ",TRUE,_xlfn.XLOOKUP(B325&amp;"|ATTR-27",'Product Variant Attribute'!$A$2:$A$2000&amp;"|"&amp;'Product Variant Attribute'!$D$2:$D$2000,'Product Variant Attribute'!$F$2:$F$2000,""),_xlfn.XLOOKUP(B325&amp;"|ATTR-24",'Product Variant Attribute'!$A$2:$A$2000&amp;"|"&amp;'Product Variant Attribute'!$D$2:$D$2000,'Product Variant Attribute'!$F$2:$F$2000,""))</f>
        <v>Số 8</v>
      </c>
      <c r="F325" s="11" t="s">
        <v>815</v>
      </c>
      <c r="G325" s="11" t="s">
        <v>826</v>
      </c>
      <c r="H325" s="13">
        <f t="shared" si="10"/>
        <v>1</v>
      </c>
      <c r="I325" s="16" t="str">
        <f>_xlfn.XLOOKUP(C325,Product!$A:$A,Product!$G:$G,"NOT FOUND")</f>
        <v>bộ</v>
      </c>
      <c r="J325" s="22"/>
      <c r="K325" s="15" t="s">
        <v>1468</v>
      </c>
      <c r="L325" s="21">
        <v>282</v>
      </c>
      <c r="M325" s="10" t="s">
        <v>1053</v>
      </c>
      <c r="N325" s="12">
        <v>401</v>
      </c>
      <c r="O325" t="str">
        <f t="shared" si="11"/>
        <v>INSERT INTO public.medical_supply_sellable_unit (code, price, quantity, sale_uom, product_variant_code) VALUES ('PRODUCT-00163-002-01', NULL, 1, 'Bộ', 'PRODUCT-00163-002');</v>
      </c>
    </row>
    <row r="326" spans="1:15" x14ac:dyDescent="0.25">
      <c r="A326" s="10" t="str">
        <f>B326&amp;"-"&amp;TEXT(COUNTIF(B$2:B326,B326),"00")</f>
        <v>PRODUCT-00164-001-01</v>
      </c>
      <c r="B326" s="11" t="s">
        <v>1935</v>
      </c>
      <c r="C326" s="10" t="str">
        <f>_xlfn.XLOOKUP(B326,'Product Variant'!$A:$A,'Product Variant'!$B:$B,"NOT FOUND")</f>
        <v>PRODUCT-00164</v>
      </c>
      <c r="D326" s="10" t="str">
        <f>_xlfn.XLOOKUP(B326,'Product Variant'!$A:$A,'Product Variant'!$C:$C,"NOT FOUND")</f>
        <v>[Vitaltec] Ống mở khí quản 2 nòng có bóng, không cửa sổ - Rota-Trach</v>
      </c>
      <c r="E326" s="10" t="str" cm="1">
        <f t="array" ref="E326">_xlfn.TEXTJOIN(" / ",TRUE,_xlfn.XLOOKUP(B326&amp;"|ATTR-27",'Product Variant Attribute'!$A$2:$A$2000&amp;"|"&amp;'Product Variant Attribute'!$D$2:$D$2000,'Product Variant Attribute'!$F$2:$F$2000,""),_xlfn.XLOOKUP(B326&amp;"|ATTR-24",'Product Variant Attribute'!$A$2:$A$2000&amp;"|"&amp;'Product Variant Attribute'!$D$2:$D$2000,'Product Variant Attribute'!$F$2:$F$2000,""))</f>
        <v>Số 7</v>
      </c>
      <c r="F326" s="11" t="s">
        <v>815</v>
      </c>
      <c r="G326" s="11" t="s">
        <v>826</v>
      </c>
      <c r="H326" s="13">
        <f t="shared" si="10"/>
        <v>1</v>
      </c>
      <c r="I326" s="16" t="str">
        <f>_xlfn.XLOOKUP(C326,Product!$A:$A,Product!$G:$G,"NOT FOUND")</f>
        <v>bộ</v>
      </c>
      <c r="J326" s="22"/>
      <c r="K326" s="15" t="s">
        <v>1468</v>
      </c>
      <c r="L326" s="21">
        <v>279</v>
      </c>
      <c r="M326" s="10" t="s">
        <v>1054</v>
      </c>
      <c r="N326" s="12">
        <v>404</v>
      </c>
      <c r="O326" t="str">
        <f t="shared" si="11"/>
        <v>INSERT INTO public.medical_supply_sellable_unit (code, price, quantity, sale_uom, product_variant_code) VALUES ('PRODUCT-00164-001-01', NULL, 1, 'Bộ', 'PRODUCT-00164-001');</v>
      </c>
    </row>
    <row r="327" spans="1:15" x14ac:dyDescent="0.25">
      <c r="A327" s="10" t="str">
        <f>B327&amp;"-"&amp;TEXT(COUNTIF(B$2:B327,B327),"00")</f>
        <v>PRODUCT-00164-002-01</v>
      </c>
      <c r="B327" s="11" t="s">
        <v>1936</v>
      </c>
      <c r="C327" s="10" t="str">
        <f>_xlfn.XLOOKUP(B327,'Product Variant'!$A:$A,'Product Variant'!$B:$B,"NOT FOUND")</f>
        <v>PRODUCT-00164</v>
      </c>
      <c r="D327" s="10" t="str">
        <f>_xlfn.XLOOKUP(B327,'Product Variant'!$A:$A,'Product Variant'!$C:$C,"NOT FOUND")</f>
        <v>[Vitaltec] Ống mở khí quản 2 nòng có bóng, không cửa sổ - Rota-Trach</v>
      </c>
      <c r="E327" s="10" t="str" cm="1">
        <f t="array" ref="E327">_xlfn.TEXTJOIN(" / ",TRUE,_xlfn.XLOOKUP(B327&amp;"|ATTR-27",'Product Variant Attribute'!$A$2:$A$2000&amp;"|"&amp;'Product Variant Attribute'!$D$2:$D$2000,'Product Variant Attribute'!$F$2:$F$2000,""),_xlfn.XLOOKUP(B327&amp;"|ATTR-24",'Product Variant Attribute'!$A$2:$A$2000&amp;"|"&amp;'Product Variant Attribute'!$D$2:$D$2000,'Product Variant Attribute'!$F$2:$F$2000,""))</f>
        <v>Số 8</v>
      </c>
      <c r="F327" s="11" t="s">
        <v>815</v>
      </c>
      <c r="G327" s="11" t="s">
        <v>826</v>
      </c>
      <c r="H327" s="13">
        <f t="shared" si="10"/>
        <v>1</v>
      </c>
      <c r="I327" s="16" t="str">
        <f>_xlfn.XLOOKUP(C327,Product!$A:$A,Product!$G:$G,"NOT FOUND")</f>
        <v>bộ</v>
      </c>
      <c r="J327" s="22"/>
      <c r="K327" s="15" t="s">
        <v>1468</v>
      </c>
      <c r="L327" s="21">
        <v>280</v>
      </c>
      <c r="M327" s="10" t="s">
        <v>1054</v>
      </c>
      <c r="N327" s="12">
        <v>405</v>
      </c>
      <c r="O327" t="str">
        <f t="shared" si="11"/>
        <v>INSERT INTO public.medical_supply_sellable_unit (code, price, quantity, sale_uom, product_variant_code) VALUES ('PRODUCT-00164-002-01', NULL, 1, 'Bộ', 'PRODUCT-00164-002');</v>
      </c>
    </row>
    <row r="328" spans="1:15" x14ac:dyDescent="0.25">
      <c r="A328" s="10" t="str">
        <f>B328&amp;"-"&amp;TEXT(COUNTIF(B$2:B328,B328),"00")</f>
        <v>PRODUCT-00165-001-01</v>
      </c>
      <c r="B328" s="11" t="s">
        <v>1937</v>
      </c>
      <c r="C328" s="10" t="str">
        <f>_xlfn.XLOOKUP(B328,'Product Variant'!$A:$A,'Product Variant'!$B:$B,"NOT FOUND")</f>
        <v>PRODUCT-00165</v>
      </c>
      <c r="D328" s="10" t="str">
        <f>_xlfn.XLOOKUP(B328,'Product Variant'!$A:$A,'Product Variant'!$C:$C,"NOT FOUND")</f>
        <v>[Vitaltec] Ống mở khí quản 2 nòng không bóng, có cửa sổ - Rota-Trach</v>
      </c>
      <c r="E328" s="10" t="str" cm="1">
        <f t="array" ref="E328">_xlfn.TEXTJOIN(" / ",TRUE,_xlfn.XLOOKUP(B328&amp;"|ATTR-27",'Product Variant Attribute'!$A$2:$A$2000&amp;"|"&amp;'Product Variant Attribute'!$D$2:$D$2000,'Product Variant Attribute'!$F$2:$F$2000,""),_xlfn.XLOOKUP(B328&amp;"|ATTR-24",'Product Variant Attribute'!$A$2:$A$2000&amp;"|"&amp;'Product Variant Attribute'!$D$2:$D$2000,'Product Variant Attribute'!$F$2:$F$2000,""))</f>
        <v>Số 7</v>
      </c>
      <c r="F328" s="11" t="s">
        <v>815</v>
      </c>
      <c r="G328" s="11" t="s">
        <v>826</v>
      </c>
      <c r="H328" s="13">
        <f t="shared" si="10"/>
        <v>1</v>
      </c>
      <c r="I328" s="16" t="str">
        <f>_xlfn.XLOOKUP(C328,Product!$A:$A,Product!$G:$G,"NOT FOUND")</f>
        <v>bộ</v>
      </c>
      <c r="J328" s="22"/>
      <c r="K328" s="15" t="s">
        <v>1468</v>
      </c>
      <c r="L328" s="21">
        <v>283</v>
      </c>
      <c r="M328" s="10" t="s">
        <v>1055</v>
      </c>
      <c r="N328" s="12">
        <v>414</v>
      </c>
      <c r="O328" t="str">
        <f t="shared" si="11"/>
        <v>INSERT INTO public.medical_supply_sellable_unit (code, price, quantity, sale_uom, product_variant_code) VALUES ('PRODUCT-00165-001-01', NULL, 1, 'Bộ', 'PRODUCT-00165-001');</v>
      </c>
    </row>
    <row r="329" spans="1:15" x14ac:dyDescent="0.25">
      <c r="A329" s="10" t="str">
        <f>B329&amp;"-"&amp;TEXT(COUNTIF(B$2:B329,B329),"00")</f>
        <v>PRODUCT-00165-002-01</v>
      </c>
      <c r="B329" s="11" t="s">
        <v>1938</v>
      </c>
      <c r="C329" s="10" t="str">
        <f>_xlfn.XLOOKUP(B329,'Product Variant'!$A:$A,'Product Variant'!$B:$B,"NOT FOUND")</f>
        <v>PRODUCT-00165</v>
      </c>
      <c r="D329" s="10" t="str">
        <f>_xlfn.XLOOKUP(B329,'Product Variant'!$A:$A,'Product Variant'!$C:$C,"NOT FOUND")</f>
        <v>[Vitaltec] Ống mở khí quản 2 nòng không bóng, có cửa sổ - Rota-Trach</v>
      </c>
      <c r="E329" s="10" t="str" cm="1">
        <f t="array" ref="E329">_xlfn.TEXTJOIN(" / ",TRUE,_xlfn.XLOOKUP(B329&amp;"|ATTR-27",'Product Variant Attribute'!$A$2:$A$2000&amp;"|"&amp;'Product Variant Attribute'!$D$2:$D$2000,'Product Variant Attribute'!$F$2:$F$2000,""),_xlfn.XLOOKUP(B329&amp;"|ATTR-24",'Product Variant Attribute'!$A$2:$A$2000&amp;"|"&amp;'Product Variant Attribute'!$D$2:$D$2000,'Product Variant Attribute'!$F$2:$F$2000,""))</f>
        <v>Số 8</v>
      </c>
      <c r="F329" s="11" t="s">
        <v>815</v>
      </c>
      <c r="G329" s="11" t="s">
        <v>826</v>
      </c>
      <c r="H329" s="13">
        <f t="shared" si="10"/>
        <v>1</v>
      </c>
      <c r="I329" s="16" t="str">
        <f>_xlfn.XLOOKUP(C329,Product!$A:$A,Product!$G:$G,"NOT FOUND")</f>
        <v>bộ</v>
      </c>
      <c r="J329" s="22"/>
      <c r="K329" s="15" t="s">
        <v>1468</v>
      </c>
      <c r="L329" s="21">
        <v>284</v>
      </c>
      <c r="M329" s="10" t="s">
        <v>1055</v>
      </c>
      <c r="N329" s="12">
        <v>415</v>
      </c>
      <c r="O329" t="str">
        <f t="shared" si="11"/>
        <v>INSERT INTO public.medical_supply_sellable_unit (code, price, quantity, sale_uom, product_variant_code) VALUES ('PRODUCT-00165-002-01', NULL, 1, 'Bộ', 'PRODUCT-00165-002');</v>
      </c>
    </row>
    <row r="330" spans="1:15" x14ac:dyDescent="0.25">
      <c r="A330" s="10" t="str">
        <f>B330&amp;"-"&amp;TEXT(COUNTIF(B$2:B330,B330),"00")</f>
        <v>PRODUCT-00166-001-01</v>
      </c>
      <c r="B330" s="11" t="s">
        <v>1939</v>
      </c>
      <c r="C330" s="10" t="str">
        <f>_xlfn.XLOOKUP(B330,'Product Variant'!$A:$A,'Product Variant'!$B:$B,"NOT FOUND")</f>
        <v>PRODUCT-00166</v>
      </c>
      <c r="D330" s="10" t="str">
        <f>_xlfn.XLOOKUP(B330,'Product Variant'!$A:$A,'Product Variant'!$C:$C,"NOT FOUND")</f>
        <v>[Vitaltec] Ống mở khí quản 2 nòng không bóng, không cửa sổ - Rota-Trach</v>
      </c>
      <c r="E330" s="10" t="str" cm="1">
        <f t="array" ref="E330">_xlfn.TEXTJOIN(" / ",TRUE,_xlfn.XLOOKUP(B330&amp;"|ATTR-27",'Product Variant Attribute'!$A$2:$A$2000&amp;"|"&amp;'Product Variant Attribute'!$D$2:$D$2000,'Product Variant Attribute'!$F$2:$F$2000,""),_xlfn.XLOOKUP(B330&amp;"|ATTR-24",'Product Variant Attribute'!$A$2:$A$2000&amp;"|"&amp;'Product Variant Attribute'!$D$2:$D$2000,'Product Variant Attribute'!$F$2:$F$2000,""))</f>
        <v>Số 7</v>
      </c>
      <c r="F330" s="11" t="s">
        <v>815</v>
      </c>
      <c r="G330" s="11" t="s">
        <v>826</v>
      </c>
      <c r="H330" s="13">
        <f t="shared" si="10"/>
        <v>1</v>
      </c>
      <c r="I330" s="16" t="str">
        <f>_xlfn.XLOOKUP(C330,Product!$A:$A,Product!$G:$G,"NOT FOUND")</f>
        <v>bộ</v>
      </c>
      <c r="J330" s="22"/>
      <c r="K330" s="15" t="s">
        <v>1468</v>
      </c>
      <c r="L330" s="21">
        <v>277</v>
      </c>
      <c r="M330" s="10" t="s">
        <v>1056</v>
      </c>
      <c r="N330" s="12">
        <v>418</v>
      </c>
      <c r="O330" t="str">
        <f t="shared" si="11"/>
        <v>INSERT INTO public.medical_supply_sellable_unit (code, price, quantity, sale_uom, product_variant_code) VALUES ('PRODUCT-00166-001-01', NULL, 1, 'Bộ', 'PRODUCT-00166-001');</v>
      </c>
    </row>
    <row r="331" spans="1:15" x14ac:dyDescent="0.25">
      <c r="A331" s="10" t="str">
        <f>B331&amp;"-"&amp;TEXT(COUNTIF(B$2:B331,B331),"00")</f>
        <v>PRODUCT-00166-002-01</v>
      </c>
      <c r="B331" s="11" t="s">
        <v>1940</v>
      </c>
      <c r="C331" s="10" t="str">
        <f>_xlfn.XLOOKUP(B331,'Product Variant'!$A:$A,'Product Variant'!$B:$B,"NOT FOUND")</f>
        <v>PRODUCT-00166</v>
      </c>
      <c r="D331" s="10" t="str">
        <f>_xlfn.XLOOKUP(B331,'Product Variant'!$A:$A,'Product Variant'!$C:$C,"NOT FOUND")</f>
        <v>[Vitaltec] Ống mở khí quản 2 nòng không bóng, không cửa sổ - Rota-Trach</v>
      </c>
      <c r="E331" s="10" t="str" cm="1">
        <f t="array" ref="E331">_xlfn.TEXTJOIN(" / ",TRUE,_xlfn.XLOOKUP(B331&amp;"|ATTR-27",'Product Variant Attribute'!$A$2:$A$2000&amp;"|"&amp;'Product Variant Attribute'!$D$2:$D$2000,'Product Variant Attribute'!$F$2:$F$2000,""),_xlfn.XLOOKUP(B331&amp;"|ATTR-24",'Product Variant Attribute'!$A$2:$A$2000&amp;"|"&amp;'Product Variant Attribute'!$D$2:$D$2000,'Product Variant Attribute'!$F$2:$F$2000,""))</f>
        <v>Số 8</v>
      </c>
      <c r="F331" s="11" t="s">
        <v>815</v>
      </c>
      <c r="G331" s="11" t="s">
        <v>826</v>
      </c>
      <c r="H331" s="13">
        <f t="shared" si="10"/>
        <v>1</v>
      </c>
      <c r="I331" s="16" t="str">
        <f>_xlfn.XLOOKUP(C331,Product!$A:$A,Product!$G:$G,"NOT FOUND")</f>
        <v>bộ</v>
      </c>
      <c r="J331" s="22"/>
      <c r="K331" s="15" t="s">
        <v>1468</v>
      </c>
      <c r="L331" s="21">
        <v>278</v>
      </c>
      <c r="M331" s="10" t="s">
        <v>1056</v>
      </c>
      <c r="N331" s="12">
        <v>419</v>
      </c>
      <c r="O331" t="str">
        <f t="shared" si="11"/>
        <v>INSERT INTO public.medical_supply_sellable_unit (code, price, quantity, sale_uom, product_variant_code) VALUES ('PRODUCT-00166-002-01', NULL, 1, 'Bộ', 'PRODUCT-00166-002');</v>
      </c>
    </row>
    <row r="332" spans="1:15" x14ac:dyDescent="0.25">
      <c r="A332" s="10" t="str">
        <f>B332&amp;"-"&amp;TEXT(COUNTIF(B$2:B332,B332),"00")</f>
        <v>PRODUCT-00167-001-01</v>
      </c>
      <c r="B332" s="11" t="s">
        <v>1941</v>
      </c>
      <c r="C332" s="10" t="str">
        <f>_xlfn.XLOOKUP(B332,'Product Variant'!$A:$A,'Product Variant'!$B:$B,"NOT FOUND")</f>
        <v>PRODUCT-00167</v>
      </c>
      <c r="D332" s="10" t="str">
        <f>_xlfn.XLOOKUP(B332,'Product Variant'!$A:$A,'Product Variant'!$C:$C,"NOT FOUND")</f>
        <v>[Yafho] Dây đai cố định ống mở khí quản (3.6cmx18cm / Xanh đậm)</v>
      </c>
      <c r="E332" s="10" t="str" cm="1">
        <f t="array" ref="E332">_xlfn.TEXTJOIN(" / ",TRUE,_xlfn.XLOOKUP(B332&amp;"|ATTR-27",'Product Variant Attribute'!$A$2:$A$2000&amp;"|"&amp;'Product Variant Attribute'!$D$2:$D$2000,'Product Variant Attribute'!$F$2:$F$2000,""),_xlfn.XLOOKUP(B332&amp;"|ATTR-24",'Product Variant Attribute'!$A$2:$A$2000&amp;"|"&amp;'Product Variant Attribute'!$D$2:$D$2000,'Product Variant Attribute'!$F$2:$F$2000,""))</f>
        <v>Xanh đậm</v>
      </c>
      <c r="F332" s="11" t="s">
        <v>818</v>
      </c>
      <c r="G332" s="11" t="s">
        <v>927</v>
      </c>
      <c r="H332" s="13">
        <f t="shared" si="10"/>
        <v>1</v>
      </c>
      <c r="I332" s="16" t="str">
        <f>_xlfn.XLOOKUP(C332,Product!$A:$A,Product!$G:$G,"NOT FOUND")</f>
        <v>cái</v>
      </c>
      <c r="J332" s="20">
        <v>29000</v>
      </c>
      <c r="K332" s="15" t="s">
        <v>1323</v>
      </c>
      <c r="L332" s="21">
        <v>357</v>
      </c>
      <c r="M332" s="10" t="s">
        <v>1057</v>
      </c>
      <c r="N332" s="12">
        <v>166</v>
      </c>
      <c r="O332" t="str">
        <f t="shared" si="11"/>
        <v>INSERT INTO public.medical_supply_sellable_unit (code, price, quantity, sale_uom, product_variant_code) VALUES ('PRODUCT-00167-001-01', 29000, 1, 'Cái', 'PRODUCT-00167-001');</v>
      </c>
    </row>
    <row r="333" spans="1:15" x14ac:dyDescent="0.25">
      <c r="A333" s="10" t="str">
        <f>B333&amp;"-"&amp;TEXT(COUNTIF(B$2:B333,B333),"00")</f>
        <v>PRODUCT-00291-001-01</v>
      </c>
      <c r="B333" s="11" t="s">
        <v>1942</v>
      </c>
      <c r="C333" s="10" t="str">
        <f>_xlfn.XLOOKUP(B333,'Product Variant'!$A:$A,'Product Variant'!$B:$B,"NOT FOUND")</f>
        <v>PRODUCT-00291</v>
      </c>
      <c r="D333" s="10" t="str">
        <f>_xlfn.XLOOKUP(B333,'Product Variant'!$A:$A,'Product Variant'!$C:$C,"NOT FOUND")</f>
        <v>[Yafho] Dây đai cố định ống mở khí quản (2.5cmx33cm / Xanh nhạt)</v>
      </c>
      <c r="E333" s="10" t="str" cm="1">
        <f t="array" ref="E333">_xlfn.TEXTJOIN(" / ",TRUE,_xlfn.XLOOKUP(B333&amp;"|ATTR-27",'Product Variant Attribute'!$A$2:$A$2000&amp;"|"&amp;'Product Variant Attribute'!$D$2:$D$2000,'Product Variant Attribute'!$F$2:$F$2000,""),_xlfn.XLOOKUP(B333&amp;"|ATTR-24",'Product Variant Attribute'!$A$2:$A$2000&amp;"|"&amp;'Product Variant Attribute'!$D$2:$D$2000,'Product Variant Attribute'!$F$2:$F$2000,""))</f>
        <v>Xanh nhạt</v>
      </c>
      <c r="F333" s="11" t="s">
        <v>818</v>
      </c>
      <c r="G333" s="11" t="s">
        <v>927</v>
      </c>
      <c r="H333" s="13">
        <f t="shared" si="10"/>
        <v>1</v>
      </c>
      <c r="I333" s="16" t="str">
        <f>_xlfn.XLOOKUP(C333,Product!$A:$A,Product!$G:$G,"NOT FOUND")</f>
        <v>cái</v>
      </c>
      <c r="J333" s="20">
        <v>25000</v>
      </c>
      <c r="K333" s="15" t="s">
        <v>1323</v>
      </c>
      <c r="L333" s="21">
        <v>331</v>
      </c>
      <c r="M333" s="10" t="s">
        <v>1058</v>
      </c>
      <c r="N333" s="12">
        <v>167</v>
      </c>
      <c r="O333" t="str">
        <f t="shared" si="11"/>
        <v>INSERT INTO public.medical_supply_sellable_unit (code, price, quantity, sale_uom, product_variant_code) VALUES ('PRODUCT-00291-001-01', 25000, 1, 'Cái', 'PRODUCT-00291-001');</v>
      </c>
    </row>
    <row r="334" spans="1:15" x14ac:dyDescent="0.25">
      <c r="A334" s="10" t="str">
        <f>B334&amp;"-"&amp;TEXT(COUNTIF(B$2:B334,B334),"00")</f>
        <v>PRODUCT-00292-001-01</v>
      </c>
      <c r="B334" s="11" t="s">
        <v>1943</v>
      </c>
      <c r="C334" s="10" t="str">
        <f>_xlfn.XLOOKUP(B334,'Product Variant'!$A:$A,'Product Variant'!$B:$B,"NOT FOUND")</f>
        <v>PRODUCT-00292</v>
      </c>
      <c r="D334" s="10" t="str">
        <f>_xlfn.XLOOKUP(B334,'Product Variant'!$A:$A,'Product Variant'!$C:$C,"NOT FOUND")</f>
        <v>[Yafho] Dây đai cố định ống mở khí quản (43cmx2.5cm)</v>
      </c>
      <c r="E334" s="10" t="str" cm="1">
        <f t="array" ref="E334">_xlfn.TEXTJOIN(" / ",TRUE,_xlfn.XLOOKUP(B334&amp;"|ATTR-27",'Product Variant Attribute'!$A$2:$A$2000&amp;"|"&amp;'Product Variant Attribute'!$D$2:$D$2000,'Product Variant Attribute'!$F$2:$F$2000,""),_xlfn.XLOOKUP(B334&amp;"|ATTR-24",'Product Variant Attribute'!$A$2:$A$2000&amp;"|"&amp;'Product Variant Attribute'!$D$2:$D$2000,'Product Variant Attribute'!$F$2:$F$2000,""))</f>
        <v/>
      </c>
      <c r="F334" s="11" t="s">
        <v>818</v>
      </c>
      <c r="G334" s="11" t="s">
        <v>927</v>
      </c>
      <c r="H334" s="13">
        <f t="shared" si="10"/>
        <v>1</v>
      </c>
      <c r="I334" s="16" t="str">
        <f>_xlfn.XLOOKUP(C334,Product!$A:$A,Product!$G:$G,"NOT FOUND")</f>
        <v>cái</v>
      </c>
      <c r="J334" s="20">
        <v>35000</v>
      </c>
      <c r="K334" s="15" t="s">
        <v>1323</v>
      </c>
      <c r="L334" s="21">
        <v>189</v>
      </c>
      <c r="M334" s="10" t="s">
        <v>1059</v>
      </c>
      <c r="N334" s="12">
        <v>168</v>
      </c>
      <c r="O334" t="str">
        <f t="shared" si="11"/>
        <v>INSERT INTO public.medical_supply_sellable_unit (code, price, quantity, sale_uom, product_variant_code) VALUES ('PRODUCT-00292-001-01', 35000, 1, 'Cái', 'PRODUCT-00292-001');</v>
      </c>
    </row>
    <row r="335" spans="1:15" x14ac:dyDescent="0.25">
      <c r="A335" s="10" t="str">
        <f>B335&amp;"-"&amp;TEXT(COUNTIF(B$2:B335,B335),"00")</f>
        <v>PRODUCT-00293-001-01</v>
      </c>
      <c r="B335" s="11" t="s">
        <v>1944</v>
      </c>
      <c r="C335" s="10" t="str">
        <f>_xlfn.XLOOKUP(B335,'Product Variant'!$A:$A,'Product Variant'!$B:$B,"NOT FOUND")</f>
        <v>PRODUCT-00293</v>
      </c>
      <c r="D335" s="10" t="str">
        <f>_xlfn.XLOOKUP(B335,'Product Variant'!$A:$A,'Product Variant'!$C:$C,"NOT FOUND")</f>
        <v>[Yafho] Dây đai cố định ống mở khí quản (45cmx3.5cm)</v>
      </c>
      <c r="E335" s="10" t="str" cm="1">
        <f t="array" ref="E335">_xlfn.TEXTJOIN(" / ",TRUE,_xlfn.XLOOKUP(B335&amp;"|ATTR-27",'Product Variant Attribute'!$A$2:$A$2000&amp;"|"&amp;'Product Variant Attribute'!$D$2:$D$2000,'Product Variant Attribute'!$F$2:$F$2000,""),_xlfn.XLOOKUP(B335&amp;"|ATTR-24",'Product Variant Attribute'!$A$2:$A$2000&amp;"|"&amp;'Product Variant Attribute'!$D$2:$D$2000,'Product Variant Attribute'!$F$2:$F$2000,""))</f>
        <v/>
      </c>
      <c r="F335" s="11" t="s">
        <v>818</v>
      </c>
      <c r="G335" s="11" t="s">
        <v>927</v>
      </c>
      <c r="H335" s="13">
        <f t="shared" si="10"/>
        <v>1</v>
      </c>
      <c r="I335" s="16" t="str">
        <f>_xlfn.XLOOKUP(C335,Product!$A:$A,Product!$G:$G,"NOT FOUND")</f>
        <v>cái</v>
      </c>
      <c r="J335" s="20">
        <v>40000</v>
      </c>
      <c r="K335" s="15" t="s">
        <v>1323</v>
      </c>
      <c r="L335" s="21">
        <v>188</v>
      </c>
      <c r="M335" s="10" t="s">
        <v>1060</v>
      </c>
      <c r="N335" s="12">
        <v>169</v>
      </c>
      <c r="O335" t="str">
        <f t="shared" si="11"/>
        <v>INSERT INTO public.medical_supply_sellable_unit (code, price, quantity, sale_uom, product_variant_code) VALUES ('PRODUCT-00293-001-01', 40000, 1, 'Cái', 'PRODUCT-00293-001');</v>
      </c>
    </row>
    <row r="336" spans="1:15" x14ac:dyDescent="0.25">
      <c r="A336" s="10" t="str">
        <f>B336&amp;"-"&amp;TEXT(COUNTIF(B$2:B336,B336),"00")</f>
        <v>PRODUCT-00168-001-01</v>
      </c>
      <c r="B336" s="11" t="s">
        <v>1945</v>
      </c>
      <c r="C336" s="10" t="str">
        <f>_xlfn.XLOOKUP(B336,'Product Variant'!$A:$A,'Product Variant'!$B:$B,"NOT FOUND")</f>
        <v>PRODUCT-00168</v>
      </c>
      <c r="D336" s="10" t="str">
        <f>_xlfn.XLOOKUP(B336,'Product Variant'!$A:$A,'Product Variant'!$C:$C,"NOT FOUND")</f>
        <v>[Yafho] Dụng cụ cố định ống nội khí quản</v>
      </c>
      <c r="E336" s="10" t="str" cm="1">
        <f t="array" ref="E336">_xlfn.TEXTJOIN(" / ",TRUE,_xlfn.XLOOKUP(B336&amp;"|ATTR-27",'Product Variant Attribute'!$A$2:$A$2000&amp;"|"&amp;'Product Variant Attribute'!$D$2:$D$2000,'Product Variant Attribute'!$F$2:$F$2000,""),_xlfn.XLOOKUP(B336&amp;"|ATTR-24",'Product Variant Attribute'!$A$2:$A$2000&amp;"|"&amp;'Product Variant Attribute'!$D$2:$D$2000,'Product Variant Attribute'!$F$2:$F$2000,""))</f>
        <v/>
      </c>
      <c r="F336" s="11" t="s">
        <v>818</v>
      </c>
      <c r="G336" s="11" t="s">
        <v>927</v>
      </c>
      <c r="H336" s="13">
        <f t="shared" si="10"/>
        <v>1</v>
      </c>
      <c r="I336" s="16" t="str">
        <f>_xlfn.XLOOKUP(C336,Product!$A:$A,Product!$G:$G,"NOT FOUND")</f>
        <v>cái</v>
      </c>
      <c r="J336" s="20">
        <v>300000</v>
      </c>
      <c r="K336" s="15" t="s">
        <v>1323</v>
      </c>
      <c r="L336" s="21">
        <v>190</v>
      </c>
      <c r="M336" s="10" t="s">
        <v>1061</v>
      </c>
      <c r="N336" s="12">
        <v>220</v>
      </c>
      <c r="O336" t="str">
        <f t="shared" si="11"/>
        <v>INSERT INTO public.medical_supply_sellable_unit (code, price, quantity, sale_uom, product_variant_code) VALUES ('PRODUCT-00168-001-01', 300000, 1, 'Cái', 'PRODUCT-00168-001');</v>
      </c>
    </row>
    <row r="337" spans="1:15" x14ac:dyDescent="0.25">
      <c r="A337" s="10" t="str">
        <f>B337&amp;"-"&amp;TEXT(COUNTIF(B$2:B337,B337),"00")</f>
        <v>PRODUCT-00169-001-01</v>
      </c>
      <c r="B337" s="11" t="s">
        <v>1946</v>
      </c>
      <c r="C337" s="10" t="str">
        <f>_xlfn.XLOOKUP(B337,'Product Variant'!$A:$A,'Product Variant'!$B:$B,"NOT FOUND")</f>
        <v>PRODUCT-00169</v>
      </c>
      <c r="D337" s="10" t="str">
        <f>_xlfn.XLOOKUP(B337,'Product Variant'!$A:$A,'Product Variant'!$C:$C,"NOT FOUND")</f>
        <v>[Yafho] Dụng cụ cố định ống nội khí quản chống cắn</v>
      </c>
      <c r="E337" s="10" t="str" cm="1">
        <f t="array" ref="E337">_xlfn.TEXTJOIN(" / ",TRUE,_xlfn.XLOOKUP(B337&amp;"|ATTR-27",'Product Variant Attribute'!$A$2:$A$2000&amp;"|"&amp;'Product Variant Attribute'!$D$2:$D$2000,'Product Variant Attribute'!$F$2:$F$2000,""),_xlfn.XLOOKUP(B337&amp;"|ATTR-24",'Product Variant Attribute'!$A$2:$A$2000&amp;"|"&amp;'Product Variant Attribute'!$D$2:$D$2000,'Product Variant Attribute'!$F$2:$F$2000,""))</f>
        <v/>
      </c>
      <c r="F337" s="11" t="s">
        <v>818</v>
      </c>
      <c r="G337" s="11" t="s">
        <v>927</v>
      </c>
      <c r="H337" s="13">
        <f t="shared" si="10"/>
        <v>1</v>
      </c>
      <c r="I337" s="16" t="str">
        <f>_xlfn.XLOOKUP(C337,Product!$A:$A,Product!$G:$G,"NOT FOUND")</f>
        <v>cái</v>
      </c>
      <c r="J337" s="20">
        <v>350000</v>
      </c>
      <c r="K337" s="15" t="s">
        <v>1323</v>
      </c>
      <c r="L337" s="21">
        <v>160</v>
      </c>
      <c r="M337" s="10" t="s">
        <v>1062</v>
      </c>
      <c r="N337" s="12">
        <v>219</v>
      </c>
      <c r="O337" t="str">
        <f t="shared" si="11"/>
        <v>INSERT INTO public.medical_supply_sellable_unit (code, price, quantity, sale_uom, product_variant_code) VALUES ('PRODUCT-00169-001-01', 350000, 1, 'Cái', 'PRODUCT-00169-001');</v>
      </c>
    </row>
    <row r="338" spans="1:15" x14ac:dyDescent="0.25">
      <c r="A338" s="10" t="str">
        <f>B338&amp;"-"&amp;TEXT(COUNTIF(B$2:B338,B338),"00")</f>
        <v>PRODUCT-00170-001-01</v>
      </c>
      <c r="B338" s="11" t="s">
        <v>1947</v>
      </c>
      <c r="C338" s="10" t="str">
        <f>_xlfn.XLOOKUP(B338,'Product Variant'!$A:$A,'Product Variant'!$B:$B,"NOT FOUND")</f>
        <v>PRODUCT-00170</v>
      </c>
      <c r="D338" s="10" t="str">
        <f>_xlfn.XLOOKUP(B338,'Product Variant'!$A:$A,'Product Variant'!$C:$C,"NOT FOUND")</f>
        <v>[Yuwell] Máy hút dịch 1 bình - 7E-A</v>
      </c>
      <c r="E338" s="10" t="str" cm="1">
        <f t="array" ref="E338">_xlfn.TEXTJOIN(" / ",TRUE,_xlfn.XLOOKUP(B338&amp;"|ATTR-27",'Product Variant Attribute'!$A$2:$A$2000&amp;"|"&amp;'Product Variant Attribute'!$D$2:$D$2000,'Product Variant Attribute'!$F$2:$F$2000,""),_xlfn.XLOOKUP(B338&amp;"|ATTR-24",'Product Variant Attribute'!$A$2:$A$2000&amp;"|"&amp;'Product Variant Attribute'!$D$2:$D$2000,'Product Variant Attribute'!$F$2:$F$2000,""))</f>
        <v/>
      </c>
      <c r="F338" s="11" t="s">
        <v>815</v>
      </c>
      <c r="G338" s="11" t="s">
        <v>826</v>
      </c>
      <c r="H338" s="13">
        <f t="shared" si="10"/>
        <v>1</v>
      </c>
      <c r="I338" s="16" t="str">
        <f>_xlfn.XLOOKUP(C338,Product!$A:$A,Product!$G:$G,"NOT FOUND")</f>
        <v>bộ</v>
      </c>
      <c r="J338" s="20">
        <v>1400000</v>
      </c>
      <c r="K338" s="15" t="s">
        <v>1323</v>
      </c>
      <c r="L338" s="21">
        <v>196</v>
      </c>
      <c r="M338" s="10" t="s">
        <v>1063</v>
      </c>
      <c r="N338" s="12">
        <v>322</v>
      </c>
      <c r="O338" t="str">
        <f t="shared" si="11"/>
        <v>INSERT INTO public.medical_supply_sellable_unit (code, price, quantity, sale_uom, product_variant_code) VALUES ('PRODUCT-00170-001-01', 1400000, 1, 'Bộ', 'PRODUCT-00170-001');</v>
      </c>
    </row>
    <row r="339" spans="1:15" x14ac:dyDescent="0.25">
      <c r="A339" s="10" t="str">
        <f>B339&amp;"-"&amp;TEXT(COUNTIF(B$2:B339,B339),"00")</f>
        <v>PRODUCT-00173-001-01</v>
      </c>
      <c r="B339" s="11" t="s">
        <v>1948</v>
      </c>
      <c r="C339" s="10" t="str">
        <f>_xlfn.XLOOKUP(B339,'Product Variant'!$A:$A,'Product Variant'!$B:$B,"NOT FOUND")</f>
        <v>PRODUCT-00173</v>
      </c>
      <c r="D339" s="10" t="str">
        <f>_xlfn.XLOOKUP(B339,'Product Variant'!$A:$A,'Product Variant'!$C:$C,"NOT FOUND")</f>
        <v>[Abbott] Bộ cảm biến đo đường huyết - FreeStyle Libre Flash Glucose Monitoring Sensor</v>
      </c>
      <c r="E339" s="10" t="str" cm="1">
        <f t="array" ref="E339">_xlfn.TEXTJOIN(" / ",TRUE,_xlfn.XLOOKUP(B339&amp;"|ATTR-27",'Product Variant Attribute'!$A$2:$A$2000&amp;"|"&amp;'Product Variant Attribute'!$D$2:$D$2000,'Product Variant Attribute'!$F$2:$F$2000,""),_xlfn.XLOOKUP(B339&amp;"|ATTR-24",'Product Variant Attribute'!$A$2:$A$2000&amp;"|"&amp;'Product Variant Attribute'!$D$2:$D$2000,'Product Variant Attribute'!$F$2:$F$2000,""))</f>
        <v/>
      </c>
      <c r="F339" s="11" t="s">
        <v>815</v>
      </c>
      <c r="G339" s="11" t="s">
        <v>826</v>
      </c>
      <c r="H339" s="13">
        <f t="shared" si="10"/>
        <v>1</v>
      </c>
      <c r="I339" s="16" t="str">
        <f>_xlfn.XLOOKUP(C339,Product!$A:$A,Product!$G:$G,"NOT FOUND")</f>
        <v>bộ</v>
      </c>
      <c r="J339" s="20">
        <v>1950000</v>
      </c>
      <c r="K339" s="15" t="s">
        <v>1323</v>
      </c>
      <c r="L339" s="21">
        <v>143</v>
      </c>
      <c r="M339" s="10" t="s">
        <v>1064</v>
      </c>
      <c r="N339" s="12">
        <v>88</v>
      </c>
      <c r="O339" t="str">
        <f t="shared" si="11"/>
        <v>INSERT INTO public.medical_supply_sellable_unit (code, price, quantity, sale_uom, product_variant_code) VALUES ('PRODUCT-00173-001-01', 1950000, 1, 'Bộ', 'PRODUCT-00173-001');</v>
      </c>
    </row>
    <row r="340" spans="1:15" x14ac:dyDescent="0.25">
      <c r="A340" s="10" t="str">
        <f>B340&amp;"-"&amp;TEXT(COUNTIF(B$2:B340,B340),"00")</f>
        <v>PRODUCT-00174-001-01</v>
      </c>
      <c r="B340" s="11" t="s">
        <v>1949</v>
      </c>
      <c r="C340" s="10" t="str">
        <f>_xlfn.XLOOKUP(B340,'Product Variant'!$A:$A,'Product Variant'!$B:$B,"NOT FOUND")</f>
        <v>PRODUCT-00174</v>
      </c>
      <c r="D340" s="10" t="str">
        <f>_xlfn.XLOOKUP(B340,'Product Variant'!$A:$A,'Product Variant'!$C:$C,"NOT FOUND")</f>
        <v>[Abbott] Máy đo đường huyết liên tục - FreeStyle Libre 2</v>
      </c>
      <c r="E340" s="10" t="str" cm="1">
        <f t="array" ref="E340">_xlfn.TEXTJOIN(" / ",TRUE,_xlfn.XLOOKUP(B340&amp;"|ATTR-27",'Product Variant Attribute'!$A$2:$A$2000&amp;"|"&amp;'Product Variant Attribute'!$D$2:$D$2000,'Product Variant Attribute'!$F$2:$F$2000,""),_xlfn.XLOOKUP(B340&amp;"|ATTR-24",'Product Variant Attribute'!$A$2:$A$2000&amp;"|"&amp;'Product Variant Attribute'!$D$2:$D$2000,'Product Variant Attribute'!$F$2:$F$2000,""))</f>
        <v/>
      </c>
      <c r="F340" s="11" t="s">
        <v>815</v>
      </c>
      <c r="G340" s="11" t="s">
        <v>826</v>
      </c>
      <c r="H340" s="13">
        <f t="shared" si="10"/>
        <v>1</v>
      </c>
      <c r="I340" s="16" t="str">
        <f>_xlfn.XLOOKUP(C340,Product!$A:$A,Product!$G:$G,"NOT FOUND")</f>
        <v>bộ</v>
      </c>
      <c r="J340" s="20">
        <v>3500000</v>
      </c>
      <c r="K340" s="15" t="s">
        <v>1323</v>
      </c>
      <c r="L340" s="21">
        <v>266</v>
      </c>
      <c r="M340" s="10" t="s">
        <v>1065</v>
      </c>
      <c r="N340" s="12">
        <v>305</v>
      </c>
      <c r="O340" t="str">
        <f t="shared" si="11"/>
        <v>INSERT INTO public.medical_supply_sellable_unit (code, price, quantity, sale_uom, product_variant_code) VALUES ('PRODUCT-00174-001-01', 3500000, 1, 'Bộ', 'PRODUCT-00174-001');</v>
      </c>
    </row>
    <row r="341" spans="1:15" x14ac:dyDescent="0.25">
      <c r="A341" s="10" t="str">
        <f>B341&amp;"-"&amp;TEXT(COUNTIF(B$2:B341,B341),"00")</f>
        <v>PRODUCT-00175-001-01</v>
      </c>
      <c r="B341" s="11" t="s">
        <v>1950</v>
      </c>
      <c r="C341" s="10" t="str">
        <f>_xlfn.XLOOKUP(B341,'Product Variant'!$A:$A,'Product Variant'!$B:$B,"NOT FOUND")</f>
        <v>PRODUCT-00175</v>
      </c>
      <c r="D341" s="10" t="str">
        <f>_xlfn.XLOOKUP(B341,'Product Variant'!$A:$A,'Product Variant'!$C:$C,"NOT FOUND")</f>
        <v>[Acon] Máy đo đường huyết - On Call Plus</v>
      </c>
      <c r="E341" s="10" t="str" cm="1">
        <f t="array" ref="E341">_xlfn.TEXTJOIN(" / ",TRUE,_xlfn.XLOOKUP(B341&amp;"|ATTR-27",'Product Variant Attribute'!$A$2:$A$2000&amp;"|"&amp;'Product Variant Attribute'!$D$2:$D$2000,'Product Variant Attribute'!$F$2:$F$2000,""),_xlfn.XLOOKUP(B341&amp;"|ATTR-24",'Product Variant Attribute'!$A$2:$A$2000&amp;"|"&amp;'Product Variant Attribute'!$D$2:$D$2000,'Product Variant Attribute'!$F$2:$F$2000,""))</f>
        <v/>
      </c>
      <c r="F341" s="11" t="s">
        <v>815</v>
      </c>
      <c r="G341" s="11" t="s">
        <v>826</v>
      </c>
      <c r="H341" s="13">
        <f t="shared" si="10"/>
        <v>1</v>
      </c>
      <c r="I341" s="16" t="str">
        <f>_xlfn.XLOOKUP(C341,Product!$A:$A,Product!$G:$G,"NOT FOUND")</f>
        <v>bộ</v>
      </c>
      <c r="J341" s="20">
        <v>840000</v>
      </c>
      <c r="K341" s="15" t="s">
        <v>1323</v>
      </c>
      <c r="L341" s="21">
        <v>365</v>
      </c>
      <c r="M341" s="10" t="s">
        <v>1066</v>
      </c>
      <c r="N341" s="12">
        <v>306</v>
      </c>
      <c r="O341" t="str">
        <f t="shared" si="11"/>
        <v>INSERT INTO public.medical_supply_sellable_unit (code, price, quantity, sale_uom, product_variant_code) VALUES ('PRODUCT-00175-001-01', 840000, 1, 'Bộ', 'PRODUCT-00175-001');</v>
      </c>
    </row>
    <row r="342" spans="1:15" x14ac:dyDescent="0.25">
      <c r="A342" s="10" t="str">
        <f>B342&amp;"-"&amp;TEXT(COUNTIF(B$2:B342,B342),"00")</f>
        <v>PRODUCT-00176-001-01</v>
      </c>
      <c r="B342" s="11" t="s">
        <v>1951</v>
      </c>
      <c r="C342" s="10" t="str">
        <f>_xlfn.XLOOKUP(B342,'Product Variant'!$A:$A,'Product Variant'!$B:$B,"NOT FOUND")</f>
        <v>PRODUCT-00176</v>
      </c>
      <c r="D342" s="10" t="str">
        <f>_xlfn.XLOOKUP(B342,'Product Variant'!$A:$A,'Product Variant'!$C:$C,"NOT FOUND")</f>
        <v>[Acon] Que thử đường huyết - On Call Plus</v>
      </c>
      <c r="E342" s="10" t="str" cm="1">
        <f t="array" ref="E342">_xlfn.TEXTJOIN(" / ",TRUE,_xlfn.XLOOKUP(B342&amp;"|ATTR-27",'Product Variant Attribute'!$A$2:$A$2000&amp;"|"&amp;'Product Variant Attribute'!$D$2:$D$2000,'Product Variant Attribute'!$F$2:$F$2000,""),_xlfn.XLOOKUP(B342&amp;"|ATTR-24",'Product Variant Attribute'!$A$2:$A$2000&amp;"|"&amp;'Product Variant Attribute'!$D$2:$D$2000,'Product Variant Attribute'!$F$2:$F$2000,""))</f>
        <v/>
      </c>
      <c r="F342" s="11" t="s">
        <v>816</v>
      </c>
      <c r="G342" s="11" t="s">
        <v>1471</v>
      </c>
      <c r="H342" s="13">
        <f t="shared" si="10"/>
        <v>25</v>
      </c>
      <c r="I342" s="16" t="str">
        <f>_xlfn.XLOOKUP(C342,Product!$A:$A,Product!$G:$G,"NOT FOUND")</f>
        <v>que</v>
      </c>
      <c r="J342" s="20">
        <v>160000</v>
      </c>
      <c r="K342" s="15" t="s">
        <v>1323</v>
      </c>
      <c r="L342" s="21">
        <v>375</v>
      </c>
      <c r="M342" s="10" t="s">
        <v>1067</v>
      </c>
      <c r="N342" s="12">
        <v>455</v>
      </c>
      <c r="O342" t="str">
        <f t="shared" si="11"/>
        <v>INSERT INTO public.medical_supply_sellable_unit (code, price, quantity, sale_uom, product_variant_code) VALUES ('PRODUCT-00176-001-01', 160000, 25, 'Hộp', 'PRODUCT-00176-001');</v>
      </c>
    </row>
    <row r="343" spans="1:15" x14ac:dyDescent="0.25">
      <c r="A343" s="10" t="str">
        <f>B343&amp;"-"&amp;TEXT(COUNTIF(B$2:B343,B343),"00")</f>
        <v>PRODUCT-00177-001-01</v>
      </c>
      <c r="B343" s="11" t="s">
        <v>1952</v>
      </c>
      <c r="C343" s="10" t="str">
        <f>_xlfn.XLOOKUP(B343,'Product Variant'!$A:$A,'Product Variant'!$B:$B,"NOT FOUND")</f>
        <v>PRODUCT-00177</v>
      </c>
      <c r="D343" s="10" t="str">
        <f>_xlfn.XLOOKUP(B343,'Product Variant'!$A:$A,'Product Variant'!$C:$C,"NOT FOUND")</f>
        <v>[iMedicare] Máy đo huyết áp bắp tay - iBPM-6S</v>
      </c>
      <c r="E343" s="10" t="str" cm="1">
        <f t="array" ref="E343">_xlfn.TEXTJOIN(" / ",TRUE,_xlfn.XLOOKUP(B343&amp;"|ATTR-27",'Product Variant Attribute'!$A$2:$A$2000&amp;"|"&amp;'Product Variant Attribute'!$D$2:$D$2000,'Product Variant Attribute'!$F$2:$F$2000,""),_xlfn.XLOOKUP(B343&amp;"|ATTR-24",'Product Variant Attribute'!$A$2:$A$2000&amp;"|"&amp;'Product Variant Attribute'!$D$2:$D$2000,'Product Variant Attribute'!$F$2:$F$2000,""))</f>
        <v/>
      </c>
      <c r="F343" s="11" t="s">
        <v>815</v>
      </c>
      <c r="G343" s="11" t="s">
        <v>826</v>
      </c>
      <c r="H343" s="13">
        <f t="shared" si="10"/>
        <v>1</v>
      </c>
      <c r="I343" s="16" t="str">
        <f>_xlfn.XLOOKUP(C343,Product!$A:$A,Product!$G:$G,"NOT FOUND")</f>
        <v>bộ</v>
      </c>
      <c r="J343" s="20">
        <v>750000</v>
      </c>
      <c r="K343" s="15" t="s">
        <v>1323</v>
      </c>
      <c r="L343" s="21">
        <v>540</v>
      </c>
      <c r="M343" s="10" t="s">
        <v>1068</v>
      </c>
      <c r="N343" s="12">
        <v>309</v>
      </c>
      <c r="O343" t="str">
        <f t="shared" si="11"/>
        <v>INSERT INTO public.medical_supply_sellable_unit (code, price, quantity, sale_uom, product_variant_code) VALUES ('PRODUCT-00177-001-01', 750000, 1, 'Bộ', 'PRODUCT-00177-001');</v>
      </c>
    </row>
    <row r="344" spans="1:15" x14ac:dyDescent="0.25">
      <c r="A344" s="10" t="str">
        <f>B344&amp;"-"&amp;TEXT(COUNTIF(B$2:B344,B344),"00")</f>
        <v>PRODUCT-00178-001-01</v>
      </c>
      <c r="B344" s="11" t="s">
        <v>1953</v>
      </c>
      <c r="C344" s="10" t="str">
        <f>_xlfn.XLOOKUP(B344,'Product Variant'!$A:$A,'Product Variant'!$B:$B,"NOT FOUND")</f>
        <v>PRODUCT-00178</v>
      </c>
      <c r="D344" s="10" t="str">
        <f>_xlfn.XLOOKUP(B344,'Product Variant'!$A:$A,'Product Variant'!$C:$C,"NOT FOUND")</f>
        <v>[iMedicare] Máy đo SPO2 - iOM-A6</v>
      </c>
      <c r="E344" s="10" t="str" cm="1">
        <f t="array" ref="E344">_xlfn.TEXTJOIN(" / ",TRUE,_xlfn.XLOOKUP(B344&amp;"|ATTR-27",'Product Variant Attribute'!$A$2:$A$2000&amp;"|"&amp;'Product Variant Attribute'!$D$2:$D$2000,'Product Variant Attribute'!$F$2:$F$2000,""),_xlfn.XLOOKUP(B344&amp;"|ATTR-24",'Product Variant Attribute'!$A$2:$A$2000&amp;"|"&amp;'Product Variant Attribute'!$D$2:$D$2000,'Product Variant Attribute'!$F$2:$F$2000,""))</f>
        <v/>
      </c>
      <c r="F344" s="11" t="s">
        <v>815</v>
      </c>
      <c r="G344" s="11" t="s">
        <v>826</v>
      </c>
      <c r="H344" s="13">
        <f t="shared" si="10"/>
        <v>1</v>
      </c>
      <c r="I344" s="16" t="str">
        <f>_xlfn.XLOOKUP(C344,Product!$A:$A,Product!$G:$G,"NOT FOUND")</f>
        <v>bộ</v>
      </c>
      <c r="J344" s="20">
        <v>850000</v>
      </c>
      <c r="K344" s="15" t="s">
        <v>1323</v>
      </c>
      <c r="L344" s="21">
        <v>539</v>
      </c>
      <c r="M344" s="10" t="s">
        <v>1069</v>
      </c>
      <c r="N344" s="12">
        <v>319</v>
      </c>
      <c r="O344" t="str">
        <f t="shared" si="11"/>
        <v>INSERT INTO public.medical_supply_sellable_unit (code, price, quantity, sale_uom, product_variant_code) VALUES ('PRODUCT-00178-001-01', 850000, 1, 'Bộ', 'PRODUCT-00178-001');</v>
      </c>
    </row>
    <row r="345" spans="1:15" x14ac:dyDescent="0.25">
      <c r="A345" s="10" t="str">
        <f>B345&amp;"-"&amp;TEXT(COUNTIF(B$2:B345,B345),"00")</f>
        <v>PRODUCT-00179-001-01</v>
      </c>
      <c r="B345" s="11" t="s">
        <v>1954</v>
      </c>
      <c r="C345" s="10" t="str">
        <f>_xlfn.XLOOKUP(B345,'Product Variant'!$A:$A,'Product Variant'!$B:$B,"NOT FOUND")</f>
        <v>PRODUCT-00179</v>
      </c>
      <c r="D345" s="10" t="str">
        <f>_xlfn.XLOOKUP(B345,'Product Variant'!$A:$A,'Product Variant'!$C:$C,"NOT FOUND")</f>
        <v>[iMedicare] Nhiệt kế hồng ngoại - iTM-32A</v>
      </c>
      <c r="E345" s="10" t="str" cm="1">
        <f t="array" ref="E345">_xlfn.TEXTJOIN(" / ",TRUE,_xlfn.XLOOKUP(B345&amp;"|ATTR-27",'Product Variant Attribute'!$A$2:$A$2000&amp;"|"&amp;'Product Variant Attribute'!$D$2:$D$2000,'Product Variant Attribute'!$F$2:$F$2000,""),_xlfn.XLOOKUP(B345&amp;"|ATTR-24",'Product Variant Attribute'!$A$2:$A$2000&amp;"|"&amp;'Product Variant Attribute'!$D$2:$D$2000,'Product Variant Attribute'!$F$2:$F$2000,""))</f>
        <v/>
      </c>
      <c r="F345" s="11" t="s">
        <v>818</v>
      </c>
      <c r="G345" s="11" t="s">
        <v>927</v>
      </c>
      <c r="H345" s="13">
        <f t="shared" si="10"/>
        <v>1</v>
      </c>
      <c r="I345" s="16" t="str">
        <f>_xlfn.XLOOKUP(C345,Product!$A:$A,Product!$G:$G,"NOT FOUND")</f>
        <v>cái</v>
      </c>
      <c r="J345" s="22"/>
      <c r="K345" s="15" t="s">
        <v>1468</v>
      </c>
      <c r="L345" s="21">
        <v>538</v>
      </c>
      <c r="M345" s="10" t="s">
        <v>1070</v>
      </c>
      <c r="N345" s="12">
        <v>372</v>
      </c>
      <c r="O345" t="str">
        <f t="shared" si="11"/>
        <v>INSERT INTO public.medical_supply_sellable_unit (code, price, quantity, sale_uom, product_variant_code) VALUES ('PRODUCT-00179-001-01', NULL, 1, 'Cái', 'PRODUCT-00179-001');</v>
      </c>
    </row>
    <row r="346" spans="1:15" x14ac:dyDescent="0.25">
      <c r="A346" s="10" t="str">
        <f>B346&amp;"-"&amp;TEXT(COUNTIF(B$2:B346,B346),"00")</f>
        <v>PRODUCT-00180-001-01</v>
      </c>
      <c r="B346" s="11" t="s">
        <v>1955</v>
      </c>
      <c r="C346" s="10" t="str">
        <f>_xlfn.XLOOKUP(B346,'Product Variant'!$A:$A,'Product Variant'!$B:$B,"NOT FOUND")</f>
        <v>PRODUCT-00180</v>
      </c>
      <c r="D346" s="10" t="str">
        <f>_xlfn.XLOOKUP(B346,'Product Variant'!$A:$A,'Product Variant'!$C:$C,"NOT FOUND")</f>
        <v>[IN4 Care] Máy đo đường huyết, mỡ máu, gút 3 trong 1 - GlucoAlpha</v>
      </c>
      <c r="E346" s="10" t="str" cm="1">
        <f t="array" ref="E346">_xlfn.TEXTJOIN(" / ",TRUE,_xlfn.XLOOKUP(B346&amp;"|ATTR-27",'Product Variant Attribute'!$A$2:$A$2000&amp;"|"&amp;'Product Variant Attribute'!$D$2:$D$2000,'Product Variant Attribute'!$F$2:$F$2000,""),_xlfn.XLOOKUP(B346&amp;"|ATTR-24",'Product Variant Attribute'!$A$2:$A$2000&amp;"|"&amp;'Product Variant Attribute'!$D$2:$D$2000,'Product Variant Attribute'!$F$2:$F$2000,""))</f>
        <v/>
      </c>
      <c r="F346" s="11" t="s">
        <v>815</v>
      </c>
      <c r="G346" s="11" t="s">
        <v>826</v>
      </c>
      <c r="H346" s="13">
        <f t="shared" si="10"/>
        <v>1</v>
      </c>
      <c r="I346" s="16" t="str">
        <f>_xlfn.XLOOKUP(C346,Product!$A:$A,Product!$G:$G,"NOT FOUND")</f>
        <v>bộ</v>
      </c>
      <c r="J346" s="20">
        <v>1000000</v>
      </c>
      <c r="K346" s="15" t="s">
        <v>1323</v>
      </c>
      <c r="L346" s="21">
        <v>322</v>
      </c>
      <c r="M346" s="10" t="s">
        <v>1071</v>
      </c>
      <c r="N346" s="12">
        <v>308</v>
      </c>
      <c r="O346" t="str">
        <f t="shared" si="11"/>
        <v>INSERT INTO public.medical_supply_sellable_unit (code, price, quantity, sale_uom, product_variant_code) VALUES ('PRODUCT-00180-001-01', 1000000, 1, 'Bộ', 'PRODUCT-00180-001');</v>
      </c>
    </row>
    <row r="347" spans="1:15" x14ac:dyDescent="0.25">
      <c r="A347" s="10" t="str">
        <f>B347&amp;"-"&amp;TEXT(COUNTIF(B$2:B347,B347),"00")</f>
        <v>PRODUCT-00181-001-01</v>
      </c>
      <c r="B347" s="11" t="s">
        <v>1956</v>
      </c>
      <c r="C347" s="10" t="str">
        <f>_xlfn.XLOOKUP(B347,'Product Variant'!$A:$A,'Product Variant'!$B:$B,"NOT FOUND")</f>
        <v>PRODUCT-00181</v>
      </c>
      <c r="D347" s="10" t="str">
        <f>_xlfn.XLOOKUP(B347,'Product Variant'!$A:$A,'Product Variant'!$C:$C,"NOT FOUND")</f>
        <v>[IN4 Care] Que thử axit uric (gút) cho máy 3 trong 1 - GlucoAlpha</v>
      </c>
      <c r="E347" s="10" t="str" cm="1">
        <f t="array" ref="E347">_xlfn.TEXTJOIN(" / ",TRUE,_xlfn.XLOOKUP(B347&amp;"|ATTR-27",'Product Variant Attribute'!$A$2:$A$2000&amp;"|"&amp;'Product Variant Attribute'!$D$2:$D$2000,'Product Variant Attribute'!$F$2:$F$2000,""),_xlfn.XLOOKUP(B347&amp;"|ATTR-24",'Product Variant Attribute'!$A$2:$A$2000&amp;"|"&amp;'Product Variant Attribute'!$D$2:$D$2000,'Product Variant Attribute'!$F$2:$F$2000,""))</f>
        <v/>
      </c>
      <c r="F347" s="11" t="s">
        <v>816</v>
      </c>
      <c r="G347" s="11" t="s">
        <v>1471</v>
      </c>
      <c r="H347" s="13">
        <f t="shared" si="10"/>
        <v>25</v>
      </c>
      <c r="I347" s="16" t="str">
        <f>_xlfn.XLOOKUP(C347,Product!$A:$A,Product!$G:$G,"NOT FOUND")</f>
        <v>que</v>
      </c>
      <c r="J347" s="20">
        <v>250000</v>
      </c>
      <c r="K347" s="15" t="s">
        <v>1323</v>
      </c>
      <c r="L347" s="21">
        <v>299</v>
      </c>
      <c r="M347" s="10" t="s">
        <v>1072</v>
      </c>
      <c r="N347" s="12">
        <v>452</v>
      </c>
      <c r="O347" t="str">
        <f t="shared" si="11"/>
        <v>INSERT INTO public.medical_supply_sellable_unit (code, price, quantity, sale_uom, product_variant_code) VALUES ('PRODUCT-00181-001-01', 250000, 25, 'Hộp', 'PRODUCT-00181-001');</v>
      </c>
    </row>
    <row r="348" spans="1:15" x14ac:dyDescent="0.25">
      <c r="A348" s="10" t="str">
        <f>B348&amp;"-"&amp;TEXT(COUNTIF(B$2:B348,B348),"00")</f>
        <v>PRODUCT-00182-001-01</v>
      </c>
      <c r="B348" s="11" t="s">
        <v>1957</v>
      </c>
      <c r="C348" s="10" t="str">
        <f>_xlfn.XLOOKUP(B348,'Product Variant'!$A:$A,'Product Variant'!$B:$B,"NOT FOUND")</f>
        <v>PRODUCT-00182</v>
      </c>
      <c r="D348" s="10" t="str">
        <f>_xlfn.XLOOKUP(B348,'Product Variant'!$A:$A,'Product Variant'!$C:$C,"NOT FOUND")</f>
        <v>[IN4 Care] Que thử cholesterol cho máy 3 trong 1 - GlucoAlpha</v>
      </c>
      <c r="E348" s="10" t="str" cm="1">
        <f t="array" ref="E348">_xlfn.TEXTJOIN(" / ",TRUE,_xlfn.XLOOKUP(B348&amp;"|ATTR-27",'Product Variant Attribute'!$A$2:$A$2000&amp;"|"&amp;'Product Variant Attribute'!$D$2:$D$2000,'Product Variant Attribute'!$F$2:$F$2000,""),_xlfn.XLOOKUP(B348&amp;"|ATTR-24",'Product Variant Attribute'!$A$2:$A$2000&amp;"|"&amp;'Product Variant Attribute'!$D$2:$D$2000,'Product Variant Attribute'!$F$2:$F$2000,""))</f>
        <v/>
      </c>
      <c r="F348" s="11" t="s">
        <v>816</v>
      </c>
      <c r="G348" s="11" t="s">
        <v>1472</v>
      </c>
      <c r="H348" s="13">
        <f t="shared" si="10"/>
        <v>10</v>
      </c>
      <c r="I348" s="16" t="str">
        <f>_xlfn.XLOOKUP(C348,Product!$A:$A,Product!$G:$G,"NOT FOUND")</f>
        <v>que</v>
      </c>
      <c r="J348" s="20">
        <v>450000</v>
      </c>
      <c r="K348" s="15" t="s">
        <v>1323</v>
      </c>
      <c r="L348" s="21">
        <v>300</v>
      </c>
      <c r="M348" s="10" t="s">
        <v>1073</v>
      </c>
      <c r="N348" s="12">
        <v>453</v>
      </c>
      <c r="O348" t="str">
        <f t="shared" si="11"/>
        <v>INSERT INTO public.medical_supply_sellable_unit (code, price, quantity, sale_uom, product_variant_code) VALUES ('PRODUCT-00182-001-01', 450000, 10, 'Hộp', 'PRODUCT-00182-001');</v>
      </c>
    </row>
    <row r="349" spans="1:15" x14ac:dyDescent="0.25">
      <c r="A349" s="10" t="str">
        <f>B349&amp;"-"&amp;TEXT(COUNTIF(B$2:B349,B349),"00")</f>
        <v>PRODUCT-00183-001-01</v>
      </c>
      <c r="B349" s="11" t="s">
        <v>1958</v>
      </c>
      <c r="C349" s="10" t="str">
        <f>_xlfn.XLOOKUP(B349,'Product Variant'!$A:$A,'Product Variant'!$B:$B,"NOT FOUND")</f>
        <v>PRODUCT-00183</v>
      </c>
      <c r="D349" s="10" t="str">
        <f>_xlfn.XLOOKUP(B349,'Product Variant'!$A:$A,'Product Variant'!$C:$C,"NOT FOUND")</f>
        <v>[IN4 Care] Que thử đường huyết cho máy 3 trong 1 - GlucoAlpha</v>
      </c>
      <c r="E349" s="10" t="str" cm="1">
        <f t="array" ref="E349">_xlfn.TEXTJOIN(" / ",TRUE,_xlfn.XLOOKUP(B349&amp;"|ATTR-27",'Product Variant Attribute'!$A$2:$A$2000&amp;"|"&amp;'Product Variant Attribute'!$D$2:$D$2000,'Product Variant Attribute'!$F$2:$F$2000,""),_xlfn.XLOOKUP(B349&amp;"|ATTR-24",'Product Variant Attribute'!$A$2:$A$2000&amp;"|"&amp;'Product Variant Attribute'!$D$2:$D$2000,'Product Variant Attribute'!$F$2:$F$2000,""))</f>
        <v/>
      </c>
      <c r="F349" s="11" t="s">
        <v>816</v>
      </c>
      <c r="G349" s="11" t="s">
        <v>1471</v>
      </c>
      <c r="H349" s="13">
        <f t="shared" si="10"/>
        <v>25</v>
      </c>
      <c r="I349" s="16" t="str">
        <f>_xlfn.XLOOKUP(C349,Product!$A:$A,Product!$G:$G,"NOT FOUND")</f>
        <v>que</v>
      </c>
      <c r="J349" s="20">
        <v>150000</v>
      </c>
      <c r="K349" s="15" t="s">
        <v>1323</v>
      </c>
      <c r="L349" s="21">
        <v>301</v>
      </c>
      <c r="M349" s="10" t="s">
        <v>1074</v>
      </c>
      <c r="N349" s="12">
        <v>454</v>
      </c>
      <c r="O349" t="str">
        <f t="shared" si="11"/>
        <v>INSERT INTO public.medical_supply_sellable_unit (code, price, quantity, sale_uom, product_variant_code) VALUES ('PRODUCT-00183-001-01', 150000, 25, 'Hộp', 'PRODUCT-00183-001');</v>
      </c>
    </row>
    <row r="350" spans="1:15" x14ac:dyDescent="0.25">
      <c r="A350" s="10" t="str">
        <f>B350&amp;"-"&amp;TEXT(COUNTIF(B$2:B350,B350),"00")</f>
        <v>PRODUCT-00184-001-01</v>
      </c>
      <c r="B350" s="11" t="s">
        <v>1959</v>
      </c>
      <c r="C350" s="10" t="str">
        <f>_xlfn.XLOOKUP(B350,'Product Variant'!$A:$A,'Product Variant'!$B:$B,"NOT FOUND")</f>
        <v>PRODUCT-00184</v>
      </c>
      <c r="D350" s="10" t="str">
        <f>_xlfn.XLOOKUP(B350,'Product Variant'!$A:$A,'Product Variant'!$C:$C,"NOT FOUND")</f>
        <v>[Jumper] Máy đo nồng độ oxy trong máu và nhịp tim SPO2 - JPD-500D</v>
      </c>
      <c r="E350" s="10" t="str" cm="1">
        <f t="array" ref="E350">_xlfn.TEXTJOIN(" / ",TRUE,_xlfn.XLOOKUP(B350&amp;"|ATTR-27",'Product Variant Attribute'!$A$2:$A$2000&amp;"|"&amp;'Product Variant Attribute'!$D$2:$D$2000,'Product Variant Attribute'!$F$2:$F$2000,""),_xlfn.XLOOKUP(B350&amp;"|ATTR-24",'Product Variant Attribute'!$A$2:$A$2000&amp;"|"&amp;'Product Variant Attribute'!$D$2:$D$2000,'Product Variant Attribute'!$F$2:$F$2000,""))</f>
        <v/>
      </c>
      <c r="F350" s="11" t="s">
        <v>815</v>
      </c>
      <c r="G350" s="11" t="s">
        <v>826</v>
      </c>
      <c r="H350" s="13">
        <f t="shared" si="10"/>
        <v>1</v>
      </c>
      <c r="I350" s="16" t="str">
        <f>_xlfn.XLOOKUP(C350,Product!$A:$A,Product!$G:$G,"NOT FOUND")</f>
        <v>bộ</v>
      </c>
      <c r="J350" s="20">
        <v>490000</v>
      </c>
      <c r="K350" s="15" t="s">
        <v>1323</v>
      </c>
      <c r="L350" s="21">
        <v>171</v>
      </c>
      <c r="M350" s="10" t="s">
        <v>1075</v>
      </c>
      <c r="N350" s="12">
        <v>318</v>
      </c>
      <c r="O350" t="str">
        <f t="shared" si="11"/>
        <v>INSERT INTO public.medical_supply_sellable_unit (code, price, quantity, sale_uom, product_variant_code) VALUES ('PRODUCT-00184-001-01', 490000, 1, 'Bộ', 'PRODUCT-00184-001');</v>
      </c>
    </row>
    <row r="351" spans="1:15" x14ac:dyDescent="0.25">
      <c r="A351" s="10" t="str">
        <f>B351&amp;"-"&amp;TEXT(COUNTIF(B$2:B351,B351),"00")</f>
        <v>PRODUCT-00185-001-01</v>
      </c>
      <c r="B351" s="11" t="s">
        <v>1960</v>
      </c>
      <c r="C351" s="10" t="str">
        <f>_xlfn.XLOOKUP(B351,'Product Variant'!$A:$A,'Product Variant'!$B:$B,"NOT FOUND")</f>
        <v>PRODUCT-00185</v>
      </c>
      <c r="D351" s="10" t="str">
        <f>_xlfn.XLOOKUP(B351,'Product Variant'!$A:$A,'Product Variant'!$C:$C,"NOT FOUND")</f>
        <v>[Jumper] Máy đo tim thai cá nhân - Cody Health JPD-100E</v>
      </c>
      <c r="E351" s="10" t="str" cm="1">
        <f t="array" ref="E351">_xlfn.TEXTJOIN(" / ",TRUE,_xlfn.XLOOKUP(B351&amp;"|ATTR-27",'Product Variant Attribute'!$A$2:$A$2000&amp;"|"&amp;'Product Variant Attribute'!$D$2:$D$2000,'Product Variant Attribute'!$F$2:$F$2000,""),_xlfn.XLOOKUP(B351&amp;"|ATTR-24",'Product Variant Attribute'!$A$2:$A$2000&amp;"|"&amp;'Product Variant Attribute'!$D$2:$D$2000,'Product Variant Attribute'!$F$2:$F$2000,""))</f>
        <v/>
      </c>
      <c r="F351" s="11" t="s">
        <v>818</v>
      </c>
      <c r="G351" s="11" t="s">
        <v>927</v>
      </c>
      <c r="H351" s="13">
        <f t="shared" si="10"/>
        <v>1</v>
      </c>
      <c r="I351" s="16" t="str">
        <f>_xlfn.XLOOKUP(C351,Product!$A:$A,Product!$G:$G,"NOT FOUND")</f>
        <v>cái</v>
      </c>
      <c r="J351" s="20">
        <v>1390000</v>
      </c>
      <c r="K351" s="15" t="s">
        <v>1322</v>
      </c>
      <c r="L351" s="21">
        <v>10</v>
      </c>
      <c r="M351" s="10" t="s">
        <v>1076</v>
      </c>
      <c r="N351" s="12">
        <v>321</v>
      </c>
      <c r="O351" t="str">
        <f t="shared" si="11"/>
        <v>INSERT INTO public.medical_supply_sellable_unit (code, price, quantity, sale_uom, product_variant_code) VALUES ('PRODUCT-00185-001-01', 1390000, 1, 'Cái', 'PRODUCT-00185-001');</v>
      </c>
    </row>
    <row r="352" spans="1:15" x14ac:dyDescent="0.25">
      <c r="A352" s="10" t="str">
        <f>B352&amp;"-"&amp;TEXT(COUNTIF(B$2:B352,B352),"00")</f>
        <v>PRODUCT-00186-001-01</v>
      </c>
      <c r="B352" s="11" t="s">
        <v>1961</v>
      </c>
      <c r="C352" s="10" t="str">
        <f>_xlfn.XLOOKUP(B352,'Product Variant'!$A:$A,'Product Variant'!$B:$B,"NOT FOUND")</f>
        <v>PRODUCT-00186</v>
      </c>
      <c r="D352" s="10" t="str">
        <f>_xlfn.XLOOKUP(B352,'Product Variant'!$A:$A,'Product Variant'!$C:$C,"NOT FOUND")</f>
        <v>[Medtronic] Bộ truyền tín hiệu kết nối cảm biến CGM và máy bơm insulin - Guardian™ Link 3 Transmitter (640g)</v>
      </c>
      <c r="E352" s="10" t="str" cm="1">
        <f t="array" ref="E352">_xlfn.TEXTJOIN(" / ",TRUE,_xlfn.XLOOKUP(B352&amp;"|ATTR-27",'Product Variant Attribute'!$A$2:$A$2000&amp;"|"&amp;'Product Variant Attribute'!$D$2:$D$2000,'Product Variant Attribute'!$F$2:$F$2000,""),_xlfn.XLOOKUP(B352&amp;"|ATTR-24",'Product Variant Attribute'!$A$2:$A$2000&amp;"|"&amp;'Product Variant Attribute'!$D$2:$D$2000,'Product Variant Attribute'!$F$2:$F$2000,""))</f>
        <v/>
      </c>
      <c r="F352" s="11" t="s">
        <v>815</v>
      </c>
      <c r="G352" s="11" t="s">
        <v>826</v>
      </c>
      <c r="H352" s="13">
        <f t="shared" si="10"/>
        <v>1</v>
      </c>
      <c r="I352" s="16" t="str">
        <f>_xlfn.XLOOKUP(C352,Product!$A:$A,Product!$G:$G,"NOT FOUND")</f>
        <v>bộ</v>
      </c>
      <c r="J352" s="22"/>
      <c r="K352" s="15" t="s">
        <v>1468</v>
      </c>
      <c r="L352" s="21">
        <v>234</v>
      </c>
      <c r="M352" s="10" t="s">
        <v>1077</v>
      </c>
      <c r="N352" s="12">
        <v>111</v>
      </c>
      <c r="O352" t="str">
        <f t="shared" si="11"/>
        <v>INSERT INTO public.medical_supply_sellable_unit (code, price, quantity, sale_uom, product_variant_code) VALUES ('PRODUCT-00186-001-01', NULL, 1, 'Bộ', 'PRODUCT-00186-001');</v>
      </c>
    </row>
    <row r="353" spans="1:15" x14ac:dyDescent="0.25">
      <c r="A353" s="10" t="str">
        <f>B353&amp;"-"&amp;TEXT(COUNTIF(B$2:B353,B353),"00")</f>
        <v>PRODUCT-00187-001-01</v>
      </c>
      <c r="B353" s="11" t="s">
        <v>1962</v>
      </c>
      <c r="C353" s="10" t="str">
        <f>_xlfn.XLOOKUP(B353,'Product Variant'!$A:$A,'Product Variant'!$B:$B,"NOT FOUND")</f>
        <v>PRODUCT-00187</v>
      </c>
      <c r="D353" s="10" t="str">
        <f>_xlfn.XLOOKUP(B353,'Product Variant'!$A:$A,'Product Variant'!$C:$C,"NOT FOUND")</f>
        <v>[Medtronic] Cảm biến hệ thống đo đường huyết liên tục CGM - Guardian™ Sensor 3</v>
      </c>
      <c r="E353" s="10" t="str" cm="1">
        <f t="array" ref="E353">_xlfn.TEXTJOIN(" / ",TRUE,_xlfn.XLOOKUP(B353&amp;"|ATTR-27",'Product Variant Attribute'!$A$2:$A$2000&amp;"|"&amp;'Product Variant Attribute'!$D$2:$D$2000,'Product Variant Attribute'!$F$2:$F$2000,""),_xlfn.XLOOKUP(B353&amp;"|ATTR-24",'Product Variant Attribute'!$A$2:$A$2000&amp;"|"&amp;'Product Variant Attribute'!$D$2:$D$2000,'Product Variant Attribute'!$F$2:$F$2000,""))</f>
        <v/>
      </c>
      <c r="F353" s="11" t="s">
        <v>816</v>
      </c>
      <c r="G353" s="11" t="s">
        <v>1078</v>
      </c>
      <c r="H353" s="13">
        <f t="shared" si="10"/>
        <v>5</v>
      </c>
      <c r="I353" s="16" t="str">
        <f>_xlfn.XLOOKUP(C353,Product!$A:$A,Product!$G:$G,"NOT FOUND")</f>
        <v>cái</v>
      </c>
      <c r="J353" s="20">
        <v>10000000</v>
      </c>
      <c r="K353" s="15" t="s">
        <v>1323</v>
      </c>
      <c r="L353" s="21">
        <v>237</v>
      </c>
      <c r="M353" s="10" t="s">
        <v>1079</v>
      </c>
      <c r="N353" s="12">
        <v>129</v>
      </c>
      <c r="O353" t="str">
        <f t="shared" si="11"/>
        <v>INSERT INTO public.medical_supply_sellable_unit (code, price, quantity, sale_uom, product_variant_code) VALUES ('PRODUCT-00187-001-01', 10000000, 5, 'Hộp', 'PRODUCT-00187-001');</v>
      </c>
    </row>
    <row r="354" spans="1:15" x14ac:dyDescent="0.25">
      <c r="A354" s="10" t="str">
        <f>B354&amp;"-"&amp;TEXT(COUNTIF(B$2:B354,B354),"00")</f>
        <v>PRODUCT-00188-001-01</v>
      </c>
      <c r="B354" s="11" t="s">
        <v>1963</v>
      </c>
      <c r="C354" s="10" t="str">
        <f>_xlfn.XLOOKUP(B354,'Product Variant'!$A:$A,'Product Variant'!$B:$B,"NOT FOUND")</f>
        <v>PRODUCT-00188</v>
      </c>
      <c r="D354" s="10" t="str">
        <f>_xlfn.XLOOKUP(B354,'Product Variant'!$A:$A,'Product Variant'!$C:$C,"NOT FOUND")</f>
        <v>[Medtronic] Hệ thống đo đường huyết liên tục CGM - GUARDIAN™ CONNECT</v>
      </c>
      <c r="E354" s="10" t="str" cm="1">
        <f t="array" ref="E354">_xlfn.TEXTJOIN(" / ",TRUE,_xlfn.XLOOKUP(B354&amp;"|ATTR-27",'Product Variant Attribute'!$A$2:$A$2000&amp;"|"&amp;'Product Variant Attribute'!$D$2:$D$2000,'Product Variant Attribute'!$F$2:$F$2000,""),_xlfn.XLOOKUP(B354&amp;"|ATTR-24",'Product Variant Attribute'!$A$2:$A$2000&amp;"|"&amp;'Product Variant Attribute'!$D$2:$D$2000,'Product Variant Attribute'!$F$2:$F$2000,""))</f>
        <v/>
      </c>
      <c r="F354" s="11" t="s">
        <v>815</v>
      </c>
      <c r="G354" s="11" t="s">
        <v>826</v>
      </c>
      <c r="H354" s="13">
        <f t="shared" si="10"/>
        <v>1</v>
      </c>
      <c r="I354" s="16" t="str">
        <f>_xlfn.XLOOKUP(C354,Product!$A:$A,Product!$G:$G,"NOT FOUND")</f>
        <v>bộ</v>
      </c>
      <c r="J354" s="22"/>
      <c r="K354" s="15" t="s">
        <v>1468</v>
      </c>
      <c r="L354" s="21">
        <v>238</v>
      </c>
      <c r="M354" s="10" t="s">
        <v>1080</v>
      </c>
      <c r="N354" s="12">
        <v>269</v>
      </c>
      <c r="O354" t="str">
        <f t="shared" si="11"/>
        <v>INSERT INTO public.medical_supply_sellable_unit (code, price, quantity, sale_uom, product_variant_code) VALUES ('PRODUCT-00188-001-01', NULL, 1, 'Bộ', 'PRODUCT-00188-001');</v>
      </c>
    </row>
    <row r="355" spans="1:15" x14ac:dyDescent="0.25">
      <c r="A355" s="10" t="str">
        <f>B355&amp;"-"&amp;TEXT(COUNTIF(B$2:B355,B355),"00")</f>
        <v>PRODUCT-00189-001-01</v>
      </c>
      <c r="B355" s="11" t="s">
        <v>1964</v>
      </c>
      <c r="C355" s="10" t="str">
        <f>_xlfn.XLOOKUP(B355,'Product Variant'!$A:$A,'Product Variant'!$B:$B,"NOT FOUND")</f>
        <v>PRODUCT-00189</v>
      </c>
      <c r="D355" s="10" t="str">
        <f>_xlfn.XLOOKUP(B355,'Product Variant'!$A:$A,'Product Variant'!$C:$C,"NOT FOUND")</f>
        <v>[Omron] Cân sức khỏe điện tử - HN-289</v>
      </c>
      <c r="E355" s="10" t="str" cm="1">
        <f t="array" ref="E355">_xlfn.TEXTJOIN(" / ",TRUE,_xlfn.XLOOKUP(B355&amp;"|ATTR-27",'Product Variant Attribute'!$A$2:$A$2000&amp;"|"&amp;'Product Variant Attribute'!$D$2:$D$2000,'Product Variant Attribute'!$F$2:$F$2000,""),_xlfn.XLOOKUP(B355&amp;"|ATTR-24",'Product Variant Attribute'!$A$2:$A$2000&amp;"|"&amp;'Product Variant Attribute'!$D$2:$D$2000,'Product Variant Attribute'!$F$2:$F$2000,""))</f>
        <v/>
      </c>
      <c r="F355" s="11" t="s">
        <v>815</v>
      </c>
      <c r="G355" s="11" t="s">
        <v>826</v>
      </c>
      <c r="H355" s="13">
        <f t="shared" si="10"/>
        <v>1</v>
      </c>
      <c r="I355" s="16" t="str">
        <f>_xlfn.XLOOKUP(C355,Product!$A:$A,Product!$G:$G,"NOT FOUND")</f>
        <v>bộ</v>
      </c>
      <c r="J355" s="20">
        <v>620000</v>
      </c>
      <c r="K355" s="15" t="s">
        <v>1323</v>
      </c>
      <c r="L355" s="21" t="s">
        <v>1411</v>
      </c>
      <c r="M355" s="10" t="s">
        <v>1081</v>
      </c>
      <c r="N355" s="12" t="s">
        <v>1234</v>
      </c>
      <c r="O355" t="str">
        <f t="shared" si="11"/>
        <v>INSERT INTO public.medical_supply_sellable_unit (code, price, quantity, sale_uom, product_variant_code) VALUES ('PRODUCT-00189-001-01', 620000, 1, 'Bộ', 'PRODUCT-00189-001');</v>
      </c>
    </row>
    <row r="356" spans="1:15" x14ac:dyDescent="0.25">
      <c r="A356" s="10" t="str">
        <f>B356&amp;"-"&amp;TEXT(COUNTIF(B$2:B356,B356),"00")</f>
        <v>PRODUCT-00190-001-01</v>
      </c>
      <c r="B356" s="11" t="s">
        <v>1965</v>
      </c>
      <c r="C356" s="10" t="str">
        <f>_xlfn.XLOOKUP(B356,'Product Variant'!$A:$A,'Product Variant'!$B:$B,"NOT FOUND")</f>
        <v>PRODUCT-00190</v>
      </c>
      <c r="D356" s="10" t="str">
        <f>_xlfn.XLOOKUP(B356,'Product Variant'!$A:$A,'Product Variant'!$C:$C,"NOT FOUND")</f>
        <v>[Omron] Máy cân đo chỉ số cơ thể - BodySCAN™ HBF-224</v>
      </c>
      <c r="E356" s="10" t="str" cm="1">
        <f t="array" ref="E356">_xlfn.TEXTJOIN(" / ",TRUE,_xlfn.XLOOKUP(B356&amp;"|ATTR-27",'Product Variant Attribute'!$A$2:$A$2000&amp;"|"&amp;'Product Variant Attribute'!$D$2:$D$2000,'Product Variant Attribute'!$F$2:$F$2000,""),_xlfn.XLOOKUP(B356&amp;"|ATTR-24",'Product Variant Attribute'!$A$2:$A$2000&amp;"|"&amp;'Product Variant Attribute'!$D$2:$D$2000,'Product Variant Attribute'!$F$2:$F$2000,""))</f>
        <v/>
      </c>
      <c r="F356" s="11" t="s">
        <v>815</v>
      </c>
      <c r="G356" s="11" t="s">
        <v>826</v>
      </c>
      <c r="H356" s="13">
        <f t="shared" si="10"/>
        <v>1</v>
      </c>
      <c r="I356" s="16" t="str">
        <f>_xlfn.XLOOKUP(C356,Product!$A:$A,Product!$G:$G,"NOT FOUND")</f>
        <v>bộ</v>
      </c>
      <c r="J356" s="20">
        <v>1820000</v>
      </c>
      <c r="K356" s="15" t="s">
        <v>1323</v>
      </c>
      <c r="L356" s="21">
        <v>491</v>
      </c>
      <c r="M356" s="10" t="s">
        <v>1082</v>
      </c>
      <c r="N356" s="12">
        <v>303</v>
      </c>
      <c r="O356" t="str">
        <f t="shared" si="11"/>
        <v>INSERT INTO public.medical_supply_sellable_unit (code, price, quantity, sale_uom, product_variant_code) VALUES ('PRODUCT-00190-001-01', 1820000, 1, 'Bộ', 'PRODUCT-00190-001');</v>
      </c>
    </row>
    <row r="357" spans="1:15" x14ac:dyDescent="0.25">
      <c r="A357" s="10" t="str">
        <f>B357&amp;"-"&amp;TEXT(COUNTIF(B$2:B357,B357),"00")</f>
        <v>PRODUCT-00191-001-01</v>
      </c>
      <c r="B357" s="11" t="s">
        <v>1966</v>
      </c>
      <c r="C357" s="10" t="str">
        <f>_xlfn.XLOOKUP(B357,'Product Variant'!$A:$A,'Product Variant'!$B:$B,"NOT FOUND")</f>
        <v>PRODUCT-00191</v>
      </c>
      <c r="D357" s="10" t="str">
        <f>_xlfn.XLOOKUP(B357,'Product Variant'!$A:$A,'Product Variant'!$C:$C,"NOT FOUND")</f>
        <v>[Omron] Máy đo huyết áp bắp tay - JPN600</v>
      </c>
      <c r="E357" s="10" t="str" cm="1">
        <f t="array" ref="E357">_xlfn.TEXTJOIN(" / ",TRUE,_xlfn.XLOOKUP(B357&amp;"|ATTR-27",'Product Variant Attribute'!$A$2:$A$2000&amp;"|"&amp;'Product Variant Attribute'!$D$2:$D$2000,'Product Variant Attribute'!$F$2:$F$2000,""),_xlfn.XLOOKUP(B357&amp;"|ATTR-24",'Product Variant Attribute'!$A$2:$A$2000&amp;"|"&amp;'Product Variant Attribute'!$D$2:$D$2000,'Product Variant Attribute'!$F$2:$F$2000,""))</f>
        <v/>
      </c>
      <c r="F357" s="11" t="s">
        <v>815</v>
      </c>
      <c r="G357" s="11" t="s">
        <v>826</v>
      </c>
      <c r="H357" s="13">
        <f t="shared" si="10"/>
        <v>1</v>
      </c>
      <c r="I357" s="16" t="str">
        <f>_xlfn.XLOOKUP(C357,Product!$A:$A,Product!$G:$G,"NOT FOUND")</f>
        <v>bộ</v>
      </c>
      <c r="J357" s="20">
        <v>1730000</v>
      </c>
      <c r="K357" s="15" t="s">
        <v>1323</v>
      </c>
      <c r="L357" s="21">
        <v>500</v>
      </c>
      <c r="M357" s="10" t="s">
        <v>1083</v>
      </c>
      <c r="N357" s="12">
        <v>311</v>
      </c>
      <c r="O357" t="str">
        <f t="shared" si="11"/>
        <v>INSERT INTO public.medical_supply_sellable_unit (code, price, quantity, sale_uom, product_variant_code) VALUES ('PRODUCT-00191-001-01', 1730000, 1, 'Bộ', 'PRODUCT-00191-001');</v>
      </c>
    </row>
    <row r="358" spans="1:15" x14ac:dyDescent="0.25">
      <c r="A358" s="10" t="str">
        <f>B358&amp;"-"&amp;TEXT(COUNTIF(B$2:B358,B358),"00")</f>
        <v>PRODUCT-00192-001-01</v>
      </c>
      <c r="B358" s="11" t="s">
        <v>1967</v>
      </c>
      <c r="C358" s="10" t="str">
        <f>_xlfn.XLOOKUP(B358,'Product Variant'!$A:$A,'Product Variant'!$B:$B,"NOT FOUND")</f>
        <v>PRODUCT-00192</v>
      </c>
      <c r="D358" s="10" t="str">
        <f>_xlfn.XLOOKUP(B358,'Product Variant'!$A:$A,'Product Variant'!$C:$C,"NOT FOUND")</f>
        <v>[Omron] Máy đo huyết áp bắp tay - JPN750</v>
      </c>
      <c r="E358" s="10" t="str" cm="1">
        <f t="array" ref="E358">_xlfn.TEXTJOIN(" / ",TRUE,_xlfn.XLOOKUP(B358&amp;"|ATTR-27",'Product Variant Attribute'!$A$2:$A$2000&amp;"|"&amp;'Product Variant Attribute'!$D$2:$D$2000,'Product Variant Attribute'!$F$2:$F$2000,""),_xlfn.XLOOKUP(B358&amp;"|ATTR-24",'Product Variant Attribute'!$A$2:$A$2000&amp;"|"&amp;'Product Variant Attribute'!$D$2:$D$2000,'Product Variant Attribute'!$F$2:$F$2000,""))</f>
        <v/>
      </c>
      <c r="F358" s="11" t="s">
        <v>815</v>
      </c>
      <c r="G358" s="11" t="s">
        <v>826</v>
      </c>
      <c r="H358" s="13">
        <f t="shared" si="10"/>
        <v>1</v>
      </c>
      <c r="I358" s="16" t="str">
        <f>_xlfn.XLOOKUP(C358,Product!$A:$A,Product!$G:$G,"NOT FOUND")</f>
        <v>bộ</v>
      </c>
      <c r="J358" s="20">
        <v>1900000</v>
      </c>
      <c r="K358" s="15" t="s">
        <v>1323</v>
      </c>
      <c r="L358" s="21">
        <v>155</v>
      </c>
      <c r="M358" s="10" t="s">
        <v>1084</v>
      </c>
      <c r="N358" s="12">
        <v>312</v>
      </c>
      <c r="O358" t="str">
        <f t="shared" si="11"/>
        <v>INSERT INTO public.medical_supply_sellable_unit (code, price, quantity, sale_uom, product_variant_code) VALUES ('PRODUCT-00192-001-01', 1900000, 1, 'Bộ', 'PRODUCT-00192-001');</v>
      </c>
    </row>
    <row r="359" spans="1:15" x14ac:dyDescent="0.25">
      <c r="A359" s="10" t="str">
        <f>B359&amp;"-"&amp;TEXT(COUNTIF(B$2:B359,B359),"00")</f>
        <v>PRODUCT-00193-001-01</v>
      </c>
      <c r="B359" s="11" t="s">
        <v>1968</v>
      </c>
      <c r="C359" s="10" t="str">
        <f>_xlfn.XLOOKUP(B359,'Product Variant'!$A:$A,'Product Variant'!$B:$B,"NOT FOUND")</f>
        <v>PRODUCT-00193</v>
      </c>
      <c r="D359" s="10" t="str">
        <f>_xlfn.XLOOKUP(B359,'Product Variant'!$A:$A,'Product Variant'!$C:$C,"NOT FOUND")</f>
        <v>[Omron] Máy đo huyết áp bắp tay kết nối Bluetooth - HEM-7156T</v>
      </c>
      <c r="E359" s="10" t="str" cm="1">
        <f t="array" ref="E359">_xlfn.TEXTJOIN(" / ",TRUE,_xlfn.XLOOKUP(B359&amp;"|ATTR-27",'Product Variant Attribute'!$A$2:$A$2000&amp;"|"&amp;'Product Variant Attribute'!$D$2:$D$2000,'Product Variant Attribute'!$F$2:$F$2000,""),_xlfn.XLOOKUP(B359&amp;"|ATTR-24",'Product Variant Attribute'!$A$2:$A$2000&amp;"|"&amp;'Product Variant Attribute'!$D$2:$D$2000,'Product Variant Attribute'!$F$2:$F$2000,""))</f>
        <v/>
      </c>
      <c r="F359" s="11" t="s">
        <v>815</v>
      </c>
      <c r="G359" s="11" t="s">
        <v>826</v>
      </c>
      <c r="H359" s="13">
        <f t="shared" si="10"/>
        <v>1</v>
      </c>
      <c r="I359" s="16" t="str">
        <f>_xlfn.XLOOKUP(C359,Product!$A:$A,Product!$G:$G,"NOT FOUND")</f>
        <v>bộ</v>
      </c>
      <c r="J359" s="20">
        <v>1350000</v>
      </c>
      <c r="K359" s="15" t="s">
        <v>1323</v>
      </c>
      <c r="L359" s="21">
        <v>25</v>
      </c>
      <c r="M359" s="10" t="s">
        <v>1085</v>
      </c>
      <c r="N359" s="12">
        <v>310</v>
      </c>
      <c r="O359" t="str">
        <f t="shared" si="11"/>
        <v>INSERT INTO public.medical_supply_sellable_unit (code, price, quantity, sale_uom, product_variant_code) VALUES ('PRODUCT-00193-001-01', 1350000, 1, 'Bộ', 'PRODUCT-00193-001');</v>
      </c>
    </row>
    <row r="360" spans="1:15" x14ac:dyDescent="0.25">
      <c r="A360" s="10" t="str">
        <f>B360&amp;"-"&amp;TEXT(COUNTIF(B$2:B360,B360),"00")</f>
        <v>PRODUCT-00194-001-01</v>
      </c>
      <c r="B360" s="11" t="s">
        <v>1969</v>
      </c>
      <c r="C360" s="10" t="str">
        <f>_xlfn.XLOOKUP(B360,'Product Variant'!$A:$A,'Product Variant'!$B:$B,"NOT FOUND")</f>
        <v>PRODUCT-00194</v>
      </c>
      <c r="D360" s="10" t="str">
        <f>_xlfn.XLOOKUP(B360,'Product Variant'!$A:$A,'Product Variant'!$C:$C,"NOT FOUND")</f>
        <v>[Omron] Máy đo huyết áp bắp tay tự động - HEM-7156</v>
      </c>
      <c r="E360" s="10" t="str" cm="1">
        <f t="array" ref="E360">_xlfn.TEXTJOIN(" / ",TRUE,_xlfn.XLOOKUP(B360&amp;"|ATTR-27",'Product Variant Attribute'!$A$2:$A$2000&amp;"|"&amp;'Product Variant Attribute'!$D$2:$D$2000,'Product Variant Attribute'!$F$2:$F$2000,""),_xlfn.XLOOKUP(B360&amp;"|ATTR-24",'Product Variant Attribute'!$A$2:$A$2000&amp;"|"&amp;'Product Variant Attribute'!$D$2:$D$2000,'Product Variant Attribute'!$F$2:$F$2000,""))</f>
        <v/>
      </c>
      <c r="F360" s="11" t="s">
        <v>815</v>
      </c>
      <c r="G360" s="11" t="s">
        <v>826</v>
      </c>
      <c r="H360" s="13">
        <f t="shared" si="10"/>
        <v>1</v>
      </c>
      <c r="I360" s="16" t="str">
        <f>_xlfn.XLOOKUP(C360,Product!$A:$A,Product!$G:$G,"NOT FOUND")</f>
        <v>bộ</v>
      </c>
      <c r="J360" s="20">
        <v>1270000</v>
      </c>
      <c r="K360" s="15" t="s">
        <v>1323</v>
      </c>
      <c r="L360" s="21">
        <v>501</v>
      </c>
      <c r="M360" s="10" t="s">
        <v>1086</v>
      </c>
      <c r="N360" s="12">
        <v>313</v>
      </c>
      <c r="O360" t="str">
        <f t="shared" si="11"/>
        <v>INSERT INTO public.medical_supply_sellable_unit (code, price, quantity, sale_uom, product_variant_code) VALUES ('PRODUCT-00194-001-01', 1270000, 1, 'Bộ', 'PRODUCT-00194-001');</v>
      </c>
    </row>
    <row r="361" spans="1:15" x14ac:dyDescent="0.25">
      <c r="A361" s="10" t="str">
        <f>B361&amp;"-"&amp;TEXT(COUNTIF(B$2:B361,B361),"00")</f>
        <v>PRODUCT-00195-001-01</v>
      </c>
      <c r="B361" s="11" t="s">
        <v>1970</v>
      </c>
      <c r="C361" s="10" t="str">
        <f>_xlfn.XLOOKUP(B361,'Product Variant'!$A:$A,'Product Variant'!$B:$B,"NOT FOUND")</f>
        <v>PRODUCT-00195</v>
      </c>
      <c r="D361" s="10" t="str">
        <f>_xlfn.XLOOKUP(B361,'Product Variant'!$A:$A,'Product Variant'!$C:$C,"NOT FOUND")</f>
        <v>[Omron] Máy đo huyết áp tự động - HEM-7180 (EZ Lite)</v>
      </c>
      <c r="E361" s="10" t="str" cm="1">
        <f t="array" ref="E361">_xlfn.TEXTJOIN(" / ",TRUE,_xlfn.XLOOKUP(B361&amp;"|ATTR-27",'Product Variant Attribute'!$A$2:$A$2000&amp;"|"&amp;'Product Variant Attribute'!$D$2:$D$2000,'Product Variant Attribute'!$F$2:$F$2000,""),_xlfn.XLOOKUP(B361&amp;"|ATTR-24",'Product Variant Attribute'!$A$2:$A$2000&amp;"|"&amp;'Product Variant Attribute'!$D$2:$D$2000,'Product Variant Attribute'!$F$2:$F$2000,""))</f>
        <v/>
      </c>
      <c r="F361" s="11" t="s">
        <v>815</v>
      </c>
      <c r="G361" s="11" t="s">
        <v>826</v>
      </c>
      <c r="H361" s="13">
        <f t="shared" si="10"/>
        <v>1</v>
      </c>
      <c r="I361" s="16" t="str">
        <f>_xlfn.XLOOKUP(C361,Product!$A:$A,Product!$G:$G,"NOT FOUND")</f>
        <v>bộ</v>
      </c>
      <c r="J361" s="20">
        <v>819000</v>
      </c>
      <c r="K361" s="15" t="s">
        <v>1323</v>
      </c>
      <c r="L361" s="21">
        <v>502</v>
      </c>
      <c r="M361" s="10" t="s">
        <v>1087</v>
      </c>
      <c r="N361" s="12">
        <v>314</v>
      </c>
      <c r="O361" t="str">
        <f t="shared" si="11"/>
        <v>INSERT INTO public.medical_supply_sellable_unit (code, price, quantity, sale_uom, product_variant_code) VALUES ('PRODUCT-00195-001-01', 819000, 1, 'Bộ', 'PRODUCT-00195-001');</v>
      </c>
    </row>
    <row r="362" spans="1:15" x14ac:dyDescent="0.25">
      <c r="A362" s="10" t="str">
        <f>B362&amp;"-"&amp;TEXT(COUNTIF(B$2:B362,B362),"00")</f>
        <v>PRODUCT-00196-001-01</v>
      </c>
      <c r="B362" s="11" t="s">
        <v>1971</v>
      </c>
      <c r="C362" s="10" t="str">
        <f>_xlfn.XLOOKUP(B362,'Product Variant'!$A:$A,'Product Variant'!$B:$B,"NOT FOUND")</f>
        <v>PRODUCT-00196</v>
      </c>
      <c r="D362" s="10" t="str">
        <f>_xlfn.XLOOKUP(B362,'Product Variant'!$A:$A,'Product Variant'!$C:$C,"NOT FOUND")</f>
        <v>[Omron] Máy đo huyết áp tự động kết nối Bluetooth - HEM-7142T1</v>
      </c>
      <c r="E362" s="10" t="str" cm="1">
        <f t="array" ref="E362">_xlfn.TEXTJOIN(" / ",TRUE,_xlfn.XLOOKUP(B362&amp;"|ATTR-27",'Product Variant Attribute'!$A$2:$A$2000&amp;"|"&amp;'Product Variant Attribute'!$D$2:$D$2000,'Product Variant Attribute'!$F$2:$F$2000,""),_xlfn.XLOOKUP(B362&amp;"|ATTR-24",'Product Variant Attribute'!$A$2:$A$2000&amp;"|"&amp;'Product Variant Attribute'!$D$2:$D$2000,'Product Variant Attribute'!$F$2:$F$2000,""))</f>
        <v/>
      </c>
      <c r="F362" s="11" t="s">
        <v>815</v>
      </c>
      <c r="G362" s="11" t="s">
        <v>826</v>
      </c>
      <c r="H362" s="13">
        <f t="shared" si="10"/>
        <v>1</v>
      </c>
      <c r="I362" s="16" t="str">
        <f>_xlfn.XLOOKUP(C362,Product!$A:$A,Product!$G:$G,"NOT FOUND")</f>
        <v>bộ</v>
      </c>
      <c r="J362" s="20">
        <v>850000</v>
      </c>
      <c r="K362" s="15" t="s">
        <v>1323</v>
      </c>
      <c r="L362" s="21">
        <v>356</v>
      </c>
      <c r="M362" s="10" t="s">
        <v>1088</v>
      </c>
      <c r="N362" s="12">
        <v>315</v>
      </c>
      <c r="O362" t="str">
        <f t="shared" si="11"/>
        <v>INSERT INTO public.medical_supply_sellable_unit (code, price, quantity, sale_uom, product_variant_code) VALUES ('PRODUCT-00196-001-01', 850000, 1, 'Bộ', 'PRODUCT-00196-001');</v>
      </c>
    </row>
    <row r="363" spans="1:15" x14ac:dyDescent="0.25">
      <c r="A363" s="10" t="str">
        <f>B363&amp;"-"&amp;TEXT(COUNTIF(B$2:B363,B363),"00")</f>
        <v>PRODUCT-00197-001-01</v>
      </c>
      <c r="B363" s="11" t="s">
        <v>1972</v>
      </c>
      <c r="C363" s="10" t="str">
        <f>_xlfn.XLOOKUP(B363,'Product Variant'!$A:$A,'Product Variant'!$B:$B,"NOT FOUND")</f>
        <v>PRODUCT-00197</v>
      </c>
      <c r="D363" s="10" t="str">
        <f>_xlfn.XLOOKUP(B363,'Product Variant'!$A:$A,'Product Variant'!$C:$C,"NOT FOUND")</f>
        <v>[Omron] Máy đo huyết áp tự động kết nối Bluetooth - HEM-7142T2</v>
      </c>
      <c r="E363" s="10" t="str" cm="1">
        <f t="array" ref="E363">_xlfn.TEXTJOIN(" / ",TRUE,_xlfn.XLOOKUP(B363&amp;"|ATTR-27",'Product Variant Attribute'!$A$2:$A$2000&amp;"|"&amp;'Product Variant Attribute'!$D$2:$D$2000,'Product Variant Attribute'!$F$2:$F$2000,""),_xlfn.XLOOKUP(B363&amp;"|ATTR-24",'Product Variant Attribute'!$A$2:$A$2000&amp;"|"&amp;'Product Variant Attribute'!$D$2:$D$2000,'Product Variant Attribute'!$F$2:$F$2000,""))</f>
        <v/>
      </c>
      <c r="F363" s="11" t="s">
        <v>815</v>
      </c>
      <c r="G363" s="11" t="s">
        <v>826</v>
      </c>
      <c r="H363" s="13">
        <f t="shared" si="10"/>
        <v>1</v>
      </c>
      <c r="I363" s="16" t="str">
        <f>_xlfn.XLOOKUP(C363,Product!$A:$A,Product!$G:$G,"NOT FOUND")</f>
        <v>bộ</v>
      </c>
      <c r="J363" s="20">
        <v>850000</v>
      </c>
      <c r="K363" s="15" t="s">
        <v>1323</v>
      </c>
      <c r="L363" s="21">
        <v>168</v>
      </c>
      <c r="M363" s="10" t="s">
        <v>1089</v>
      </c>
      <c r="N363" s="12">
        <v>316</v>
      </c>
      <c r="O363" t="str">
        <f t="shared" si="11"/>
        <v>INSERT INTO public.medical_supply_sellable_unit (code, price, quantity, sale_uom, product_variant_code) VALUES ('PRODUCT-00197-001-01', 850000, 1, 'Bộ', 'PRODUCT-00197-001');</v>
      </c>
    </row>
    <row r="364" spans="1:15" x14ac:dyDescent="0.25">
      <c r="A364" s="10" t="str">
        <f>B364&amp;"-"&amp;TEXT(COUNTIF(B$2:B364,B364),"00")</f>
        <v>PRODUCT-00198-001-01</v>
      </c>
      <c r="B364" s="11" t="s">
        <v>1973</v>
      </c>
      <c r="C364" s="10" t="str">
        <f>_xlfn.XLOOKUP(B364,'Product Variant'!$A:$A,'Product Variant'!$B:$B,"NOT FOUND")</f>
        <v>PRODUCT-00198</v>
      </c>
      <c r="D364" s="10" t="str">
        <f>_xlfn.XLOOKUP(B364,'Product Variant'!$A:$A,'Product Variant'!$C:$C,"NOT FOUND")</f>
        <v>[Omron] Máy đo huyết áp tự động kết nối Bluetooth - HEM-7143T1</v>
      </c>
      <c r="E364" s="10" t="str" cm="1">
        <f t="array" ref="E364">_xlfn.TEXTJOIN(" / ",TRUE,_xlfn.XLOOKUP(B364&amp;"|ATTR-27",'Product Variant Attribute'!$A$2:$A$2000&amp;"|"&amp;'Product Variant Attribute'!$D$2:$D$2000,'Product Variant Attribute'!$F$2:$F$2000,""),_xlfn.XLOOKUP(B364&amp;"|ATTR-24",'Product Variant Attribute'!$A$2:$A$2000&amp;"|"&amp;'Product Variant Attribute'!$D$2:$D$2000,'Product Variant Attribute'!$F$2:$F$2000,""))</f>
        <v/>
      </c>
      <c r="F364" s="11" t="s">
        <v>815</v>
      </c>
      <c r="G364" s="11" t="s">
        <v>826</v>
      </c>
      <c r="H364" s="13">
        <f t="shared" si="10"/>
        <v>1</v>
      </c>
      <c r="I364" s="16" t="str">
        <f>_xlfn.XLOOKUP(C364,Product!$A:$A,Product!$G:$G,"NOT FOUND")</f>
        <v>bộ</v>
      </c>
      <c r="J364" s="20">
        <v>1190000</v>
      </c>
      <c r="K364" s="15" t="s">
        <v>1323</v>
      </c>
      <c r="L364" s="21">
        <v>22</v>
      </c>
      <c r="M364" s="10" t="s">
        <v>1090</v>
      </c>
      <c r="N364" s="12">
        <v>317</v>
      </c>
      <c r="O364" t="str">
        <f t="shared" si="11"/>
        <v>INSERT INTO public.medical_supply_sellable_unit (code, price, quantity, sale_uom, product_variant_code) VALUES ('PRODUCT-00198-001-01', 1190000, 1, 'Bộ', 'PRODUCT-00198-001');</v>
      </c>
    </row>
    <row r="365" spans="1:15" x14ac:dyDescent="0.25">
      <c r="A365" s="10" t="str">
        <f>B365&amp;"-"&amp;TEXT(COUNTIF(B$2:B365,B365),"00")</f>
        <v>PRODUCT-00199-001-01</v>
      </c>
      <c r="B365" s="11" t="s">
        <v>1974</v>
      </c>
      <c r="C365" s="10" t="str">
        <f>_xlfn.XLOOKUP(B365,'Product Variant'!$A:$A,'Product Variant'!$B:$B,"NOT FOUND")</f>
        <v>PRODUCT-00199</v>
      </c>
      <c r="D365" s="10" t="str">
        <f>_xlfn.XLOOKUP(B365,'Product Variant'!$A:$A,'Product Variant'!$C:$C,"NOT FOUND")</f>
        <v>[Omron] Máy đo thành phần cơ thể - HBF-375</v>
      </c>
      <c r="E365" s="10" t="str" cm="1">
        <f t="array" ref="E365">_xlfn.TEXTJOIN(" / ",TRUE,_xlfn.XLOOKUP(B365&amp;"|ATTR-27",'Product Variant Attribute'!$A$2:$A$2000&amp;"|"&amp;'Product Variant Attribute'!$D$2:$D$2000,'Product Variant Attribute'!$F$2:$F$2000,""),_xlfn.XLOOKUP(B365&amp;"|ATTR-24",'Product Variant Attribute'!$A$2:$A$2000&amp;"|"&amp;'Product Variant Attribute'!$D$2:$D$2000,'Product Variant Attribute'!$F$2:$F$2000,""))</f>
        <v/>
      </c>
      <c r="F365" s="11" t="s">
        <v>815</v>
      </c>
      <c r="G365" s="11" t="s">
        <v>826</v>
      </c>
      <c r="H365" s="13">
        <f t="shared" si="10"/>
        <v>1</v>
      </c>
      <c r="I365" s="16" t="str">
        <f>_xlfn.XLOOKUP(C365,Product!$A:$A,Product!$G:$G,"NOT FOUND")</f>
        <v>bộ</v>
      </c>
      <c r="J365" s="20">
        <v>3900000</v>
      </c>
      <c r="K365" s="15" t="s">
        <v>1323</v>
      </c>
      <c r="L365" s="21">
        <v>490</v>
      </c>
      <c r="M365" s="10" t="s">
        <v>1091</v>
      </c>
      <c r="N365" s="12">
        <v>320</v>
      </c>
      <c r="O365" t="str">
        <f t="shared" si="11"/>
        <v>INSERT INTO public.medical_supply_sellable_unit (code, price, quantity, sale_uom, product_variant_code) VALUES ('PRODUCT-00199-001-01', 3900000, 1, 'Bộ', 'PRODUCT-00199-001');</v>
      </c>
    </row>
    <row r="366" spans="1:15" x14ac:dyDescent="0.25">
      <c r="A366" s="10" t="str">
        <f>B366&amp;"-"&amp;TEXT(COUNTIF(B$2:B366,B366),"00")</f>
        <v>PRODUCT-00200-001-01</v>
      </c>
      <c r="B366" s="11" t="s">
        <v>1975</v>
      </c>
      <c r="C366" s="10" t="str">
        <f>_xlfn.XLOOKUP(B366,'Product Variant'!$A:$A,'Product Variant'!$B:$B,"NOT FOUND")</f>
        <v>PRODUCT-00200</v>
      </c>
      <c r="D366" s="10" t="str">
        <f>_xlfn.XLOOKUP(B366,'Product Variant'!$A:$A,'Product Variant'!$C:$C,"NOT FOUND")</f>
        <v>[Omron] Nhiệt kế điện tử - MC-246</v>
      </c>
      <c r="E366" s="10" t="str" cm="1">
        <f t="array" ref="E366">_xlfn.TEXTJOIN(" / ",TRUE,_xlfn.XLOOKUP(B366&amp;"|ATTR-27",'Product Variant Attribute'!$A$2:$A$2000&amp;"|"&amp;'Product Variant Attribute'!$D$2:$D$2000,'Product Variant Attribute'!$F$2:$F$2000,""),_xlfn.XLOOKUP(B366&amp;"|ATTR-24",'Product Variant Attribute'!$A$2:$A$2000&amp;"|"&amp;'Product Variant Attribute'!$D$2:$D$2000,'Product Variant Attribute'!$F$2:$F$2000,""))</f>
        <v/>
      </c>
      <c r="F366" s="11" t="s">
        <v>818</v>
      </c>
      <c r="G366" s="11" t="s">
        <v>927</v>
      </c>
      <c r="H366" s="13">
        <f t="shared" si="10"/>
        <v>1</v>
      </c>
      <c r="I366" s="16" t="str">
        <f>_xlfn.XLOOKUP(C366,Product!$A:$A,Product!$G:$G,"NOT FOUND")</f>
        <v>cái</v>
      </c>
      <c r="J366" s="22"/>
      <c r="K366" s="15" t="s">
        <v>1468</v>
      </c>
      <c r="L366" s="21">
        <v>496</v>
      </c>
      <c r="M366" s="10" t="s">
        <v>1092</v>
      </c>
      <c r="N366" s="12">
        <v>371</v>
      </c>
      <c r="O366" t="str">
        <f t="shared" si="11"/>
        <v>INSERT INTO public.medical_supply_sellable_unit (code, price, quantity, sale_uom, product_variant_code) VALUES ('PRODUCT-00200-001-01', NULL, 1, 'Cái', 'PRODUCT-00200-001');</v>
      </c>
    </row>
    <row r="367" spans="1:15" x14ac:dyDescent="0.25">
      <c r="A367" s="10" t="str">
        <f>B367&amp;"-"&amp;TEXT(COUNTIF(B$2:B367,B367),"00")</f>
        <v>PRODUCT-00201-001-01</v>
      </c>
      <c r="B367" s="11" t="s">
        <v>1976</v>
      </c>
      <c r="C367" s="10" t="str">
        <f>_xlfn.XLOOKUP(B367,'Product Variant'!$A:$A,'Product Variant'!$B:$B,"NOT FOUND")</f>
        <v>PRODUCT-00201</v>
      </c>
      <c r="D367" s="10" t="str">
        <f>_xlfn.XLOOKUP(B367,'Product Variant'!$A:$A,'Product Variant'!$C:$C,"NOT FOUND")</f>
        <v>[Omron] Nhiệt kế điện tử đo trán - MC-720</v>
      </c>
      <c r="E367" s="10" t="str" cm="1">
        <f t="array" ref="E367">_xlfn.TEXTJOIN(" / ",TRUE,_xlfn.XLOOKUP(B367&amp;"|ATTR-27",'Product Variant Attribute'!$A$2:$A$2000&amp;"|"&amp;'Product Variant Attribute'!$D$2:$D$2000,'Product Variant Attribute'!$F$2:$F$2000,""),_xlfn.XLOOKUP(B367&amp;"|ATTR-24",'Product Variant Attribute'!$A$2:$A$2000&amp;"|"&amp;'Product Variant Attribute'!$D$2:$D$2000,'Product Variant Attribute'!$F$2:$F$2000,""))</f>
        <v/>
      </c>
      <c r="F367" s="11" t="s">
        <v>818</v>
      </c>
      <c r="G367" s="11" t="s">
        <v>927</v>
      </c>
      <c r="H367" s="13">
        <f t="shared" si="10"/>
        <v>1</v>
      </c>
      <c r="I367" s="16" t="str">
        <f>_xlfn.XLOOKUP(C367,Product!$A:$A,Product!$G:$G,"NOT FOUND")</f>
        <v>cái</v>
      </c>
      <c r="J367" s="22"/>
      <c r="K367" s="15" t="s">
        <v>1468</v>
      </c>
      <c r="L367" s="21">
        <v>495</v>
      </c>
      <c r="M367" s="10" t="s">
        <v>1093</v>
      </c>
      <c r="N367" s="12">
        <v>370</v>
      </c>
      <c r="O367" t="str">
        <f t="shared" si="11"/>
        <v>INSERT INTO public.medical_supply_sellable_unit (code, price, quantity, sale_uom, product_variant_code) VALUES ('PRODUCT-00201-001-01', NULL, 1, 'Cái', 'PRODUCT-00201-001');</v>
      </c>
    </row>
    <row r="368" spans="1:15" x14ac:dyDescent="0.25">
      <c r="A368" s="10" t="str">
        <f>B368&amp;"-"&amp;TEXT(COUNTIF(B$2:B368,B368),"00")</f>
        <v>PRODUCT-00202-001-01</v>
      </c>
      <c r="B368" s="11" t="s">
        <v>1977</v>
      </c>
      <c r="C368" s="10" t="str">
        <f>_xlfn.XLOOKUP(B368,'Product Variant'!$A:$A,'Product Variant'!$B:$B,"NOT FOUND")</f>
        <v>PRODUCT-00202</v>
      </c>
      <c r="D368" s="10" t="str">
        <f>_xlfn.XLOOKUP(B368,'Product Variant'!$A:$A,'Product Variant'!$C:$C,"NOT FOUND")</f>
        <v>[Roche] Máy đo đường huyết - Accu-Chek Instant</v>
      </c>
      <c r="E368" s="10" t="str" cm="1">
        <f t="array" ref="E368">_xlfn.TEXTJOIN(" / ",TRUE,_xlfn.XLOOKUP(B368&amp;"|ATTR-27",'Product Variant Attribute'!$A$2:$A$2000&amp;"|"&amp;'Product Variant Attribute'!$D$2:$D$2000,'Product Variant Attribute'!$F$2:$F$2000,""),_xlfn.XLOOKUP(B368&amp;"|ATTR-24",'Product Variant Attribute'!$A$2:$A$2000&amp;"|"&amp;'Product Variant Attribute'!$D$2:$D$2000,'Product Variant Attribute'!$F$2:$F$2000,""))</f>
        <v/>
      </c>
      <c r="F368" s="11" t="s">
        <v>815</v>
      </c>
      <c r="G368" s="11" t="s">
        <v>826</v>
      </c>
      <c r="H368" s="13">
        <f t="shared" ref="H368:H431" si="12">IFERROR(--LEFT(G368,FIND(" ",G368&amp;" ")-1),"")</f>
        <v>1</v>
      </c>
      <c r="I368" s="16" t="str">
        <f>_xlfn.XLOOKUP(C368,Product!$A:$A,Product!$G:$G,"NOT FOUND")</f>
        <v>bộ</v>
      </c>
      <c r="J368" s="20">
        <v>960000</v>
      </c>
      <c r="K368" s="15" t="s">
        <v>1323</v>
      </c>
      <c r="L368" s="21">
        <v>369</v>
      </c>
      <c r="M368" s="10" t="s">
        <v>1094</v>
      </c>
      <c r="N368" s="12">
        <v>304</v>
      </c>
      <c r="O368" t="str">
        <f t="shared" si="11"/>
        <v>INSERT INTO public.medical_supply_sellable_unit (code, price, quantity, sale_uom, product_variant_code) VALUES ('PRODUCT-00202-001-01', 960000, 1, 'Bộ', 'PRODUCT-00202-001');</v>
      </c>
    </row>
    <row r="369" spans="1:15" x14ac:dyDescent="0.25">
      <c r="A369" s="10" t="str">
        <f>B369&amp;"-"&amp;TEXT(COUNTIF(B$2:B369,B369),"00")</f>
        <v>PRODUCT-00203-001-01</v>
      </c>
      <c r="B369" s="11" t="s">
        <v>1978</v>
      </c>
      <c r="C369" s="10" t="str">
        <f>_xlfn.XLOOKUP(B369,'Product Variant'!$A:$A,'Product Variant'!$B:$B,"NOT FOUND")</f>
        <v>PRODUCT-00203</v>
      </c>
      <c r="D369" s="10" t="str">
        <f>_xlfn.XLOOKUP(B369,'Product Variant'!$A:$A,'Product Variant'!$C:$C,"NOT FOUND")</f>
        <v>[Roche] Que thử đường huyết - Accu-Chek Instant</v>
      </c>
      <c r="E369" s="10" t="str" cm="1">
        <f t="array" ref="E369">_xlfn.TEXTJOIN(" / ",TRUE,_xlfn.XLOOKUP(B369&amp;"|ATTR-27",'Product Variant Attribute'!$A$2:$A$2000&amp;"|"&amp;'Product Variant Attribute'!$D$2:$D$2000,'Product Variant Attribute'!$F$2:$F$2000,""),_xlfn.XLOOKUP(B369&amp;"|ATTR-24",'Product Variant Attribute'!$A$2:$A$2000&amp;"|"&amp;'Product Variant Attribute'!$D$2:$D$2000,'Product Variant Attribute'!$F$2:$F$2000,""))</f>
        <v/>
      </c>
      <c r="F369" s="11" t="s">
        <v>816</v>
      </c>
      <c r="G369" s="11" t="s">
        <v>1473</v>
      </c>
      <c r="H369" s="13">
        <f t="shared" si="12"/>
        <v>50</v>
      </c>
      <c r="I369" s="16" t="str">
        <f>_xlfn.XLOOKUP(C369,Product!$A:$A,Product!$G:$G,"NOT FOUND")</f>
        <v>que</v>
      </c>
      <c r="J369" s="20">
        <v>360000</v>
      </c>
      <c r="K369" s="15" t="s">
        <v>1323</v>
      </c>
      <c r="L369" s="21">
        <v>376</v>
      </c>
      <c r="M369" s="10" t="s">
        <v>1095</v>
      </c>
      <c r="N369" s="12">
        <v>451</v>
      </c>
      <c r="O369" t="str">
        <f t="shared" si="11"/>
        <v>INSERT INTO public.medical_supply_sellable_unit (code, price, quantity, sale_uom, product_variant_code) VALUES ('PRODUCT-00203-001-01', 360000, 50, 'Hộp', 'PRODUCT-00203-001');</v>
      </c>
    </row>
    <row r="370" spans="1:15" x14ac:dyDescent="0.25">
      <c r="A370" s="10" t="str">
        <f>B370&amp;"-"&amp;TEXT(COUNTIF(B$2:B370,B370),"00")</f>
        <v>PRODUCT-00204-001-01</v>
      </c>
      <c r="B370" s="11" t="s">
        <v>1979</v>
      </c>
      <c r="C370" s="10" t="str">
        <f>_xlfn.XLOOKUP(B370,'Product Variant'!$A:$A,'Product Variant'!$B:$B,"NOT FOUND")</f>
        <v>PRODUCT-00204</v>
      </c>
      <c r="D370" s="10" t="str">
        <f>_xlfn.XLOOKUP(B370,'Product Variant'!$A:$A,'Product Variant'!$C:$C,"NOT FOUND")</f>
        <v>[Sinocare] Hệ thống đo đường huyết liên tục CGM - iCan i3</v>
      </c>
      <c r="E370" s="10" t="str" cm="1">
        <f t="array" ref="E370">_xlfn.TEXTJOIN(" / ",TRUE,_xlfn.XLOOKUP(B370&amp;"|ATTR-27",'Product Variant Attribute'!$A$2:$A$2000&amp;"|"&amp;'Product Variant Attribute'!$D$2:$D$2000,'Product Variant Attribute'!$F$2:$F$2000,""),_xlfn.XLOOKUP(B370&amp;"|ATTR-24",'Product Variant Attribute'!$A$2:$A$2000&amp;"|"&amp;'Product Variant Attribute'!$D$2:$D$2000,'Product Variant Attribute'!$F$2:$F$2000,""))</f>
        <v/>
      </c>
      <c r="F370" s="11" t="s">
        <v>815</v>
      </c>
      <c r="G370" s="11" t="s">
        <v>826</v>
      </c>
      <c r="H370" s="13">
        <f t="shared" si="12"/>
        <v>1</v>
      </c>
      <c r="I370" s="16" t="str">
        <f>_xlfn.XLOOKUP(C370,Product!$A:$A,Product!$G:$G,"NOT FOUND")</f>
        <v>bộ</v>
      </c>
      <c r="J370" s="20">
        <v>1200000</v>
      </c>
      <c r="K370" s="15" t="s">
        <v>1323</v>
      </c>
      <c r="L370" s="21">
        <v>79</v>
      </c>
      <c r="M370" s="10" t="s">
        <v>1096</v>
      </c>
      <c r="N370" s="12">
        <v>268</v>
      </c>
      <c r="O370" t="str">
        <f t="shared" si="11"/>
        <v>INSERT INTO public.medical_supply_sellable_unit (code, price, quantity, sale_uom, product_variant_code) VALUES ('PRODUCT-00204-001-01', 1200000, 1, 'Bộ', 'PRODUCT-00204-001');</v>
      </c>
    </row>
    <row r="371" spans="1:15" x14ac:dyDescent="0.25">
      <c r="A371" s="10" t="str">
        <f>B371&amp;"-"&amp;TEXT(COUNTIF(B$2:B371,B371),"00")</f>
        <v>PRODUCT-00205-001-01</v>
      </c>
      <c r="B371" s="11" t="s">
        <v>1980</v>
      </c>
      <c r="C371" s="10" t="str">
        <f>_xlfn.XLOOKUP(B371,'Product Variant'!$A:$A,'Product Variant'!$B:$B,"NOT FOUND")</f>
        <v>PRODUCT-00205</v>
      </c>
      <c r="D371" s="10" t="str">
        <f>_xlfn.XLOOKUP(B371,'Product Variant'!$A:$A,'Product Variant'!$C:$C,"NOT FOUND")</f>
        <v>[Sinocare] Máy đo đường huyết - Safe-Accu</v>
      </c>
      <c r="E371" s="10" t="str" cm="1">
        <f t="array" ref="E371">_xlfn.TEXTJOIN(" / ",TRUE,_xlfn.XLOOKUP(B371&amp;"|ATTR-27",'Product Variant Attribute'!$A$2:$A$2000&amp;"|"&amp;'Product Variant Attribute'!$D$2:$D$2000,'Product Variant Attribute'!$F$2:$F$2000,""),_xlfn.XLOOKUP(B371&amp;"|ATTR-24",'Product Variant Attribute'!$A$2:$A$2000&amp;"|"&amp;'Product Variant Attribute'!$D$2:$D$2000,'Product Variant Attribute'!$F$2:$F$2000,""))</f>
        <v/>
      </c>
      <c r="F371" s="11" t="s">
        <v>815</v>
      </c>
      <c r="G371" s="11" t="s">
        <v>826</v>
      </c>
      <c r="H371" s="13">
        <f t="shared" si="12"/>
        <v>1</v>
      </c>
      <c r="I371" s="16" t="str">
        <f>_xlfn.XLOOKUP(C371,Product!$A:$A,Product!$G:$G,"NOT FOUND")</f>
        <v>bộ</v>
      </c>
      <c r="J371" s="20">
        <v>280000</v>
      </c>
      <c r="K371" s="15" t="s">
        <v>1323</v>
      </c>
      <c r="L371" s="21">
        <v>368</v>
      </c>
      <c r="M371" s="10" t="s">
        <v>1097</v>
      </c>
      <c r="N371" s="12">
        <v>307</v>
      </c>
      <c r="O371" t="str">
        <f t="shared" si="11"/>
        <v>INSERT INTO public.medical_supply_sellable_unit (code, price, quantity, sale_uom, product_variant_code) VALUES ('PRODUCT-00205-001-01', 280000, 1, 'Bộ', 'PRODUCT-00205-001');</v>
      </c>
    </row>
    <row r="372" spans="1:15" x14ac:dyDescent="0.25">
      <c r="A372" s="10" t="str">
        <f>B372&amp;"-"&amp;TEXT(COUNTIF(B$2:B372,B372),"00")</f>
        <v>PRODUCT-00206-001-01</v>
      </c>
      <c r="B372" s="11" t="s">
        <v>1981</v>
      </c>
      <c r="C372" s="10" t="str">
        <f>_xlfn.XLOOKUP(B372,'Product Variant'!$A:$A,'Product Variant'!$B:$B,"NOT FOUND")</f>
        <v>PRODUCT-00206</v>
      </c>
      <c r="D372" s="10" t="str">
        <f>_xlfn.XLOOKUP(B372,'Product Variant'!$A:$A,'Product Variant'!$C:$C,"NOT FOUND")</f>
        <v>[Sinocare] Que thử đường huyết - Safe-Accu</v>
      </c>
      <c r="E372" s="10" t="str" cm="1">
        <f t="array" ref="E372">_xlfn.TEXTJOIN(" / ",TRUE,_xlfn.XLOOKUP(B372&amp;"|ATTR-27",'Product Variant Attribute'!$A$2:$A$2000&amp;"|"&amp;'Product Variant Attribute'!$D$2:$D$2000,'Product Variant Attribute'!$F$2:$F$2000,""),_xlfn.XLOOKUP(B372&amp;"|ATTR-24",'Product Variant Attribute'!$A$2:$A$2000&amp;"|"&amp;'Product Variant Attribute'!$D$2:$D$2000,'Product Variant Attribute'!$F$2:$F$2000,""))</f>
        <v/>
      </c>
      <c r="F372" s="11" t="s">
        <v>816</v>
      </c>
      <c r="G372" s="11" t="s">
        <v>1473</v>
      </c>
      <c r="H372" s="13">
        <f t="shared" si="12"/>
        <v>50</v>
      </c>
      <c r="I372" s="16" t="str">
        <f>_xlfn.XLOOKUP(C372,Product!$A:$A,Product!$G:$G,"NOT FOUND")</f>
        <v>que</v>
      </c>
      <c r="J372" s="20">
        <v>149000</v>
      </c>
      <c r="K372" s="15" t="s">
        <v>1323</v>
      </c>
      <c r="L372" s="21">
        <v>374</v>
      </c>
      <c r="M372" s="10" t="s">
        <v>1098</v>
      </c>
      <c r="N372" s="12">
        <v>456</v>
      </c>
      <c r="O372" t="str">
        <f t="shared" si="11"/>
        <v>INSERT INTO public.medical_supply_sellable_unit (code, price, quantity, sale_uom, product_variant_code) VALUES ('PRODUCT-00206-001-01', 149000, 50, 'Hộp', 'PRODUCT-00206-001');</v>
      </c>
    </row>
    <row r="373" spans="1:15" x14ac:dyDescent="0.25">
      <c r="A373" s="10" t="str">
        <f>B373&amp;"-"&amp;TEXT(COUNTIF(B$2:B373,B373),"00")</f>
        <v>PRODUCT-00207-001-01</v>
      </c>
      <c r="B373" s="11" t="s">
        <v>1982</v>
      </c>
      <c r="C373" s="10" t="str">
        <f>_xlfn.XLOOKUP(B373,'Product Variant'!$A:$A,'Product Variant'!$B:$B,"NOT FOUND")</f>
        <v>PRODUCT-00207</v>
      </c>
      <c r="D373" s="10" t="str">
        <f>_xlfn.XLOOKUP(B373,'Product Variant'!$A:$A,'Product Variant'!$C:$C,"NOT FOUND")</f>
        <v>[Create Medic] Bộ ống thông tiểu ngắt quãng silicon - Cliny</v>
      </c>
      <c r="E373" s="10" t="str" cm="1">
        <f t="array" ref="E373">_xlfn.TEXTJOIN(" / ",TRUE,_xlfn.XLOOKUP(B373&amp;"|ATTR-27",'Product Variant Attribute'!$A$2:$A$2000&amp;"|"&amp;'Product Variant Attribute'!$D$2:$D$2000,'Product Variant Attribute'!$F$2:$F$2000,""),_xlfn.XLOOKUP(B373&amp;"|ATTR-24",'Product Variant Attribute'!$A$2:$A$2000&amp;"|"&amp;'Product Variant Attribute'!$D$2:$D$2000,'Product Variant Attribute'!$F$2:$F$2000,""))</f>
        <v>12Fr</v>
      </c>
      <c r="F373" s="11" t="s">
        <v>818</v>
      </c>
      <c r="G373" s="11" t="s">
        <v>927</v>
      </c>
      <c r="H373" s="13">
        <f t="shared" si="12"/>
        <v>1</v>
      </c>
      <c r="I373" s="16" t="str">
        <f>_xlfn.XLOOKUP(C373,Product!$A:$A,Product!$G:$G,"NOT FOUND")</f>
        <v>cái</v>
      </c>
      <c r="J373" s="20">
        <v>840000</v>
      </c>
      <c r="K373" s="15" t="s">
        <v>1327</v>
      </c>
      <c r="L373" s="21" t="s">
        <v>1412</v>
      </c>
      <c r="M373" s="10" t="s">
        <v>1099</v>
      </c>
      <c r="N373" s="12" t="s">
        <v>1235</v>
      </c>
      <c r="O373" t="str">
        <f t="shared" si="11"/>
        <v>INSERT INTO public.medical_supply_sellable_unit (code, price, quantity, sale_uom, product_variant_code) VALUES ('PRODUCT-00207-001-01', 840000, 1, 'Cái', 'PRODUCT-00207-001');</v>
      </c>
    </row>
    <row r="374" spans="1:15" x14ac:dyDescent="0.25">
      <c r="A374" s="10" t="str">
        <f>B374&amp;"-"&amp;TEXT(COUNTIF(B$2:B374,B374),"00")</f>
        <v>PRODUCT-00207-002-01</v>
      </c>
      <c r="B374" s="11" t="s">
        <v>1983</v>
      </c>
      <c r="C374" s="10" t="str">
        <f>_xlfn.XLOOKUP(B374,'Product Variant'!$A:$A,'Product Variant'!$B:$B,"NOT FOUND")</f>
        <v>PRODUCT-00207</v>
      </c>
      <c r="D374" s="10" t="str">
        <f>_xlfn.XLOOKUP(B374,'Product Variant'!$A:$A,'Product Variant'!$C:$C,"NOT FOUND")</f>
        <v>[Create Medic] Bộ ống thông tiểu ngắt quãng silicon - Cliny</v>
      </c>
      <c r="E374" s="10" t="str" cm="1">
        <f t="array" ref="E374">_xlfn.TEXTJOIN(" / ",TRUE,_xlfn.XLOOKUP(B374&amp;"|ATTR-27",'Product Variant Attribute'!$A$2:$A$2000&amp;"|"&amp;'Product Variant Attribute'!$D$2:$D$2000,'Product Variant Attribute'!$F$2:$F$2000,""),_xlfn.XLOOKUP(B374&amp;"|ATTR-24",'Product Variant Attribute'!$A$2:$A$2000&amp;"|"&amp;'Product Variant Attribute'!$D$2:$D$2000,'Product Variant Attribute'!$F$2:$F$2000,""))</f>
        <v>14Fr</v>
      </c>
      <c r="F374" s="11" t="s">
        <v>818</v>
      </c>
      <c r="G374" s="11" t="s">
        <v>927</v>
      </c>
      <c r="H374" s="13">
        <f t="shared" si="12"/>
        <v>1</v>
      </c>
      <c r="I374" s="16" t="str">
        <f>_xlfn.XLOOKUP(C374,Product!$A:$A,Product!$G:$G,"NOT FOUND")</f>
        <v>cái</v>
      </c>
      <c r="J374" s="20">
        <v>840000</v>
      </c>
      <c r="K374" s="15" t="s">
        <v>1327</v>
      </c>
      <c r="L374" s="21" t="s">
        <v>1413</v>
      </c>
      <c r="M374" s="10" t="s">
        <v>1099</v>
      </c>
      <c r="N374" s="12" t="s">
        <v>1236</v>
      </c>
      <c r="O374" t="str">
        <f t="shared" si="11"/>
        <v>INSERT INTO public.medical_supply_sellable_unit (code, price, quantity, sale_uom, product_variant_code) VALUES ('PRODUCT-00207-002-01', 840000, 1, 'Cái', 'PRODUCT-00207-002');</v>
      </c>
    </row>
    <row r="375" spans="1:15" x14ac:dyDescent="0.25">
      <c r="A375" s="10" t="str">
        <f>B375&amp;"-"&amp;TEXT(COUNTIF(B$2:B375,B375),"00")</f>
        <v>PRODUCT-00208-001-01</v>
      </c>
      <c r="B375" s="11" t="s">
        <v>1984</v>
      </c>
      <c r="C375" s="10" t="str">
        <f>_xlfn.XLOOKUP(B375,'Product Variant'!$A:$A,'Product Variant'!$B:$B,"NOT FOUND")</f>
        <v>PRODUCT-00208</v>
      </c>
      <c r="D375" s="10" t="str">
        <f>_xlfn.XLOOKUP(B375,'Product Variant'!$A:$A,'Product Variant'!$C:$C,"NOT FOUND")</f>
        <v>[Fuji System] Ống thông tiểu ngắt quãng silicone - Selfcath</v>
      </c>
      <c r="E375" s="10" t="str" cm="1">
        <f t="array" ref="E375">_xlfn.TEXTJOIN(" / ",TRUE,_xlfn.XLOOKUP(B375&amp;"|ATTR-27",'Product Variant Attribute'!$A$2:$A$2000&amp;"|"&amp;'Product Variant Attribute'!$D$2:$D$2000,'Product Variant Attribute'!$F$2:$F$2000,""),_xlfn.XLOOKUP(B375&amp;"|ATTR-24",'Product Variant Attribute'!$A$2:$A$2000&amp;"|"&amp;'Product Variant Attribute'!$D$2:$D$2000,'Product Variant Attribute'!$F$2:$F$2000,""))</f>
        <v/>
      </c>
      <c r="F375" s="11" t="s">
        <v>818</v>
      </c>
      <c r="G375" s="11" t="s">
        <v>927</v>
      </c>
      <c r="H375" s="13">
        <f t="shared" si="12"/>
        <v>1</v>
      </c>
      <c r="I375" s="16" t="str">
        <f>_xlfn.XLOOKUP(C375,Product!$A:$A,Product!$G:$G,"NOT FOUND")</f>
        <v>cái</v>
      </c>
      <c r="J375" s="22"/>
      <c r="K375" s="15" t="s">
        <v>1468</v>
      </c>
      <c r="L375" s="21">
        <v>7</v>
      </c>
      <c r="M375" s="10" t="s">
        <v>1100</v>
      </c>
      <c r="N375" s="12">
        <v>436</v>
      </c>
      <c r="O375" t="str">
        <f t="shared" si="11"/>
        <v>INSERT INTO public.medical_supply_sellable_unit (code, price, quantity, sale_uom, product_variant_code) VALUES ('PRODUCT-00208-001-01', NULL, 1, 'Cái', 'PRODUCT-00208-001');</v>
      </c>
    </row>
    <row r="376" spans="1:15" x14ac:dyDescent="0.25">
      <c r="A376" s="10" t="str">
        <f>B376&amp;"-"&amp;TEXT(COUNTIF(B$2:B376,B376),"00")</f>
        <v>PRODUCT-00209-001-01</v>
      </c>
      <c r="B376" s="11" t="s">
        <v>1985</v>
      </c>
      <c r="C376" s="10" t="str">
        <f>_xlfn.XLOOKUP(B376,'Product Variant'!$A:$A,'Product Variant'!$B:$B,"NOT FOUND")</f>
        <v>PRODUCT-00209</v>
      </c>
      <c r="D376" s="10" t="str">
        <f>_xlfn.XLOOKUP(B376,'Product Variant'!$A:$A,'Product Variant'!$C:$C,"NOT FOUND")</f>
        <v>[Idealcare] Ống thông tiểu Foley silicon 2 nhánh dài ngày</v>
      </c>
      <c r="E376" s="10" t="str" cm="1">
        <f t="array" ref="E376">_xlfn.TEXTJOIN(" / ",TRUE,_xlfn.XLOOKUP(B376&amp;"|ATTR-27",'Product Variant Attribute'!$A$2:$A$2000&amp;"|"&amp;'Product Variant Attribute'!$D$2:$D$2000,'Product Variant Attribute'!$F$2:$F$2000,""),_xlfn.XLOOKUP(B376&amp;"|ATTR-24",'Product Variant Attribute'!$A$2:$A$2000&amp;"|"&amp;'Product Variant Attribute'!$D$2:$D$2000,'Product Variant Attribute'!$F$2:$F$2000,""))</f>
        <v>16Fr</v>
      </c>
      <c r="F376" s="11" t="s">
        <v>818</v>
      </c>
      <c r="G376" s="11" t="s">
        <v>927</v>
      </c>
      <c r="H376" s="13">
        <f t="shared" si="12"/>
        <v>1</v>
      </c>
      <c r="I376" s="16" t="str">
        <f>_xlfn.XLOOKUP(C376,Product!$A:$A,Product!$G:$G,"NOT FOUND")</f>
        <v>cái</v>
      </c>
      <c r="J376" s="20">
        <v>150000</v>
      </c>
      <c r="K376" s="15" t="s">
        <v>1327</v>
      </c>
      <c r="L376" s="21">
        <v>419</v>
      </c>
      <c r="M376" s="10" t="s">
        <v>1101</v>
      </c>
      <c r="N376" s="12">
        <v>437</v>
      </c>
      <c r="O376" t="str">
        <f t="shared" si="11"/>
        <v>INSERT INTO public.medical_supply_sellable_unit (code, price, quantity, sale_uom, product_variant_code) VALUES ('PRODUCT-00209-001-01', 150000, 1, 'Cái', 'PRODUCT-00209-001');</v>
      </c>
    </row>
    <row r="377" spans="1:15" x14ac:dyDescent="0.25">
      <c r="A377" s="10" t="str">
        <f>B377&amp;"-"&amp;TEXT(COUNTIF(B$2:B377,B377),"00")</f>
        <v>PRODUCT-00209-002-01</v>
      </c>
      <c r="B377" s="11" t="s">
        <v>1986</v>
      </c>
      <c r="C377" s="10" t="str">
        <f>_xlfn.XLOOKUP(B377,'Product Variant'!$A:$A,'Product Variant'!$B:$B,"NOT FOUND")</f>
        <v>PRODUCT-00209</v>
      </c>
      <c r="D377" s="10" t="str">
        <f>_xlfn.XLOOKUP(B377,'Product Variant'!$A:$A,'Product Variant'!$C:$C,"NOT FOUND")</f>
        <v>[Idealcare] Ống thông tiểu Foley silicon 2 nhánh dài ngày</v>
      </c>
      <c r="E377" s="10" t="str" cm="1">
        <f t="array" ref="E377">_xlfn.TEXTJOIN(" / ",TRUE,_xlfn.XLOOKUP(B377&amp;"|ATTR-27",'Product Variant Attribute'!$A$2:$A$2000&amp;"|"&amp;'Product Variant Attribute'!$D$2:$D$2000,'Product Variant Attribute'!$F$2:$F$2000,""),_xlfn.XLOOKUP(B377&amp;"|ATTR-24",'Product Variant Attribute'!$A$2:$A$2000&amp;"|"&amp;'Product Variant Attribute'!$D$2:$D$2000,'Product Variant Attribute'!$F$2:$F$2000,""))</f>
        <v>18Fr</v>
      </c>
      <c r="F377" s="11" t="s">
        <v>818</v>
      </c>
      <c r="G377" s="11" t="s">
        <v>927</v>
      </c>
      <c r="H377" s="13">
        <f t="shared" si="12"/>
        <v>1</v>
      </c>
      <c r="I377" s="16" t="str">
        <f>_xlfn.XLOOKUP(C377,Product!$A:$A,Product!$G:$G,"NOT FOUND")</f>
        <v>cái</v>
      </c>
      <c r="J377" s="20">
        <v>150000</v>
      </c>
      <c r="K377" s="15" t="s">
        <v>1327</v>
      </c>
      <c r="L377" s="21">
        <v>420</v>
      </c>
      <c r="M377" s="10" t="s">
        <v>1101</v>
      </c>
      <c r="N377" s="12">
        <v>438</v>
      </c>
      <c r="O377" t="str">
        <f t="shared" si="11"/>
        <v>INSERT INTO public.medical_supply_sellable_unit (code, price, quantity, sale_uom, product_variant_code) VALUES ('PRODUCT-00209-002-01', 150000, 1, 'Cái', 'PRODUCT-00209-002');</v>
      </c>
    </row>
    <row r="378" spans="1:15" x14ac:dyDescent="0.25">
      <c r="A378" s="10" t="str">
        <f>B378&amp;"-"&amp;TEXT(COUNTIF(B$2:B378,B378),"00")</f>
        <v>PRODUCT-00209-003-01</v>
      </c>
      <c r="B378" s="11" t="s">
        <v>1987</v>
      </c>
      <c r="C378" s="10" t="str">
        <f>_xlfn.XLOOKUP(B378,'Product Variant'!$A:$A,'Product Variant'!$B:$B,"NOT FOUND")</f>
        <v>PRODUCT-00209</v>
      </c>
      <c r="D378" s="10" t="str">
        <f>_xlfn.XLOOKUP(B378,'Product Variant'!$A:$A,'Product Variant'!$C:$C,"NOT FOUND")</f>
        <v>[Idealcare] Ống thông tiểu Foley silicon 2 nhánh dài ngày</v>
      </c>
      <c r="E378" s="10" t="str" cm="1">
        <f t="array" ref="E378">_xlfn.TEXTJOIN(" / ",TRUE,_xlfn.XLOOKUP(B378&amp;"|ATTR-27",'Product Variant Attribute'!$A$2:$A$2000&amp;"|"&amp;'Product Variant Attribute'!$D$2:$D$2000,'Product Variant Attribute'!$F$2:$F$2000,""),_xlfn.XLOOKUP(B378&amp;"|ATTR-24",'Product Variant Attribute'!$A$2:$A$2000&amp;"|"&amp;'Product Variant Attribute'!$D$2:$D$2000,'Product Variant Attribute'!$F$2:$F$2000,""))</f>
        <v>20Fr</v>
      </c>
      <c r="F378" s="11" t="s">
        <v>818</v>
      </c>
      <c r="G378" s="11" t="s">
        <v>927</v>
      </c>
      <c r="H378" s="13">
        <f t="shared" si="12"/>
        <v>1</v>
      </c>
      <c r="I378" s="16" t="str">
        <f>_xlfn.XLOOKUP(C378,Product!$A:$A,Product!$G:$G,"NOT FOUND")</f>
        <v>cái</v>
      </c>
      <c r="J378" s="20">
        <v>150000</v>
      </c>
      <c r="K378" s="15" t="s">
        <v>1327</v>
      </c>
      <c r="L378" s="21">
        <v>421</v>
      </c>
      <c r="M378" s="10" t="s">
        <v>1101</v>
      </c>
      <c r="N378" s="12">
        <v>439</v>
      </c>
      <c r="O378" t="str">
        <f t="shared" si="11"/>
        <v>INSERT INTO public.medical_supply_sellable_unit (code, price, quantity, sale_uom, product_variant_code) VALUES ('PRODUCT-00209-003-01', 150000, 1, 'Cái', 'PRODUCT-00209-003');</v>
      </c>
    </row>
    <row r="379" spans="1:15" x14ac:dyDescent="0.25">
      <c r="A379" s="10" t="str">
        <f>B379&amp;"-"&amp;TEXT(COUNTIF(B$2:B379,B379),"00")</f>
        <v>PRODUCT-00209-004-01</v>
      </c>
      <c r="B379" s="11" t="s">
        <v>1988</v>
      </c>
      <c r="C379" s="10" t="str">
        <f>_xlfn.XLOOKUP(B379,'Product Variant'!$A:$A,'Product Variant'!$B:$B,"NOT FOUND")</f>
        <v>PRODUCT-00209</v>
      </c>
      <c r="D379" s="10" t="str">
        <f>_xlfn.XLOOKUP(B379,'Product Variant'!$A:$A,'Product Variant'!$C:$C,"NOT FOUND")</f>
        <v>[Idealcare] Ống thông tiểu Foley silicon 2 nhánh dài ngày</v>
      </c>
      <c r="E379" s="10" t="str" cm="1">
        <f t="array" ref="E379">_xlfn.TEXTJOIN(" / ",TRUE,_xlfn.XLOOKUP(B379&amp;"|ATTR-27",'Product Variant Attribute'!$A$2:$A$2000&amp;"|"&amp;'Product Variant Attribute'!$D$2:$D$2000,'Product Variant Attribute'!$F$2:$F$2000,""),_xlfn.XLOOKUP(B379&amp;"|ATTR-24",'Product Variant Attribute'!$A$2:$A$2000&amp;"|"&amp;'Product Variant Attribute'!$D$2:$D$2000,'Product Variant Attribute'!$F$2:$F$2000,""))</f>
        <v>22Fr</v>
      </c>
      <c r="F379" s="11" t="s">
        <v>818</v>
      </c>
      <c r="G379" s="11" t="s">
        <v>927</v>
      </c>
      <c r="H379" s="13">
        <f t="shared" si="12"/>
        <v>1</v>
      </c>
      <c r="I379" s="16" t="str">
        <f>_xlfn.XLOOKUP(C379,Product!$A:$A,Product!$G:$G,"NOT FOUND")</f>
        <v>cái</v>
      </c>
      <c r="J379" s="20">
        <v>150000</v>
      </c>
      <c r="K379" s="15" t="s">
        <v>1327</v>
      </c>
      <c r="L379" s="21">
        <v>422</v>
      </c>
      <c r="M379" s="10" t="s">
        <v>1101</v>
      </c>
      <c r="N379" s="12">
        <v>440</v>
      </c>
      <c r="O379" t="str">
        <f t="shared" si="11"/>
        <v>INSERT INTO public.medical_supply_sellable_unit (code, price, quantity, sale_uom, product_variant_code) VALUES ('PRODUCT-00209-004-01', 150000, 1, 'Cái', 'PRODUCT-00209-004');</v>
      </c>
    </row>
    <row r="380" spans="1:15" x14ac:dyDescent="0.25">
      <c r="A380" s="10" t="str">
        <f>B380&amp;"-"&amp;TEXT(COUNTIF(B$2:B380,B380),"00")</f>
        <v>PRODUCT-00210-001-01</v>
      </c>
      <c r="B380" s="11" t="s">
        <v>1989</v>
      </c>
      <c r="C380" s="10" t="str">
        <f>_xlfn.XLOOKUP(B380,'Product Variant'!$A:$A,'Product Variant'!$B:$B,"NOT FOUND")</f>
        <v>PRODUCT-00210</v>
      </c>
      <c r="D380" s="10" t="str">
        <f>_xlfn.XLOOKUP(B380,'Product Variant'!$A:$A,'Product Variant'!$C:$C,"NOT FOUND")</f>
        <v>[Idealcare] Ống thông tiểu Foley silicon 3 nhánh dài ngày</v>
      </c>
      <c r="E380" s="10" t="str" cm="1">
        <f t="array" ref="E380">_xlfn.TEXTJOIN(" / ",TRUE,_xlfn.XLOOKUP(B380&amp;"|ATTR-27",'Product Variant Attribute'!$A$2:$A$2000&amp;"|"&amp;'Product Variant Attribute'!$D$2:$D$2000,'Product Variant Attribute'!$F$2:$F$2000,""),_xlfn.XLOOKUP(B380&amp;"|ATTR-24",'Product Variant Attribute'!$A$2:$A$2000&amp;"|"&amp;'Product Variant Attribute'!$D$2:$D$2000,'Product Variant Attribute'!$F$2:$F$2000,""))</f>
        <v>20Fr</v>
      </c>
      <c r="F380" s="11" t="s">
        <v>818</v>
      </c>
      <c r="G380" s="11" t="s">
        <v>927</v>
      </c>
      <c r="H380" s="13">
        <f t="shared" si="12"/>
        <v>1</v>
      </c>
      <c r="I380" s="16" t="str">
        <f>_xlfn.XLOOKUP(C380,Product!$A:$A,Product!$G:$G,"NOT FOUND")</f>
        <v>cái</v>
      </c>
      <c r="J380" s="20">
        <v>170000</v>
      </c>
      <c r="K380" s="15" t="s">
        <v>1327</v>
      </c>
      <c r="L380" s="21">
        <v>200</v>
      </c>
      <c r="M380" s="10" t="s">
        <v>1102</v>
      </c>
      <c r="N380" s="12">
        <v>446</v>
      </c>
      <c r="O380" t="str">
        <f t="shared" si="11"/>
        <v>INSERT INTO public.medical_supply_sellable_unit (code, price, quantity, sale_uom, product_variant_code) VALUES ('PRODUCT-00210-001-01', 170000, 1, 'Cái', 'PRODUCT-00210-001');</v>
      </c>
    </row>
    <row r="381" spans="1:15" x14ac:dyDescent="0.25">
      <c r="A381" s="10" t="str">
        <f>B381&amp;"-"&amp;TEXT(COUNTIF(B$2:B381,B381),"00")</f>
        <v>PRODUCT-00210-002-01</v>
      </c>
      <c r="B381" s="11" t="s">
        <v>1990</v>
      </c>
      <c r="C381" s="10" t="str">
        <f>_xlfn.XLOOKUP(B381,'Product Variant'!$A:$A,'Product Variant'!$B:$B,"NOT FOUND")</f>
        <v>PRODUCT-00210</v>
      </c>
      <c r="D381" s="10" t="str">
        <f>_xlfn.XLOOKUP(B381,'Product Variant'!$A:$A,'Product Variant'!$C:$C,"NOT FOUND")</f>
        <v>[Idealcare] Ống thông tiểu Foley silicon 3 nhánh dài ngày</v>
      </c>
      <c r="E381" s="10" t="str" cm="1">
        <f t="array" ref="E381">_xlfn.TEXTJOIN(" / ",TRUE,_xlfn.XLOOKUP(B381&amp;"|ATTR-27",'Product Variant Attribute'!$A$2:$A$2000&amp;"|"&amp;'Product Variant Attribute'!$D$2:$D$2000,'Product Variant Attribute'!$F$2:$F$2000,""),_xlfn.XLOOKUP(B381&amp;"|ATTR-24",'Product Variant Attribute'!$A$2:$A$2000&amp;"|"&amp;'Product Variant Attribute'!$D$2:$D$2000,'Product Variant Attribute'!$F$2:$F$2000,""))</f>
        <v>22Fr</v>
      </c>
      <c r="F381" s="11" t="s">
        <v>818</v>
      </c>
      <c r="G381" s="11" t="s">
        <v>927</v>
      </c>
      <c r="H381" s="13">
        <f t="shared" si="12"/>
        <v>1</v>
      </c>
      <c r="I381" s="16" t="str">
        <f>_xlfn.XLOOKUP(C381,Product!$A:$A,Product!$G:$G,"NOT FOUND")</f>
        <v>cái</v>
      </c>
      <c r="J381" s="20">
        <v>170000</v>
      </c>
      <c r="K381" s="15" t="s">
        <v>1327</v>
      </c>
      <c r="L381" s="21">
        <v>201</v>
      </c>
      <c r="M381" s="10" t="s">
        <v>1102</v>
      </c>
      <c r="N381" s="12">
        <v>447</v>
      </c>
      <c r="O381" t="str">
        <f t="shared" si="11"/>
        <v>INSERT INTO public.medical_supply_sellable_unit (code, price, quantity, sale_uom, product_variant_code) VALUES ('PRODUCT-00210-002-01', 170000, 1, 'Cái', 'PRODUCT-00210-002');</v>
      </c>
    </row>
    <row r="382" spans="1:15" x14ac:dyDescent="0.25">
      <c r="A382" s="10" t="str">
        <f>B382&amp;"-"&amp;TEXT(COUNTIF(B$2:B382,B382),"00")</f>
        <v>PRODUCT-00211-001-01</v>
      </c>
      <c r="B382" s="11" t="s">
        <v>1991</v>
      </c>
      <c r="C382" s="10" t="str">
        <f>_xlfn.XLOOKUP(B382,'Product Variant'!$A:$A,'Product Variant'!$B:$B,"NOT FOUND")</f>
        <v>PRODUCT-00211</v>
      </c>
      <c r="D382" s="10" t="str">
        <f>_xlfn.XLOOKUP(B382,'Product Variant'!$A:$A,'Product Variant'!$C:$C,"NOT FOUND")</f>
        <v>[Mepro] Ống thông tiểu Foley silicon 2 nhánh dài ngày</v>
      </c>
      <c r="E382" s="10" t="str" cm="1">
        <f t="array" ref="E382">_xlfn.TEXTJOIN(" / ",TRUE,_xlfn.XLOOKUP(B382&amp;"|ATTR-27",'Product Variant Attribute'!$A$2:$A$2000&amp;"|"&amp;'Product Variant Attribute'!$D$2:$D$2000,'Product Variant Attribute'!$F$2:$F$2000,""),_xlfn.XLOOKUP(B382&amp;"|ATTR-24",'Product Variant Attribute'!$A$2:$A$2000&amp;"|"&amp;'Product Variant Attribute'!$D$2:$D$2000,'Product Variant Attribute'!$F$2:$F$2000,""))</f>
        <v>16Fr</v>
      </c>
      <c r="F382" s="11" t="s">
        <v>818</v>
      </c>
      <c r="G382" s="11" t="s">
        <v>927</v>
      </c>
      <c r="H382" s="13">
        <f t="shared" si="12"/>
        <v>1</v>
      </c>
      <c r="I382" s="16" t="str">
        <f>_xlfn.XLOOKUP(C382,Product!$A:$A,Product!$G:$G,"NOT FOUND")</f>
        <v>cái</v>
      </c>
      <c r="J382" s="20">
        <v>150000</v>
      </c>
      <c r="K382" s="15" t="s">
        <v>1327</v>
      </c>
      <c r="L382" s="21">
        <v>316</v>
      </c>
      <c r="M382" s="10" t="s">
        <v>1103</v>
      </c>
      <c r="N382" s="12">
        <v>441</v>
      </c>
      <c r="O382" t="str">
        <f t="shared" si="11"/>
        <v>INSERT INTO public.medical_supply_sellable_unit (code, price, quantity, sale_uom, product_variant_code) VALUES ('PRODUCT-00211-001-01', 150000, 1, 'Cái', 'PRODUCT-00211-001');</v>
      </c>
    </row>
    <row r="383" spans="1:15" x14ac:dyDescent="0.25">
      <c r="A383" s="10" t="str">
        <f>B383&amp;"-"&amp;TEXT(COUNTIF(B$2:B383,B383),"00")</f>
        <v>PRODUCT-00211-002-01</v>
      </c>
      <c r="B383" s="11" t="s">
        <v>1992</v>
      </c>
      <c r="C383" s="10" t="str">
        <f>_xlfn.XLOOKUP(B383,'Product Variant'!$A:$A,'Product Variant'!$B:$B,"NOT FOUND")</f>
        <v>PRODUCT-00211</v>
      </c>
      <c r="D383" s="10" t="str">
        <f>_xlfn.XLOOKUP(B383,'Product Variant'!$A:$A,'Product Variant'!$C:$C,"NOT FOUND")</f>
        <v>[Mepro] Ống thông tiểu Foley silicon 2 nhánh dài ngày</v>
      </c>
      <c r="E383" s="10" t="str" cm="1">
        <f t="array" ref="E383">_xlfn.TEXTJOIN(" / ",TRUE,_xlfn.XLOOKUP(B383&amp;"|ATTR-27",'Product Variant Attribute'!$A$2:$A$2000&amp;"|"&amp;'Product Variant Attribute'!$D$2:$D$2000,'Product Variant Attribute'!$F$2:$F$2000,""),_xlfn.XLOOKUP(B383&amp;"|ATTR-24",'Product Variant Attribute'!$A$2:$A$2000&amp;"|"&amp;'Product Variant Attribute'!$D$2:$D$2000,'Product Variant Attribute'!$F$2:$F$2000,""))</f>
        <v>18Fr</v>
      </c>
      <c r="F383" s="11" t="s">
        <v>818</v>
      </c>
      <c r="G383" s="11" t="s">
        <v>927</v>
      </c>
      <c r="H383" s="13">
        <f t="shared" si="12"/>
        <v>1</v>
      </c>
      <c r="I383" s="16" t="str">
        <f>_xlfn.XLOOKUP(C383,Product!$A:$A,Product!$G:$G,"NOT FOUND")</f>
        <v>cái</v>
      </c>
      <c r="J383" s="20">
        <v>150000</v>
      </c>
      <c r="K383" s="15" t="s">
        <v>1327</v>
      </c>
      <c r="L383" s="21">
        <v>317</v>
      </c>
      <c r="M383" s="10" t="s">
        <v>1103</v>
      </c>
      <c r="N383" s="12">
        <v>442</v>
      </c>
      <c r="O383" t="str">
        <f t="shared" si="11"/>
        <v>INSERT INTO public.medical_supply_sellable_unit (code, price, quantity, sale_uom, product_variant_code) VALUES ('PRODUCT-00211-002-01', 150000, 1, 'Cái', 'PRODUCT-00211-002');</v>
      </c>
    </row>
    <row r="384" spans="1:15" x14ac:dyDescent="0.25">
      <c r="A384" s="10" t="str">
        <f>B384&amp;"-"&amp;TEXT(COUNTIF(B$2:B384,B384),"00")</f>
        <v>PRODUCT-00211-003-01</v>
      </c>
      <c r="B384" s="11" t="s">
        <v>1993</v>
      </c>
      <c r="C384" s="10" t="str">
        <f>_xlfn.XLOOKUP(B384,'Product Variant'!$A:$A,'Product Variant'!$B:$B,"NOT FOUND")</f>
        <v>PRODUCT-00211</v>
      </c>
      <c r="D384" s="10" t="str">
        <f>_xlfn.XLOOKUP(B384,'Product Variant'!$A:$A,'Product Variant'!$C:$C,"NOT FOUND")</f>
        <v>[Mepro] Ống thông tiểu Foley silicon 2 nhánh dài ngày</v>
      </c>
      <c r="E384" s="10" t="str" cm="1">
        <f t="array" ref="E384">_xlfn.TEXTJOIN(" / ",TRUE,_xlfn.XLOOKUP(B384&amp;"|ATTR-27",'Product Variant Attribute'!$A$2:$A$2000&amp;"|"&amp;'Product Variant Attribute'!$D$2:$D$2000,'Product Variant Attribute'!$F$2:$F$2000,""),_xlfn.XLOOKUP(B384&amp;"|ATTR-24",'Product Variant Attribute'!$A$2:$A$2000&amp;"|"&amp;'Product Variant Attribute'!$D$2:$D$2000,'Product Variant Attribute'!$F$2:$F$2000,""))</f>
        <v>20Fr</v>
      </c>
      <c r="F384" s="11" t="s">
        <v>818</v>
      </c>
      <c r="G384" s="11" t="s">
        <v>927</v>
      </c>
      <c r="H384" s="13">
        <f t="shared" si="12"/>
        <v>1</v>
      </c>
      <c r="I384" s="16" t="str">
        <f>_xlfn.XLOOKUP(C384,Product!$A:$A,Product!$G:$G,"NOT FOUND")</f>
        <v>cái</v>
      </c>
      <c r="J384" s="20">
        <v>150000</v>
      </c>
      <c r="K384" s="15" t="s">
        <v>1327</v>
      </c>
      <c r="L384" s="21">
        <v>318</v>
      </c>
      <c r="M384" s="10" t="s">
        <v>1103</v>
      </c>
      <c r="N384" s="12">
        <v>443</v>
      </c>
      <c r="O384" t="str">
        <f t="shared" si="11"/>
        <v>INSERT INTO public.medical_supply_sellable_unit (code, price, quantity, sale_uom, product_variant_code) VALUES ('PRODUCT-00211-003-01', 150000, 1, 'Cái', 'PRODUCT-00211-003');</v>
      </c>
    </row>
    <row r="385" spans="1:15" x14ac:dyDescent="0.25">
      <c r="A385" s="10" t="str">
        <f>B385&amp;"-"&amp;TEXT(COUNTIF(B$2:B385,B385),"00")</f>
        <v>PRODUCT-00212-001-01</v>
      </c>
      <c r="B385" s="11" t="s">
        <v>1994</v>
      </c>
      <c r="C385" s="10" t="str">
        <f>_xlfn.XLOOKUP(B385,'Product Variant'!$A:$A,'Product Variant'!$B:$B,"NOT FOUND")</f>
        <v>PRODUCT-00212</v>
      </c>
      <c r="D385" s="10" t="str">
        <f>_xlfn.XLOOKUP(B385,'Product Variant'!$A:$A,'Product Variant'!$C:$C,"NOT FOUND")</f>
        <v>[Pitr Med] Dụng cụ hỗ trợ đi tiểu nam (bộ chụp tiểu silicon)</v>
      </c>
      <c r="E385" s="10" t="str" cm="1">
        <f t="array" ref="E385">_xlfn.TEXTJOIN(" / ",TRUE,_xlfn.XLOOKUP(B385&amp;"|ATTR-27",'Product Variant Attribute'!$A$2:$A$2000&amp;"|"&amp;'Product Variant Attribute'!$D$2:$D$2000,'Product Variant Attribute'!$F$2:$F$2000,""),_xlfn.XLOOKUP(B385&amp;"|ATTR-24",'Product Variant Attribute'!$A$2:$A$2000&amp;"|"&amp;'Product Variant Attribute'!$D$2:$D$2000,'Product Variant Attribute'!$F$2:$F$2000,""))</f>
        <v/>
      </c>
      <c r="F385" s="11" t="s">
        <v>815</v>
      </c>
      <c r="G385" s="11" t="s">
        <v>826</v>
      </c>
      <c r="H385" s="13">
        <f t="shared" si="12"/>
        <v>1</v>
      </c>
      <c r="I385" s="16" t="str">
        <f>_xlfn.XLOOKUP(C385,Product!$A:$A,Product!$G:$G,"NOT FOUND")</f>
        <v>bộ</v>
      </c>
      <c r="J385" s="20">
        <v>140000</v>
      </c>
      <c r="K385" s="15" t="s">
        <v>1322</v>
      </c>
      <c r="L385" s="21">
        <v>197</v>
      </c>
      <c r="M385" s="10" t="s">
        <v>1104</v>
      </c>
      <c r="N385" s="12">
        <v>221</v>
      </c>
      <c r="O385" t="str">
        <f t="shared" si="11"/>
        <v>INSERT INTO public.medical_supply_sellable_unit (code, price, quantity, sale_uom, product_variant_code) VALUES ('PRODUCT-00212-001-01', 140000, 1, 'Bộ', 'PRODUCT-00212-001');</v>
      </c>
    </row>
    <row r="386" spans="1:15" x14ac:dyDescent="0.25">
      <c r="A386" s="10" t="str">
        <f>B386&amp;"-"&amp;TEXT(COUNTIF(B$2:B386,B386),"00")</f>
        <v>PRODUCT-00213-001-01</v>
      </c>
      <c r="B386" s="11" t="s">
        <v>1995</v>
      </c>
      <c r="C386" s="10" t="str">
        <f>_xlfn.XLOOKUP(B386,'Product Variant'!$A:$A,'Product Variant'!$B:$B,"NOT FOUND")</f>
        <v>PRODUCT-00213</v>
      </c>
      <c r="D386" s="10" t="str">
        <f>_xlfn.XLOOKUP(B386,'Product Variant'!$A:$A,'Product Variant'!$C:$C,"NOT FOUND")</f>
        <v>[Welford] Túi đựng nước tiểu có van khóa - i-CARE</v>
      </c>
      <c r="E386" s="10" t="str" cm="1">
        <f t="array" ref="E386">_xlfn.TEXTJOIN(" / ",TRUE,_xlfn.XLOOKUP(B386&amp;"|ATTR-27",'Product Variant Attribute'!$A$2:$A$2000&amp;"|"&amp;'Product Variant Attribute'!$D$2:$D$2000,'Product Variant Attribute'!$F$2:$F$2000,""),_xlfn.XLOOKUP(B386&amp;"|ATTR-24",'Product Variant Attribute'!$A$2:$A$2000&amp;"|"&amp;'Product Variant Attribute'!$D$2:$D$2000,'Product Variant Attribute'!$F$2:$F$2000,""))</f>
        <v/>
      </c>
      <c r="F386" s="11" t="s">
        <v>818</v>
      </c>
      <c r="G386" s="11" t="s">
        <v>927</v>
      </c>
      <c r="H386" s="13">
        <f t="shared" si="12"/>
        <v>1</v>
      </c>
      <c r="I386" s="16" t="str">
        <f>_xlfn.XLOOKUP(C386,Product!$A:$A,Product!$G:$G,"NOT FOUND")</f>
        <v>cái</v>
      </c>
      <c r="J386" s="20">
        <v>15000</v>
      </c>
      <c r="K386" s="15" t="s">
        <v>1323</v>
      </c>
      <c r="L386" s="21">
        <v>315</v>
      </c>
      <c r="M386" s="10" t="s">
        <v>1105</v>
      </c>
      <c r="N386" s="12">
        <v>463</v>
      </c>
      <c r="O386" t="str">
        <f t="shared" si="11"/>
        <v>INSERT INTO public.medical_supply_sellable_unit (code, price, quantity, sale_uom, product_variant_code) VALUES ('PRODUCT-00213-001-01', 15000, 1, 'Cái', 'PRODUCT-00213-001');</v>
      </c>
    </row>
    <row r="387" spans="1:15" x14ac:dyDescent="0.25">
      <c r="A387" s="10" t="str">
        <f>B387&amp;"-"&amp;TEXT(COUNTIF(B$2:B387,B387),"00")</f>
        <v>PRODUCT-00214-001-01</v>
      </c>
      <c r="B387" s="11" t="s">
        <v>1996</v>
      </c>
      <c r="C387" s="10" t="str">
        <f>_xlfn.XLOOKUP(B387,'Product Variant'!$A:$A,'Product Variant'!$B:$B,"NOT FOUND")</f>
        <v>PRODUCT-00214</v>
      </c>
      <c r="D387" s="10" t="str">
        <f>_xlfn.XLOOKUP(B387,'Product Variant'!$A:$A,'Product Variant'!$C:$C,"NOT FOUND")</f>
        <v>[Yushin] Bộ mở bàng quang qua da - Suprapubic Catheter Set</v>
      </c>
      <c r="E387" s="10" t="str" cm="1">
        <f t="array" ref="E387">_xlfn.TEXTJOIN(" / ",TRUE,_xlfn.XLOOKUP(B387&amp;"|ATTR-27",'Product Variant Attribute'!$A$2:$A$2000&amp;"|"&amp;'Product Variant Attribute'!$D$2:$D$2000,'Product Variant Attribute'!$F$2:$F$2000,""),_xlfn.XLOOKUP(B387&amp;"|ATTR-24",'Product Variant Attribute'!$A$2:$A$2000&amp;"|"&amp;'Product Variant Attribute'!$D$2:$D$2000,'Product Variant Attribute'!$F$2:$F$2000,""))</f>
        <v>16Fr</v>
      </c>
      <c r="F387" s="11" t="s">
        <v>815</v>
      </c>
      <c r="G387" s="11" t="s">
        <v>826</v>
      </c>
      <c r="H387" s="13">
        <f t="shared" si="12"/>
        <v>1</v>
      </c>
      <c r="I387" s="16" t="str">
        <f>_xlfn.XLOOKUP(C387,Product!$A:$A,Product!$G:$G,"NOT FOUND")</f>
        <v>bộ</v>
      </c>
      <c r="J387" s="22"/>
      <c r="K387" s="15" t="s">
        <v>1468</v>
      </c>
      <c r="L387" s="21">
        <v>161</v>
      </c>
      <c r="M387" s="10" t="s">
        <v>1106</v>
      </c>
      <c r="N387" s="12">
        <v>93</v>
      </c>
      <c r="O387" t="str">
        <f t="shared" ref="O387:O439" si="13">"INSERT INTO public.medical_supply_sellable_unit (code, price, quantity, sale_uom, product_variant_code) VALUES ('"&amp;A387&amp;"', "&amp;IF(J387="","NULL",J387)&amp;", "&amp;IF(H387="","NULL",H387)&amp;", "&amp;IF(F387="","NULL","'"&amp;SUBSTITUTE(F387,"'","''")&amp;"'")&amp;", '"&amp;B387&amp;"');"</f>
        <v>INSERT INTO public.medical_supply_sellable_unit (code, price, quantity, sale_uom, product_variant_code) VALUES ('PRODUCT-00214-001-01', NULL, 1, 'Bộ', 'PRODUCT-00214-001');</v>
      </c>
    </row>
    <row r="388" spans="1:15" x14ac:dyDescent="0.25">
      <c r="A388" s="10" t="str">
        <f>B388&amp;"-"&amp;TEXT(COUNTIF(B$2:B388,B388),"00")</f>
        <v>PRODUCT-00214-002-01</v>
      </c>
      <c r="B388" s="11" t="s">
        <v>1997</v>
      </c>
      <c r="C388" s="10" t="str">
        <f>_xlfn.XLOOKUP(B388,'Product Variant'!$A:$A,'Product Variant'!$B:$B,"NOT FOUND")</f>
        <v>PRODUCT-00214</v>
      </c>
      <c r="D388" s="10" t="str">
        <f>_xlfn.XLOOKUP(B388,'Product Variant'!$A:$A,'Product Variant'!$C:$C,"NOT FOUND")</f>
        <v>[Yushin] Bộ mở bàng quang qua da - Suprapubic Catheter Set</v>
      </c>
      <c r="E388" s="10" t="str" cm="1">
        <f t="array" ref="E388">_xlfn.TEXTJOIN(" / ",TRUE,_xlfn.XLOOKUP(B388&amp;"|ATTR-27",'Product Variant Attribute'!$A$2:$A$2000&amp;"|"&amp;'Product Variant Attribute'!$D$2:$D$2000,'Product Variant Attribute'!$F$2:$F$2000,""),_xlfn.XLOOKUP(B388&amp;"|ATTR-24",'Product Variant Attribute'!$A$2:$A$2000&amp;"|"&amp;'Product Variant Attribute'!$D$2:$D$2000,'Product Variant Attribute'!$F$2:$F$2000,""))</f>
        <v>18Fr</v>
      </c>
      <c r="F388" s="11" t="s">
        <v>815</v>
      </c>
      <c r="G388" s="11" t="s">
        <v>826</v>
      </c>
      <c r="H388" s="13">
        <f t="shared" si="12"/>
        <v>1</v>
      </c>
      <c r="I388" s="16" t="str">
        <f>_xlfn.XLOOKUP(C388,Product!$A:$A,Product!$G:$G,"NOT FOUND")</f>
        <v>bộ</v>
      </c>
      <c r="J388" s="22"/>
      <c r="K388" s="15" t="s">
        <v>1468</v>
      </c>
      <c r="L388" s="21">
        <v>162</v>
      </c>
      <c r="M388" s="10" t="s">
        <v>1106</v>
      </c>
      <c r="N388" s="12">
        <v>94</v>
      </c>
      <c r="O388" t="str">
        <f t="shared" si="13"/>
        <v>INSERT INTO public.medical_supply_sellable_unit (code, price, quantity, sale_uom, product_variant_code) VALUES ('PRODUCT-00214-002-01', NULL, 1, 'Bộ', 'PRODUCT-00214-002');</v>
      </c>
    </row>
    <row r="389" spans="1:15" x14ac:dyDescent="0.25">
      <c r="A389" s="10" t="str">
        <f>B389&amp;"-"&amp;TEXT(COUNTIF(B$2:B389,B389),"00")</f>
        <v>PRODUCT-00215-001-01</v>
      </c>
      <c r="B389" s="11" t="s">
        <v>1998</v>
      </c>
      <c r="C389" s="10" t="str">
        <f>_xlfn.XLOOKUP(B389,'Product Variant'!$A:$A,'Product Variant'!$B:$B,"NOT FOUND")</f>
        <v>PRODUCT-00215</v>
      </c>
      <c r="D389" s="10" t="str">
        <f>_xlfn.XLOOKUP(B389,'Product Variant'!$A:$A,'Product Variant'!$C:$C,"NOT FOUND")</f>
        <v>[Yushin] Ống thông tiểu Foley silicon 2 nhánh dài ngày</v>
      </c>
      <c r="E389" s="10" t="str" cm="1">
        <f t="array" ref="E389">_xlfn.TEXTJOIN(" / ",TRUE,_xlfn.XLOOKUP(B389&amp;"|ATTR-27",'Product Variant Attribute'!$A$2:$A$2000&amp;"|"&amp;'Product Variant Attribute'!$D$2:$D$2000,'Product Variant Attribute'!$F$2:$F$2000,""),_xlfn.XLOOKUP(B389&amp;"|ATTR-24",'Product Variant Attribute'!$A$2:$A$2000&amp;"|"&amp;'Product Variant Attribute'!$D$2:$D$2000,'Product Variant Attribute'!$F$2:$F$2000,""))</f>
        <v>16Fr</v>
      </c>
      <c r="F389" s="11" t="s">
        <v>818</v>
      </c>
      <c r="G389" s="11" t="s">
        <v>927</v>
      </c>
      <c r="H389" s="13">
        <f t="shared" si="12"/>
        <v>1</v>
      </c>
      <c r="I389" s="16" t="str">
        <f>_xlfn.XLOOKUP(C389,Product!$A:$A,Product!$G:$G,"NOT FOUND")</f>
        <v>cái</v>
      </c>
      <c r="J389" s="20">
        <v>200000</v>
      </c>
      <c r="K389" s="15" t="s">
        <v>1327</v>
      </c>
      <c r="L389" s="21">
        <v>156</v>
      </c>
      <c r="M389" s="10" t="s">
        <v>1107</v>
      </c>
      <c r="N389" s="12">
        <v>444</v>
      </c>
      <c r="O389" t="str">
        <f t="shared" si="13"/>
        <v>INSERT INTO public.medical_supply_sellable_unit (code, price, quantity, sale_uom, product_variant_code) VALUES ('PRODUCT-00215-001-01', 200000, 1, 'Cái', 'PRODUCT-00215-001');</v>
      </c>
    </row>
    <row r="390" spans="1:15" x14ac:dyDescent="0.25">
      <c r="A390" s="10" t="str">
        <f>B390&amp;"-"&amp;TEXT(COUNTIF(B$2:B390,B390),"00")</f>
        <v>PRODUCT-00215-002-01</v>
      </c>
      <c r="B390" s="11" t="s">
        <v>1999</v>
      </c>
      <c r="C390" s="10" t="str">
        <f>_xlfn.XLOOKUP(B390,'Product Variant'!$A:$A,'Product Variant'!$B:$B,"NOT FOUND")</f>
        <v>PRODUCT-00215</v>
      </c>
      <c r="D390" s="10" t="str">
        <f>_xlfn.XLOOKUP(B390,'Product Variant'!$A:$A,'Product Variant'!$C:$C,"NOT FOUND")</f>
        <v>[Yushin] Ống thông tiểu Foley silicon 2 nhánh dài ngày</v>
      </c>
      <c r="E390" s="10" t="str" cm="1">
        <f t="array" ref="E390">_xlfn.TEXTJOIN(" / ",TRUE,_xlfn.XLOOKUP(B390&amp;"|ATTR-27",'Product Variant Attribute'!$A$2:$A$2000&amp;"|"&amp;'Product Variant Attribute'!$D$2:$D$2000,'Product Variant Attribute'!$F$2:$F$2000,""),_xlfn.XLOOKUP(B390&amp;"|ATTR-24",'Product Variant Attribute'!$A$2:$A$2000&amp;"|"&amp;'Product Variant Attribute'!$D$2:$D$2000,'Product Variant Attribute'!$F$2:$F$2000,""))</f>
        <v>18Fr</v>
      </c>
      <c r="F390" s="11" t="s">
        <v>818</v>
      </c>
      <c r="G390" s="11" t="s">
        <v>927</v>
      </c>
      <c r="H390" s="13">
        <f t="shared" si="12"/>
        <v>1</v>
      </c>
      <c r="I390" s="16" t="str">
        <f>_xlfn.XLOOKUP(C390,Product!$A:$A,Product!$G:$G,"NOT FOUND")</f>
        <v>cái</v>
      </c>
      <c r="J390" s="20">
        <v>200000</v>
      </c>
      <c r="K390" s="15" t="s">
        <v>1327</v>
      </c>
      <c r="L390" s="21">
        <v>157</v>
      </c>
      <c r="M390" s="10" t="s">
        <v>1107</v>
      </c>
      <c r="N390" s="12">
        <v>445</v>
      </c>
      <c r="O390" t="str">
        <f t="shared" si="13"/>
        <v>INSERT INTO public.medical_supply_sellable_unit (code, price, quantity, sale_uom, product_variant_code) VALUES ('PRODUCT-00215-002-01', 200000, 1, 'Cái', 'PRODUCT-00215-002');</v>
      </c>
    </row>
    <row r="391" spans="1:15" x14ac:dyDescent="0.25">
      <c r="A391" s="10" t="str">
        <f>B391&amp;"-"&amp;TEXT(COUNTIF(B$2:B391,B391),"00")</f>
        <v>PRODUCT-00216-001-01</v>
      </c>
      <c r="B391" s="11" t="s">
        <v>2000</v>
      </c>
      <c r="C391" s="10" t="str">
        <f>_xlfn.XLOOKUP(B391,'Product Variant'!$A:$A,'Product Variant'!$B:$B,"NOT FOUND")</f>
        <v>PRODUCT-00216</v>
      </c>
      <c r="D391" s="10" t="str">
        <f>_xlfn.XLOOKUP(B391,'Product Variant'!$A:$A,'Product Variant'!$C:$C,"NOT FOUND")</f>
        <v>[Yushin] Ống thông tiểu ngắt quãng silicon</v>
      </c>
      <c r="E391" s="10" t="str" cm="1">
        <f t="array" ref="E391">_xlfn.TEXTJOIN(" / ",TRUE,_xlfn.XLOOKUP(B391&amp;"|ATTR-27",'Product Variant Attribute'!$A$2:$A$2000&amp;"|"&amp;'Product Variant Attribute'!$D$2:$D$2000,'Product Variant Attribute'!$F$2:$F$2000,""),_xlfn.XLOOKUP(B391&amp;"|ATTR-24",'Product Variant Attribute'!$A$2:$A$2000&amp;"|"&amp;'Product Variant Attribute'!$D$2:$D$2000,'Product Variant Attribute'!$F$2:$F$2000,""))</f>
        <v>12Fr</v>
      </c>
      <c r="F391" s="11" t="s">
        <v>818</v>
      </c>
      <c r="G391" s="11" t="s">
        <v>927</v>
      </c>
      <c r="H391" s="13">
        <f t="shared" si="12"/>
        <v>1</v>
      </c>
      <c r="I391" s="16" t="str">
        <f>_xlfn.XLOOKUP(C391,Product!$A:$A,Product!$G:$G,"NOT FOUND")</f>
        <v>cái</v>
      </c>
      <c r="J391" s="20">
        <v>790000</v>
      </c>
      <c r="K391" s="15" t="s">
        <v>1327</v>
      </c>
      <c r="L391" s="21" t="s">
        <v>1414</v>
      </c>
      <c r="M391" s="10" t="s">
        <v>1108</v>
      </c>
      <c r="N391" s="12" t="s">
        <v>1237</v>
      </c>
      <c r="O391" t="str">
        <f t="shared" si="13"/>
        <v>INSERT INTO public.medical_supply_sellable_unit (code, price, quantity, sale_uom, product_variant_code) VALUES ('PRODUCT-00216-001-01', 790000, 1, 'Cái', 'PRODUCT-00216-001');</v>
      </c>
    </row>
    <row r="392" spans="1:15" x14ac:dyDescent="0.25">
      <c r="A392" s="10" t="str">
        <f>B392&amp;"-"&amp;TEXT(COUNTIF(B$2:B392,B392),"00")</f>
        <v>PRODUCT-00216-002-01</v>
      </c>
      <c r="B392" s="11" t="s">
        <v>2001</v>
      </c>
      <c r="C392" s="10" t="str">
        <f>_xlfn.XLOOKUP(B392,'Product Variant'!$A:$A,'Product Variant'!$B:$B,"NOT FOUND")</f>
        <v>PRODUCT-00216</v>
      </c>
      <c r="D392" s="10" t="str">
        <f>_xlfn.XLOOKUP(B392,'Product Variant'!$A:$A,'Product Variant'!$C:$C,"NOT FOUND")</f>
        <v>[Yushin] Ống thông tiểu ngắt quãng silicon</v>
      </c>
      <c r="E392" s="10" t="str" cm="1">
        <f t="array" ref="E392">_xlfn.TEXTJOIN(" / ",TRUE,_xlfn.XLOOKUP(B392&amp;"|ATTR-27",'Product Variant Attribute'!$A$2:$A$2000&amp;"|"&amp;'Product Variant Attribute'!$D$2:$D$2000,'Product Variant Attribute'!$F$2:$F$2000,""),_xlfn.XLOOKUP(B392&amp;"|ATTR-24",'Product Variant Attribute'!$A$2:$A$2000&amp;"|"&amp;'Product Variant Attribute'!$D$2:$D$2000,'Product Variant Attribute'!$F$2:$F$2000,""))</f>
        <v>14Fr</v>
      </c>
      <c r="F392" s="11" t="s">
        <v>818</v>
      </c>
      <c r="G392" s="11" t="s">
        <v>927</v>
      </c>
      <c r="H392" s="13">
        <f t="shared" si="12"/>
        <v>1</v>
      </c>
      <c r="I392" s="16" t="str">
        <f>_xlfn.XLOOKUP(C392,Product!$A:$A,Product!$G:$G,"NOT FOUND")</f>
        <v>cái</v>
      </c>
      <c r="J392" s="20">
        <v>790000</v>
      </c>
      <c r="K392" s="15" t="s">
        <v>1327</v>
      </c>
      <c r="L392" s="21" t="s">
        <v>1415</v>
      </c>
      <c r="M392" s="10" t="s">
        <v>1108</v>
      </c>
      <c r="N392" s="12" t="s">
        <v>1238</v>
      </c>
      <c r="O392" t="str">
        <f t="shared" si="13"/>
        <v>INSERT INTO public.medical_supply_sellable_unit (code, price, quantity, sale_uom, product_variant_code) VALUES ('PRODUCT-00216-002-01', 790000, 1, 'Cái', 'PRODUCT-00216-002');</v>
      </c>
    </row>
    <row r="393" spans="1:15" x14ac:dyDescent="0.25">
      <c r="A393" s="10" t="str">
        <f>B393&amp;"-"&amp;TEXT(COUNTIF(B$2:B393,B393),"00")</f>
        <v>PRODUCT-00217-001-01</v>
      </c>
      <c r="B393" s="11" t="s">
        <v>2002</v>
      </c>
      <c r="C393" s="10" t="str">
        <f>_xlfn.XLOOKUP(B393,'Product Variant'!$A:$A,'Product Variant'!$B:$B,"NOT FOUND")</f>
        <v>PRODUCT-00217</v>
      </c>
      <c r="D393" s="10" t="str">
        <f>_xlfn.XLOOKUP(B393,'Product Variant'!$A:$A,'Product Variant'!$C:$C,"NOT FOUND")</f>
        <v>Túi đựng nước tiểu cột chân có van khóa</v>
      </c>
      <c r="E393" s="10" t="str" cm="1">
        <f t="array" ref="E393">_xlfn.TEXTJOIN(" / ",TRUE,_xlfn.XLOOKUP(B393&amp;"|ATTR-27",'Product Variant Attribute'!$A$2:$A$2000&amp;"|"&amp;'Product Variant Attribute'!$D$2:$D$2000,'Product Variant Attribute'!$F$2:$F$2000,""),_xlfn.XLOOKUP(B393&amp;"|ATTR-24",'Product Variant Attribute'!$A$2:$A$2000&amp;"|"&amp;'Product Variant Attribute'!$D$2:$D$2000,'Product Variant Attribute'!$F$2:$F$2000,""))</f>
        <v/>
      </c>
      <c r="F393" s="11" t="s">
        <v>818</v>
      </c>
      <c r="G393" s="11" t="s">
        <v>927</v>
      </c>
      <c r="H393" s="13">
        <f t="shared" si="12"/>
        <v>1</v>
      </c>
      <c r="I393" s="16" t="str">
        <f>_xlfn.XLOOKUP(C393,Product!$A:$A,Product!$G:$G,"NOT FOUND")</f>
        <v>cái</v>
      </c>
      <c r="J393" s="20">
        <v>15000</v>
      </c>
      <c r="K393" s="15" t="s">
        <v>1322</v>
      </c>
      <c r="L393" s="21">
        <v>193</v>
      </c>
      <c r="M393" s="10" t="s">
        <v>107</v>
      </c>
      <c r="N393" s="12">
        <v>462</v>
      </c>
      <c r="O393" t="str">
        <f t="shared" si="13"/>
        <v>INSERT INTO public.medical_supply_sellable_unit (code, price, quantity, sale_uom, product_variant_code) VALUES ('PRODUCT-00217-001-01', 15000, 1, 'Cái', 'PRODUCT-00217-001');</v>
      </c>
    </row>
    <row r="394" spans="1:15" x14ac:dyDescent="0.25">
      <c r="A394" s="10" t="str">
        <f>B394&amp;"-"&amp;TEXT(COUNTIF(B$2:B394,B394),"00")</f>
        <v>PRODUCT-00218-001-01</v>
      </c>
      <c r="B394" s="11" t="s">
        <v>2003</v>
      </c>
      <c r="C394" s="10" t="str">
        <f>_xlfn.XLOOKUP(B394,'Product Variant'!$A:$A,'Product Variant'!$B:$B,"NOT FOUND")</f>
        <v>PRODUCT-00218</v>
      </c>
      <c r="D394" s="10" t="str">
        <f>_xlfn.XLOOKUP(B394,'Product Variant'!$A:$A,'Product Variant'!$C:$C,"NOT FOUND")</f>
        <v>[Bornsun] Hệ thống dẫn lưu phân</v>
      </c>
      <c r="E394" s="10" t="str" cm="1">
        <f t="array" ref="E394">_xlfn.TEXTJOIN(" / ",TRUE,_xlfn.XLOOKUP(B394&amp;"|ATTR-27",'Product Variant Attribute'!$A$2:$A$2000&amp;"|"&amp;'Product Variant Attribute'!$D$2:$D$2000,'Product Variant Attribute'!$F$2:$F$2000,""),_xlfn.XLOOKUP(B394&amp;"|ATTR-24",'Product Variant Attribute'!$A$2:$A$2000&amp;"|"&amp;'Product Variant Attribute'!$D$2:$D$2000,'Product Variant Attribute'!$F$2:$F$2000,""))</f>
        <v/>
      </c>
      <c r="F394" s="11" t="s">
        <v>815</v>
      </c>
      <c r="G394" s="11" t="s">
        <v>826</v>
      </c>
      <c r="H394" s="13">
        <f t="shared" si="12"/>
        <v>1</v>
      </c>
      <c r="I394" s="16" t="str">
        <f>_xlfn.XLOOKUP(C394,Product!$A:$A,Product!$G:$G,"NOT FOUND")</f>
        <v>bộ</v>
      </c>
      <c r="J394" s="20">
        <v>3800000</v>
      </c>
      <c r="K394" s="15" t="s">
        <v>1322</v>
      </c>
      <c r="L394" s="21">
        <v>9</v>
      </c>
      <c r="M394" s="10" t="s">
        <v>1109</v>
      </c>
      <c r="N394" s="12">
        <v>267</v>
      </c>
      <c r="O394" t="str">
        <f t="shared" si="13"/>
        <v>INSERT INTO public.medical_supply_sellable_unit (code, price, quantity, sale_uom, product_variant_code) VALUES ('PRODUCT-00218-001-01', 3800000, 1, 'Bộ', 'PRODUCT-00218-001');</v>
      </c>
    </row>
    <row r="395" spans="1:15" x14ac:dyDescent="0.25">
      <c r="A395" s="10" t="str">
        <f>B395&amp;"-"&amp;TEXT(COUNTIF(B$2:B395,B395),"00")</f>
        <v>PRODUCT-00219-001-01</v>
      </c>
      <c r="B395" s="11" t="s">
        <v>2004</v>
      </c>
      <c r="C395" s="10" t="str">
        <f>_xlfn.XLOOKUP(B395,'Product Variant'!$A:$A,'Product Variant'!$B:$B,"NOT FOUND")</f>
        <v>PRODUCT-00219</v>
      </c>
      <c r="D395" s="10" t="str">
        <f>_xlfn.XLOOKUP(B395,'Product Variant'!$A:$A,'Product Variant'!$C:$C,"NOT FOUND")</f>
        <v>[Covidien] Máy bơm thức ăn - Kangaroo ePump™</v>
      </c>
      <c r="E395" s="10" t="str" cm="1">
        <f t="array" ref="E395">_xlfn.TEXTJOIN(" / ",TRUE,_xlfn.XLOOKUP(B395&amp;"|ATTR-27",'Product Variant Attribute'!$A$2:$A$2000&amp;"|"&amp;'Product Variant Attribute'!$D$2:$D$2000,'Product Variant Attribute'!$F$2:$F$2000,""),_xlfn.XLOOKUP(B395&amp;"|ATTR-24",'Product Variant Attribute'!$A$2:$A$2000&amp;"|"&amp;'Product Variant Attribute'!$D$2:$D$2000,'Product Variant Attribute'!$F$2:$F$2000,""))</f>
        <v/>
      </c>
      <c r="F395" s="11" t="s">
        <v>818</v>
      </c>
      <c r="G395" s="11" t="s">
        <v>927</v>
      </c>
      <c r="H395" s="13">
        <f t="shared" si="12"/>
        <v>1</v>
      </c>
      <c r="I395" s="16" t="str">
        <f>_xlfn.XLOOKUP(C395,Product!$A:$A,Product!$G:$G,"NOT FOUND")</f>
        <v>cái</v>
      </c>
      <c r="J395" s="22"/>
      <c r="K395" s="15" t="s">
        <v>1468</v>
      </c>
      <c r="L395" s="21">
        <v>488</v>
      </c>
      <c r="M395" s="10" t="s">
        <v>1110</v>
      </c>
      <c r="N395" s="12">
        <v>302</v>
      </c>
      <c r="O395" t="str">
        <f t="shared" si="13"/>
        <v>INSERT INTO public.medical_supply_sellable_unit (code, price, quantity, sale_uom, product_variant_code) VALUES ('PRODUCT-00219-001-01', NULL, 1, 'Cái', 'PRODUCT-00219-001');</v>
      </c>
    </row>
    <row r="396" spans="1:15" x14ac:dyDescent="0.25">
      <c r="A396" s="10" t="str">
        <f>B396&amp;"-"&amp;TEXT(COUNTIF(B$2:B396,B396),"00")</f>
        <v>PRODUCT-00220-001-01</v>
      </c>
      <c r="B396" s="11" t="s">
        <v>2005</v>
      </c>
      <c r="C396" s="10" t="str">
        <f>_xlfn.XLOOKUP(B396,'Product Variant'!$A:$A,'Product Variant'!$B:$B,"NOT FOUND")</f>
        <v>PRODUCT-00220</v>
      </c>
      <c r="D396" s="10" t="str">
        <f>_xlfn.XLOOKUP(B396,'Product Variant'!$A:$A,'Product Variant'!$C:$C,"NOT FOUND")</f>
        <v>[Covidien] Ống thông dạ dày nuôi ăn 29 ngày - Kangaroo</v>
      </c>
      <c r="E396" s="10" t="str" cm="1">
        <f t="array" ref="E396">_xlfn.TEXTJOIN(" / ",TRUE,_xlfn.XLOOKUP(B396&amp;"|ATTR-27",'Product Variant Attribute'!$A$2:$A$2000&amp;"|"&amp;'Product Variant Attribute'!$D$2:$D$2000,'Product Variant Attribute'!$F$2:$F$2000,""),_xlfn.XLOOKUP(B396&amp;"|ATTR-24",'Product Variant Attribute'!$A$2:$A$2000&amp;"|"&amp;'Product Variant Attribute'!$D$2:$D$2000,'Product Variant Attribute'!$F$2:$F$2000,""))</f>
        <v/>
      </c>
      <c r="F396" s="11" t="s">
        <v>818</v>
      </c>
      <c r="G396" s="11" t="s">
        <v>927</v>
      </c>
      <c r="H396" s="13">
        <f t="shared" si="12"/>
        <v>1</v>
      </c>
      <c r="I396" s="16" t="str">
        <f>_xlfn.XLOOKUP(C396,Product!$A:$A,Product!$G:$G,"NOT FOUND")</f>
        <v>cái</v>
      </c>
      <c r="J396" s="20">
        <v>240000</v>
      </c>
      <c r="K396" s="15" t="s">
        <v>1323</v>
      </c>
      <c r="L396" s="21">
        <v>321</v>
      </c>
      <c r="M396" s="10" t="s">
        <v>1111</v>
      </c>
      <c r="N396" s="12">
        <v>431</v>
      </c>
      <c r="O396" t="str">
        <f t="shared" si="13"/>
        <v>INSERT INTO public.medical_supply_sellable_unit (code, price, quantity, sale_uom, product_variant_code) VALUES ('PRODUCT-00220-001-01', 240000, 1, 'Cái', 'PRODUCT-00220-001');</v>
      </c>
    </row>
    <row r="397" spans="1:15" x14ac:dyDescent="0.25">
      <c r="A397" s="10" t="str">
        <f>B397&amp;"-"&amp;TEXT(COUNTIF(B$2:B397,B397),"00")</f>
        <v>PRODUCT-00221-001-01</v>
      </c>
      <c r="B397" s="11" t="s">
        <v>2006</v>
      </c>
      <c r="C397" s="10" t="str">
        <f>_xlfn.XLOOKUP(B397,'Product Variant'!$A:$A,'Product Variant'!$B:$B,"NOT FOUND")</f>
        <v>PRODUCT-00221</v>
      </c>
      <c r="D397" s="10" t="str">
        <f>_xlfn.XLOOKUP(B397,'Product Variant'!$A:$A,'Product Variant'!$C:$C,"NOT FOUND")</f>
        <v>[Create Medic] Bộ mở thông dạ dày qua da - Cliny</v>
      </c>
      <c r="E397" s="10" t="str" cm="1">
        <f t="array" ref="E397">_xlfn.TEXTJOIN(" / ",TRUE,_xlfn.XLOOKUP(B397&amp;"|ATTR-27",'Product Variant Attribute'!$A$2:$A$2000&amp;"|"&amp;'Product Variant Attribute'!$D$2:$D$2000,'Product Variant Attribute'!$F$2:$F$2000,""),_xlfn.XLOOKUP(B397&amp;"|ATTR-24",'Product Variant Attribute'!$A$2:$A$2000&amp;"|"&amp;'Product Variant Attribute'!$D$2:$D$2000,'Product Variant Attribute'!$F$2:$F$2000,""))</f>
        <v>16Fr</v>
      </c>
      <c r="F397" s="11" t="s">
        <v>818</v>
      </c>
      <c r="G397" s="11" t="s">
        <v>927</v>
      </c>
      <c r="H397" s="13">
        <f t="shared" si="12"/>
        <v>1</v>
      </c>
      <c r="I397" s="16" t="str">
        <f>_xlfn.XLOOKUP(C397,Product!$A:$A,Product!$G:$G,"NOT FOUND")</f>
        <v>cái</v>
      </c>
      <c r="J397" s="22"/>
      <c r="K397" s="15" t="s">
        <v>1468</v>
      </c>
      <c r="L397" s="21">
        <v>454</v>
      </c>
      <c r="M397" s="10" t="s">
        <v>1112</v>
      </c>
      <c r="N397" s="12">
        <v>100</v>
      </c>
      <c r="O397" t="str">
        <f t="shared" si="13"/>
        <v>INSERT INTO public.medical_supply_sellable_unit (code, price, quantity, sale_uom, product_variant_code) VALUES ('PRODUCT-00221-001-01', NULL, 1, 'Cái', 'PRODUCT-00221-001');</v>
      </c>
    </row>
    <row r="398" spans="1:15" x14ac:dyDescent="0.25">
      <c r="A398" s="10" t="str">
        <f>B398&amp;"-"&amp;TEXT(COUNTIF(B$2:B398,B398),"00")</f>
        <v>PRODUCT-00221-002-01</v>
      </c>
      <c r="B398" s="11" t="s">
        <v>2007</v>
      </c>
      <c r="C398" s="10" t="str">
        <f>_xlfn.XLOOKUP(B398,'Product Variant'!$A:$A,'Product Variant'!$B:$B,"NOT FOUND")</f>
        <v>PRODUCT-00221</v>
      </c>
      <c r="D398" s="10" t="str">
        <f>_xlfn.XLOOKUP(B398,'Product Variant'!$A:$A,'Product Variant'!$C:$C,"NOT FOUND")</f>
        <v>[Create Medic] Bộ mở thông dạ dày qua da - Cliny</v>
      </c>
      <c r="E398" s="10" t="str" cm="1">
        <f t="array" ref="E398">_xlfn.TEXTJOIN(" / ",TRUE,_xlfn.XLOOKUP(B398&amp;"|ATTR-27",'Product Variant Attribute'!$A$2:$A$2000&amp;"|"&amp;'Product Variant Attribute'!$D$2:$D$2000,'Product Variant Attribute'!$F$2:$F$2000,""),_xlfn.XLOOKUP(B398&amp;"|ATTR-24",'Product Variant Attribute'!$A$2:$A$2000&amp;"|"&amp;'Product Variant Attribute'!$D$2:$D$2000,'Product Variant Attribute'!$F$2:$F$2000,""))</f>
        <v>18Fr</v>
      </c>
      <c r="F398" s="11" t="s">
        <v>818</v>
      </c>
      <c r="G398" s="11" t="s">
        <v>927</v>
      </c>
      <c r="H398" s="13">
        <f t="shared" si="12"/>
        <v>1</v>
      </c>
      <c r="I398" s="16" t="str">
        <f>_xlfn.XLOOKUP(C398,Product!$A:$A,Product!$G:$G,"NOT FOUND")</f>
        <v>cái</v>
      </c>
      <c r="J398" s="22"/>
      <c r="K398" s="15" t="s">
        <v>1468</v>
      </c>
      <c r="L398" s="21">
        <v>455</v>
      </c>
      <c r="M398" s="10" t="s">
        <v>1112</v>
      </c>
      <c r="N398" s="12">
        <v>101</v>
      </c>
      <c r="O398" t="str">
        <f t="shared" si="13"/>
        <v>INSERT INTO public.medical_supply_sellable_unit (code, price, quantity, sale_uom, product_variant_code) VALUES ('PRODUCT-00221-002-01', NULL, 1, 'Cái', 'PRODUCT-00221-002');</v>
      </c>
    </row>
    <row r="399" spans="1:15" x14ac:dyDescent="0.25">
      <c r="A399" s="10" t="str">
        <f>B399&amp;"-"&amp;TEXT(COUNTIF(B$2:B399,B399),"00")</f>
        <v>PRODUCT-00221-003-01</v>
      </c>
      <c r="B399" s="11" t="s">
        <v>2008</v>
      </c>
      <c r="C399" s="10" t="str">
        <f>_xlfn.XLOOKUP(B399,'Product Variant'!$A:$A,'Product Variant'!$B:$B,"NOT FOUND")</f>
        <v>PRODUCT-00221</v>
      </c>
      <c r="D399" s="10" t="str">
        <f>_xlfn.XLOOKUP(B399,'Product Variant'!$A:$A,'Product Variant'!$C:$C,"NOT FOUND")</f>
        <v>[Create Medic] Bộ mở thông dạ dày qua da - Cliny</v>
      </c>
      <c r="E399" s="10" t="str" cm="1">
        <f t="array" ref="E399">_xlfn.TEXTJOIN(" / ",TRUE,_xlfn.XLOOKUP(B399&amp;"|ATTR-27",'Product Variant Attribute'!$A$2:$A$2000&amp;"|"&amp;'Product Variant Attribute'!$D$2:$D$2000,'Product Variant Attribute'!$F$2:$F$2000,""),_xlfn.XLOOKUP(B399&amp;"|ATTR-24",'Product Variant Attribute'!$A$2:$A$2000&amp;"|"&amp;'Product Variant Attribute'!$D$2:$D$2000,'Product Variant Attribute'!$F$2:$F$2000,""))</f>
        <v>20Fr</v>
      </c>
      <c r="F399" s="11" t="s">
        <v>818</v>
      </c>
      <c r="G399" s="11" t="s">
        <v>927</v>
      </c>
      <c r="H399" s="13">
        <f t="shared" si="12"/>
        <v>1</v>
      </c>
      <c r="I399" s="16" t="str">
        <f>_xlfn.XLOOKUP(C399,Product!$A:$A,Product!$G:$G,"NOT FOUND")</f>
        <v>cái</v>
      </c>
      <c r="J399" s="22"/>
      <c r="K399" s="15" t="s">
        <v>1468</v>
      </c>
      <c r="L399" s="21">
        <v>456</v>
      </c>
      <c r="M399" s="10" t="s">
        <v>1112</v>
      </c>
      <c r="N399" s="12">
        <v>102</v>
      </c>
      <c r="O399" t="str">
        <f t="shared" si="13"/>
        <v>INSERT INTO public.medical_supply_sellable_unit (code, price, quantity, sale_uom, product_variant_code) VALUES ('PRODUCT-00221-003-01', NULL, 1, 'Cái', 'PRODUCT-00221-003');</v>
      </c>
    </row>
    <row r="400" spans="1:15" x14ac:dyDescent="0.25">
      <c r="A400" s="10" t="str">
        <f>B400&amp;"-"&amp;TEXT(COUNTIF(B$2:B400,B400),"00")</f>
        <v>PRODUCT-00221-004-01</v>
      </c>
      <c r="B400" s="11" t="s">
        <v>2009</v>
      </c>
      <c r="C400" s="10" t="str">
        <f>_xlfn.XLOOKUP(B400,'Product Variant'!$A:$A,'Product Variant'!$B:$B,"NOT FOUND")</f>
        <v>PRODUCT-00221</v>
      </c>
      <c r="D400" s="10" t="str">
        <f>_xlfn.XLOOKUP(B400,'Product Variant'!$A:$A,'Product Variant'!$C:$C,"NOT FOUND")</f>
        <v>[Create Medic] Bộ mở thông dạ dày qua da - Cliny</v>
      </c>
      <c r="E400" s="10" t="str" cm="1">
        <f t="array" ref="E400">_xlfn.TEXTJOIN(" / ",TRUE,_xlfn.XLOOKUP(B400&amp;"|ATTR-27",'Product Variant Attribute'!$A$2:$A$2000&amp;"|"&amp;'Product Variant Attribute'!$D$2:$D$2000,'Product Variant Attribute'!$F$2:$F$2000,""),_xlfn.XLOOKUP(B400&amp;"|ATTR-24",'Product Variant Attribute'!$A$2:$A$2000&amp;"|"&amp;'Product Variant Attribute'!$D$2:$D$2000,'Product Variant Attribute'!$F$2:$F$2000,""))</f>
        <v>24Fr</v>
      </c>
      <c r="F400" s="11" t="s">
        <v>818</v>
      </c>
      <c r="G400" s="11" t="s">
        <v>927</v>
      </c>
      <c r="H400" s="13">
        <f t="shared" si="12"/>
        <v>1</v>
      </c>
      <c r="I400" s="16" t="str">
        <f>_xlfn.XLOOKUP(C400,Product!$A:$A,Product!$G:$G,"NOT FOUND")</f>
        <v>cái</v>
      </c>
      <c r="J400" s="22"/>
      <c r="K400" s="15" t="s">
        <v>1468</v>
      </c>
      <c r="L400" s="21">
        <v>457</v>
      </c>
      <c r="M400" s="10" t="s">
        <v>1112</v>
      </c>
      <c r="N400" s="12">
        <v>103</v>
      </c>
      <c r="O400" t="str">
        <f t="shared" si="13"/>
        <v>INSERT INTO public.medical_supply_sellable_unit (code, price, quantity, sale_uom, product_variant_code) VALUES ('PRODUCT-00221-004-01', NULL, 1, 'Cái', 'PRODUCT-00221-004');</v>
      </c>
    </row>
    <row r="401" spans="1:15" x14ac:dyDescent="0.25">
      <c r="A401" s="10" t="str">
        <f>B401&amp;"-"&amp;TEXT(COUNTIF(B$2:B401,B401),"00")</f>
        <v>PRODUCT-00222-001-01</v>
      </c>
      <c r="B401" s="11" t="s">
        <v>2010</v>
      </c>
      <c r="C401" s="10" t="str">
        <f>_xlfn.XLOOKUP(B401,'Product Variant'!$A:$A,'Product Variant'!$B:$B,"NOT FOUND")</f>
        <v>PRODUCT-00222</v>
      </c>
      <c r="D401" s="10" t="str">
        <f>_xlfn.XLOOKUP(B401,'Product Variant'!$A:$A,'Product Variant'!$C:$C,"NOT FOUND")</f>
        <v>[Daesang Wellife] Sữa dinh dưỡng dành cho người tiểu đường - Nucare Glucose Plan (200ml)</v>
      </c>
      <c r="E401" s="10" t="str" cm="1">
        <f t="array" ref="E401">_xlfn.TEXTJOIN(" / ",TRUE,_xlfn.XLOOKUP(B401&amp;"|ATTR-27",'Product Variant Attribute'!$A$2:$A$2000&amp;"|"&amp;'Product Variant Attribute'!$D$2:$D$2000,'Product Variant Attribute'!$F$2:$F$2000,""),_xlfn.XLOOKUP(B401&amp;"|ATTR-24",'Product Variant Attribute'!$A$2:$A$2000&amp;"|"&amp;'Product Variant Attribute'!$D$2:$D$2000,'Product Variant Attribute'!$F$2:$F$2000,""))</f>
        <v/>
      </c>
      <c r="F401" s="11" t="s">
        <v>816</v>
      </c>
      <c r="G401" s="11" t="s">
        <v>1113</v>
      </c>
      <c r="H401" s="13">
        <v>1</v>
      </c>
      <c r="I401" s="16" t="str">
        <f>_xlfn.XLOOKUP(C401,Product!$A:$A,Product!$G:$G,"NOT FOUND")</f>
        <v>hộp</v>
      </c>
      <c r="J401" s="20">
        <v>80000</v>
      </c>
      <c r="K401" s="15" t="s">
        <v>1323</v>
      </c>
      <c r="L401" s="21">
        <v>217</v>
      </c>
      <c r="M401" s="10" t="s">
        <v>1114</v>
      </c>
      <c r="N401" s="12">
        <v>458</v>
      </c>
      <c r="O401" t="str">
        <f t="shared" si="13"/>
        <v>INSERT INTO public.medical_supply_sellable_unit (code, price, quantity, sale_uom, product_variant_code) VALUES ('PRODUCT-00222-001-01', 80000, 1, 'Hộp', 'PRODUCT-00222-001');</v>
      </c>
    </row>
    <row r="402" spans="1:15" x14ac:dyDescent="0.25">
      <c r="A402" s="10" t="str">
        <f>B402&amp;"-"&amp;TEXT(COUNTIF(B$2:B402,B402),"00")</f>
        <v>PRODUCT-00223-001-01</v>
      </c>
      <c r="B402" s="11" t="s">
        <v>2011</v>
      </c>
      <c r="C402" s="10" t="str">
        <f>_xlfn.XLOOKUP(B402,'Product Variant'!$A:$A,'Product Variant'!$B:$B,"NOT FOUND")</f>
        <v>PRODUCT-00223</v>
      </c>
      <c r="D402" s="10" t="str">
        <f>_xlfn.XLOOKUP(B402,'Product Variant'!$A:$A,'Product Variant'!$C:$C,"NOT FOUND")</f>
        <v>[Fortune] Bộ mở thông dạ dày qua da</v>
      </c>
      <c r="E402" s="10" t="str" cm="1">
        <f t="array" ref="E402">_xlfn.TEXTJOIN(" / ",TRUE,_xlfn.XLOOKUP(B402&amp;"|ATTR-27",'Product Variant Attribute'!$A$2:$A$2000&amp;"|"&amp;'Product Variant Attribute'!$D$2:$D$2000,'Product Variant Attribute'!$F$2:$F$2000,""),_xlfn.XLOOKUP(B402&amp;"|ATTR-24",'Product Variant Attribute'!$A$2:$A$2000&amp;"|"&amp;'Product Variant Attribute'!$D$2:$D$2000,'Product Variant Attribute'!$F$2:$F$2000,""))</f>
        <v>20Fr</v>
      </c>
      <c r="F402" s="11" t="s">
        <v>818</v>
      </c>
      <c r="G402" s="11" t="s">
        <v>927</v>
      </c>
      <c r="H402" s="13">
        <f t="shared" si="12"/>
        <v>1</v>
      </c>
      <c r="I402" s="16" t="str">
        <f>_xlfn.XLOOKUP(C402,Product!$A:$A,Product!$G:$G,"NOT FOUND")</f>
        <v>cái</v>
      </c>
      <c r="J402" s="22"/>
      <c r="K402" s="15" t="s">
        <v>1468</v>
      </c>
      <c r="L402" s="21">
        <v>430</v>
      </c>
      <c r="M402" s="10" t="s">
        <v>1115</v>
      </c>
      <c r="N402" s="12">
        <v>104</v>
      </c>
      <c r="O402" t="str">
        <f t="shared" si="13"/>
        <v>INSERT INTO public.medical_supply_sellable_unit (code, price, quantity, sale_uom, product_variant_code) VALUES ('PRODUCT-00223-001-01', NULL, 1, 'Cái', 'PRODUCT-00223-001');</v>
      </c>
    </row>
    <row r="403" spans="1:15" x14ac:dyDescent="0.25">
      <c r="A403" s="10" t="str">
        <f>B403&amp;"-"&amp;TEXT(COUNTIF(B$2:B403,B403),"00")</f>
        <v>PRODUCT-00223-002-01</v>
      </c>
      <c r="B403" s="11" t="s">
        <v>2012</v>
      </c>
      <c r="C403" s="10" t="str">
        <f>_xlfn.XLOOKUP(B403,'Product Variant'!$A:$A,'Product Variant'!$B:$B,"NOT FOUND")</f>
        <v>PRODUCT-00223</v>
      </c>
      <c r="D403" s="10" t="str">
        <f>_xlfn.XLOOKUP(B403,'Product Variant'!$A:$A,'Product Variant'!$C:$C,"NOT FOUND")</f>
        <v>[Fortune] Bộ mở thông dạ dày qua da</v>
      </c>
      <c r="E403" s="10" t="str" cm="1">
        <f t="array" ref="E403">_xlfn.TEXTJOIN(" / ",TRUE,_xlfn.XLOOKUP(B403&amp;"|ATTR-27",'Product Variant Attribute'!$A$2:$A$2000&amp;"|"&amp;'Product Variant Attribute'!$D$2:$D$2000,'Product Variant Attribute'!$F$2:$F$2000,""),_xlfn.XLOOKUP(B403&amp;"|ATTR-24",'Product Variant Attribute'!$A$2:$A$2000&amp;"|"&amp;'Product Variant Attribute'!$D$2:$D$2000,'Product Variant Attribute'!$F$2:$F$2000,""))</f>
        <v>22Fr</v>
      </c>
      <c r="F403" s="11" t="s">
        <v>818</v>
      </c>
      <c r="G403" s="11" t="s">
        <v>927</v>
      </c>
      <c r="H403" s="13">
        <f t="shared" si="12"/>
        <v>1</v>
      </c>
      <c r="I403" s="16" t="str">
        <f>_xlfn.XLOOKUP(C403,Product!$A:$A,Product!$G:$G,"NOT FOUND")</f>
        <v>cái</v>
      </c>
      <c r="J403" s="22"/>
      <c r="K403" s="15" t="s">
        <v>1468</v>
      </c>
      <c r="L403" s="21">
        <v>431</v>
      </c>
      <c r="M403" s="10" t="s">
        <v>1115</v>
      </c>
      <c r="N403" s="12">
        <v>105</v>
      </c>
      <c r="O403" t="str">
        <f t="shared" si="13"/>
        <v>INSERT INTO public.medical_supply_sellable_unit (code, price, quantity, sale_uom, product_variant_code) VALUES ('PRODUCT-00223-002-01', NULL, 1, 'Cái', 'PRODUCT-00223-002');</v>
      </c>
    </row>
    <row r="404" spans="1:15" x14ac:dyDescent="0.25">
      <c r="A404" s="10" t="str">
        <f>B404&amp;"-"&amp;TEXT(COUNTIF(B$2:B404,B404),"00")</f>
        <v>PRODUCT-00223-003-01</v>
      </c>
      <c r="B404" s="11" t="s">
        <v>2013</v>
      </c>
      <c r="C404" s="10" t="str">
        <f>_xlfn.XLOOKUP(B404,'Product Variant'!$A:$A,'Product Variant'!$B:$B,"NOT FOUND")</f>
        <v>PRODUCT-00223</v>
      </c>
      <c r="D404" s="10" t="str">
        <f>_xlfn.XLOOKUP(B404,'Product Variant'!$A:$A,'Product Variant'!$C:$C,"NOT FOUND")</f>
        <v>[Fortune] Bộ mở thông dạ dày qua da</v>
      </c>
      <c r="E404" s="10" t="str" cm="1">
        <f t="array" ref="E404">_xlfn.TEXTJOIN(" / ",TRUE,_xlfn.XLOOKUP(B404&amp;"|ATTR-27",'Product Variant Attribute'!$A$2:$A$2000&amp;"|"&amp;'Product Variant Attribute'!$D$2:$D$2000,'Product Variant Attribute'!$F$2:$F$2000,""),_xlfn.XLOOKUP(B404&amp;"|ATTR-24",'Product Variant Attribute'!$A$2:$A$2000&amp;"|"&amp;'Product Variant Attribute'!$D$2:$D$2000,'Product Variant Attribute'!$F$2:$F$2000,""))</f>
        <v>24Fr</v>
      </c>
      <c r="F404" s="11" t="s">
        <v>818</v>
      </c>
      <c r="G404" s="11" t="s">
        <v>927</v>
      </c>
      <c r="H404" s="13">
        <f t="shared" si="12"/>
        <v>1</v>
      </c>
      <c r="I404" s="16" t="str">
        <f>_xlfn.XLOOKUP(C404,Product!$A:$A,Product!$G:$G,"NOT FOUND")</f>
        <v>cái</v>
      </c>
      <c r="J404" s="22"/>
      <c r="K404" s="15" t="s">
        <v>1468</v>
      </c>
      <c r="L404" s="21">
        <v>432</v>
      </c>
      <c r="M404" s="10" t="s">
        <v>1115</v>
      </c>
      <c r="N404" s="12">
        <v>106</v>
      </c>
      <c r="O404" t="str">
        <f t="shared" si="13"/>
        <v>INSERT INTO public.medical_supply_sellable_unit (code, price, quantity, sale_uom, product_variant_code) VALUES ('PRODUCT-00223-003-01', NULL, 1, 'Cái', 'PRODUCT-00223-003');</v>
      </c>
    </row>
    <row r="405" spans="1:15" x14ac:dyDescent="0.25">
      <c r="A405" s="10" t="str">
        <f>B405&amp;"-"&amp;TEXT(COUNTIF(B$2:B405,B405),"00")</f>
        <v>PRODUCT-00224-001-01</v>
      </c>
      <c r="B405" s="11" t="s">
        <v>2014</v>
      </c>
      <c r="C405" s="10" t="str">
        <f>_xlfn.XLOOKUP(B405,'Product Variant'!$A:$A,'Product Variant'!$B:$B,"NOT FOUND")</f>
        <v>PRODUCT-00224</v>
      </c>
      <c r="D405" s="10" t="str">
        <f>_xlfn.XLOOKUP(B405,'Product Variant'!$A:$A,'Product Variant'!$C:$C,"NOT FOUND")</f>
        <v>[Fortune] Xông nuôi ăn silicone dài ngày</v>
      </c>
      <c r="E405" s="10" t="str" cm="1">
        <f t="array" ref="E405">_xlfn.TEXTJOIN(" / ",TRUE,_xlfn.XLOOKUP(B405&amp;"|ATTR-27",'Product Variant Attribute'!$A$2:$A$2000&amp;"|"&amp;'Product Variant Attribute'!$D$2:$D$2000,'Product Variant Attribute'!$F$2:$F$2000,""),_xlfn.XLOOKUP(B405&amp;"|ATTR-24",'Product Variant Attribute'!$A$2:$A$2000&amp;"|"&amp;'Product Variant Attribute'!$D$2:$D$2000,'Product Variant Attribute'!$F$2:$F$2000,""))</f>
        <v>16Fr</v>
      </c>
      <c r="F405" s="11" t="s">
        <v>818</v>
      </c>
      <c r="G405" s="11" t="s">
        <v>927</v>
      </c>
      <c r="H405" s="13">
        <f t="shared" si="12"/>
        <v>1</v>
      </c>
      <c r="I405" s="16" t="str">
        <f>_xlfn.XLOOKUP(C405,Product!$A:$A,Product!$G:$G,"NOT FOUND")</f>
        <v>cái</v>
      </c>
      <c r="J405" s="20">
        <v>130000</v>
      </c>
      <c r="K405" s="15" t="s">
        <v>1327</v>
      </c>
      <c r="L405" s="21">
        <v>552</v>
      </c>
      <c r="M405" s="10" t="s">
        <v>1116</v>
      </c>
      <c r="N405" s="12">
        <v>555</v>
      </c>
      <c r="O405" t="str">
        <f t="shared" si="13"/>
        <v>INSERT INTO public.medical_supply_sellable_unit (code, price, quantity, sale_uom, product_variant_code) VALUES ('PRODUCT-00224-001-01', 130000, 1, 'Cái', 'PRODUCT-00224-001');</v>
      </c>
    </row>
    <row r="406" spans="1:15" x14ac:dyDescent="0.25">
      <c r="A406" s="10" t="str">
        <f>B406&amp;"-"&amp;TEXT(COUNTIF(B$2:B406,B406),"00")</f>
        <v>PRODUCT-00224-002-01</v>
      </c>
      <c r="B406" s="11" t="s">
        <v>2015</v>
      </c>
      <c r="C406" s="10" t="str">
        <f>_xlfn.XLOOKUP(B406,'Product Variant'!$A:$A,'Product Variant'!$B:$B,"NOT FOUND")</f>
        <v>PRODUCT-00224</v>
      </c>
      <c r="D406" s="10" t="str">
        <f>_xlfn.XLOOKUP(B406,'Product Variant'!$A:$A,'Product Variant'!$C:$C,"NOT FOUND")</f>
        <v>[Fortune] Xông nuôi ăn silicone dài ngày</v>
      </c>
      <c r="E406" s="10" t="str" cm="1">
        <f t="array" ref="E406">_xlfn.TEXTJOIN(" / ",TRUE,_xlfn.XLOOKUP(B406&amp;"|ATTR-27",'Product Variant Attribute'!$A$2:$A$2000&amp;"|"&amp;'Product Variant Attribute'!$D$2:$D$2000,'Product Variant Attribute'!$F$2:$F$2000,""),_xlfn.XLOOKUP(B406&amp;"|ATTR-24",'Product Variant Attribute'!$A$2:$A$2000&amp;"|"&amp;'Product Variant Attribute'!$D$2:$D$2000,'Product Variant Attribute'!$F$2:$F$2000,""))</f>
        <v>18Fr</v>
      </c>
      <c r="F406" s="11" t="s">
        <v>818</v>
      </c>
      <c r="G406" s="11" t="s">
        <v>927</v>
      </c>
      <c r="H406" s="13">
        <f t="shared" si="12"/>
        <v>1</v>
      </c>
      <c r="I406" s="16" t="str">
        <f>_xlfn.XLOOKUP(C406,Product!$A:$A,Product!$G:$G,"NOT FOUND")</f>
        <v>cái</v>
      </c>
      <c r="J406" s="20">
        <v>130000</v>
      </c>
      <c r="K406" s="15" t="s">
        <v>1327</v>
      </c>
      <c r="L406" s="21">
        <v>553</v>
      </c>
      <c r="M406" s="10" t="s">
        <v>1116</v>
      </c>
      <c r="N406" s="12">
        <v>556</v>
      </c>
      <c r="O406" t="str">
        <f t="shared" si="13"/>
        <v>INSERT INTO public.medical_supply_sellable_unit (code, price, quantity, sale_uom, product_variant_code) VALUES ('PRODUCT-00224-002-01', 130000, 1, 'Cái', 'PRODUCT-00224-002');</v>
      </c>
    </row>
    <row r="407" spans="1:15" x14ac:dyDescent="0.25">
      <c r="A407" s="10" t="str">
        <f>B407&amp;"-"&amp;TEXT(COUNTIF(B$2:B407,B407),"00")</f>
        <v>PRODUCT-00225-001-01</v>
      </c>
      <c r="B407" s="11" t="s">
        <v>2016</v>
      </c>
      <c r="C407" s="10" t="str">
        <f>_xlfn.XLOOKUP(B407,'Product Variant'!$A:$A,'Product Variant'!$B:$B,"NOT FOUND")</f>
        <v>PRODUCT-00225</v>
      </c>
      <c r="D407" s="10" t="str">
        <f>_xlfn.XLOOKUP(B407,'Product Variant'!$A:$A,'Product Variant'!$C:$C,"NOT FOUND")</f>
        <v>[Mepro] Dây xông dạ dày nuôi ăn silicone 30 ngày</v>
      </c>
      <c r="E407" s="10" t="str" cm="1">
        <f t="array" ref="E407">_xlfn.TEXTJOIN(" / ",TRUE,_xlfn.XLOOKUP(B407&amp;"|ATTR-27",'Product Variant Attribute'!$A$2:$A$2000&amp;"|"&amp;'Product Variant Attribute'!$D$2:$D$2000,'Product Variant Attribute'!$F$2:$F$2000,""),_xlfn.XLOOKUP(B407&amp;"|ATTR-24",'Product Variant Attribute'!$A$2:$A$2000&amp;"|"&amp;'Product Variant Attribute'!$D$2:$D$2000,'Product Variant Attribute'!$F$2:$F$2000,""))</f>
        <v>16Fr</v>
      </c>
      <c r="F407" s="11" t="s">
        <v>818</v>
      </c>
      <c r="G407" s="11" t="s">
        <v>927</v>
      </c>
      <c r="H407" s="13">
        <f t="shared" si="12"/>
        <v>1</v>
      </c>
      <c r="I407" s="16" t="str">
        <f>_xlfn.XLOOKUP(C407,Product!$A:$A,Product!$G:$G,"NOT FOUND")</f>
        <v>cái</v>
      </c>
      <c r="J407" s="20">
        <v>95000</v>
      </c>
      <c r="K407" s="15" t="s">
        <v>1327</v>
      </c>
      <c r="L407" s="21">
        <v>323</v>
      </c>
      <c r="M407" s="10" t="s">
        <v>1117</v>
      </c>
      <c r="N407" s="12">
        <v>197</v>
      </c>
      <c r="O407" t="str">
        <f t="shared" si="13"/>
        <v>INSERT INTO public.medical_supply_sellable_unit (code, price, quantity, sale_uom, product_variant_code) VALUES ('PRODUCT-00225-001-01', 95000, 1, 'Cái', 'PRODUCT-00225-001');</v>
      </c>
    </row>
    <row r="408" spans="1:15" x14ac:dyDescent="0.25">
      <c r="A408" s="10" t="str">
        <f>B408&amp;"-"&amp;TEXT(COUNTIF(B$2:B408,B408),"00")</f>
        <v>PRODUCT-00225-002-01</v>
      </c>
      <c r="B408" s="11" t="s">
        <v>2017</v>
      </c>
      <c r="C408" s="10" t="str">
        <f>_xlfn.XLOOKUP(B408,'Product Variant'!$A:$A,'Product Variant'!$B:$B,"NOT FOUND")</f>
        <v>PRODUCT-00225</v>
      </c>
      <c r="D408" s="10" t="str">
        <f>_xlfn.XLOOKUP(B408,'Product Variant'!$A:$A,'Product Variant'!$C:$C,"NOT FOUND")</f>
        <v>[Mepro] Dây xông dạ dày nuôi ăn silicone 30 ngày</v>
      </c>
      <c r="E408" s="10" t="str" cm="1">
        <f t="array" ref="E408">_xlfn.TEXTJOIN(" / ",TRUE,_xlfn.XLOOKUP(B408&amp;"|ATTR-27",'Product Variant Attribute'!$A$2:$A$2000&amp;"|"&amp;'Product Variant Attribute'!$D$2:$D$2000,'Product Variant Attribute'!$F$2:$F$2000,""),_xlfn.XLOOKUP(B408&amp;"|ATTR-24",'Product Variant Attribute'!$A$2:$A$2000&amp;"|"&amp;'Product Variant Attribute'!$D$2:$D$2000,'Product Variant Attribute'!$F$2:$F$2000,""))</f>
        <v>18Fr</v>
      </c>
      <c r="F408" s="11" t="s">
        <v>818</v>
      </c>
      <c r="G408" s="11" t="s">
        <v>927</v>
      </c>
      <c r="H408" s="13">
        <f t="shared" si="12"/>
        <v>1</v>
      </c>
      <c r="I408" s="16" t="str">
        <f>_xlfn.XLOOKUP(C408,Product!$A:$A,Product!$G:$G,"NOT FOUND")</f>
        <v>cái</v>
      </c>
      <c r="J408" s="20">
        <v>95000</v>
      </c>
      <c r="K408" s="15" t="s">
        <v>1327</v>
      </c>
      <c r="L408" s="21">
        <v>324</v>
      </c>
      <c r="M408" s="10" t="s">
        <v>1117</v>
      </c>
      <c r="N408" s="12">
        <v>198</v>
      </c>
      <c r="O408" t="str">
        <f t="shared" si="13"/>
        <v>INSERT INTO public.medical_supply_sellable_unit (code, price, quantity, sale_uom, product_variant_code) VALUES ('PRODUCT-00225-002-01', 95000, 1, 'Cái', 'PRODUCT-00225-002');</v>
      </c>
    </row>
    <row r="409" spans="1:15" x14ac:dyDescent="0.25">
      <c r="A409" s="10" t="str">
        <f>B409&amp;"-"&amp;TEXT(COUNTIF(B$2:B409,B409),"00")</f>
        <v>PRODUCT-00226-001-01</v>
      </c>
      <c r="B409" s="11" t="s">
        <v>2018</v>
      </c>
      <c r="C409" s="10" t="str">
        <f>_xlfn.XLOOKUP(B409,'Product Variant'!$A:$A,'Product Variant'!$B:$B,"NOT FOUND")</f>
        <v>PRODUCT-00226</v>
      </c>
      <c r="D409" s="10" t="str">
        <f>_xlfn.XLOOKUP(B409,'Product Variant'!$A:$A,'Product Variant'!$C:$C,"NOT FOUND")</f>
        <v>[Nutricia] Sữa dinh dưỡng - Fortimel Power (335g)</v>
      </c>
      <c r="E409" s="10" t="str" cm="1">
        <f t="array" ref="E409">_xlfn.TEXTJOIN(" / ",TRUE,_xlfn.XLOOKUP(B409&amp;"|ATTR-27",'Product Variant Attribute'!$A$2:$A$2000&amp;"|"&amp;'Product Variant Attribute'!$D$2:$D$2000,'Product Variant Attribute'!$F$2:$F$2000,""),_xlfn.XLOOKUP(B409&amp;"|ATTR-24",'Product Variant Attribute'!$A$2:$A$2000&amp;"|"&amp;'Product Variant Attribute'!$D$2:$D$2000,'Product Variant Attribute'!$F$2:$F$2000,""))</f>
        <v/>
      </c>
      <c r="F409" s="11" t="s">
        <v>816</v>
      </c>
      <c r="G409" s="11" t="s">
        <v>1118</v>
      </c>
      <c r="H409" s="13">
        <v>1</v>
      </c>
      <c r="I409" s="16" t="str">
        <f>_xlfn.XLOOKUP(C409,Product!$A:$A,Product!$G:$G,"NOT FOUND")</f>
        <v>hộp</v>
      </c>
      <c r="J409" s="22"/>
      <c r="K409" s="15" t="s">
        <v>1468</v>
      </c>
      <c r="L409" s="21">
        <v>272</v>
      </c>
      <c r="M409" s="10" t="s">
        <v>1119</v>
      </c>
      <c r="N409" s="12">
        <v>457</v>
      </c>
      <c r="O409" t="str">
        <f t="shared" si="13"/>
        <v>INSERT INTO public.medical_supply_sellable_unit (code, price, quantity, sale_uom, product_variant_code) VALUES ('PRODUCT-00226-001-01', NULL, 1, 'Hộp', 'PRODUCT-00226-001');</v>
      </c>
    </row>
    <row r="410" spans="1:15" x14ac:dyDescent="0.25">
      <c r="A410" s="10" t="str">
        <f>B410&amp;"-"&amp;TEXT(COUNTIF(B$2:B410,B410),"00")</f>
        <v>PRODUCT-00227-001-01</v>
      </c>
      <c r="B410" s="11" t="s">
        <v>2019</v>
      </c>
      <c r="C410" s="10" t="str">
        <f>_xlfn.XLOOKUP(B410,'Product Variant'!$A:$A,'Product Variant'!$B:$B,"NOT FOUND")</f>
        <v>PRODUCT-00227</v>
      </c>
      <c r="D410" s="10" t="str">
        <f>_xlfn.XLOOKUP(B410,'Product Variant'!$A:$A,'Product Variant'!$C:$C,"NOT FOUND")</f>
        <v>[Nutricia] Sữa dinh dưỡng dành cho bệnh nhân ung thư - Forticare (125ml)</v>
      </c>
      <c r="E410" s="10" t="str" cm="1">
        <f t="array" ref="E410">_xlfn.TEXTJOIN(" / ",TRUE,_xlfn.XLOOKUP(B410&amp;"|ATTR-27",'Product Variant Attribute'!$A$2:$A$2000&amp;"|"&amp;'Product Variant Attribute'!$D$2:$D$2000,'Product Variant Attribute'!$F$2:$F$2000,""),_xlfn.XLOOKUP(B410&amp;"|ATTR-24",'Product Variant Attribute'!$A$2:$A$2000&amp;"|"&amp;'Product Variant Attribute'!$D$2:$D$2000,'Product Variant Attribute'!$F$2:$F$2000,""))</f>
        <v/>
      </c>
      <c r="F410" s="11" t="s">
        <v>819</v>
      </c>
      <c r="G410" s="11" t="s">
        <v>1120</v>
      </c>
      <c r="H410" s="13">
        <f t="shared" si="12"/>
        <v>4</v>
      </c>
      <c r="I410" s="16" t="str">
        <f>_xlfn.XLOOKUP(C410,Product!$A:$A,Product!$G:$G,"NOT FOUND")</f>
        <v>chai</v>
      </c>
      <c r="J410" s="22"/>
      <c r="K410" s="15" t="s">
        <v>1468</v>
      </c>
      <c r="L410" s="21">
        <v>271</v>
      </c>
      <c r="M410" s="10" t="s">
        <v>1121</v>
      </c>
      <c r="N410" s="12">
        <v>459</v>
      </c>
      <c r="O410" t="str">
        <f t="shared" si="13"/>
        <v>INSERT INTO public.medical_supply_sellable_unit (code, price, quantity, sale_uom, product_variant_code) VALUES ('PRODUCT-00227-001-01', NULL, 4, 'Lốc', 'PRODUCT-00227-001');</v>
      </c>
    </row>
    <row r="411" spans="1:15" x14ac:dyDescent="0.25">
      <c r="A411" s="10" t="str">
        <f>B411&amp;"-"&amp;TEXT(COUNTIF(B$2:B411,B411),"00")</f>
        <v>PRODUCT-00228-001-01</v>
      </c>
      <c r="B411" s="11" t="s">
        <v>2020</v>
      </c>
      <c r="C411" s="10" t="str">
        <f>_xlfn.XLOOKUP(B411,'Product Variant'!$A:$A,'Product Variant'!$B:$B,"NOT FOUND")</f>
        <v>PRODUCT-00228</v>
      </c>
      <c r="D411" s="10" t="str">
        <f>_xlfn.XLOOKUP(B411,'Product Variant'!$A:$A,'Product Variant'!$C:$C,"NOT FOUND")</f>
        <v>[Nutricia] Sữa dinh dưỡng nuôi ăn qua ống thông - Nutrison (1000ml)</v>
      </c>
      <c r="E411" s="10" t="str" cm="1">
        <f t="array" ref="E411">_xlfn.TEXTJOIN(" / ",TRUE,_xlfn.XLOOKUP(B411&amp;"|ATTR-27",'Product Variant Attribute'!$A$2:$A$2000&amp;"|"&amp;'Product Variant Attribute'!$D$2:$D$2000,'Product Variant Attribute'!$F$2:$F$2000,""),_xlfn.XLOOKUP(B411&amp;"|ATTR-24",'Product Variant Attribute'!$A$2:$A$2000&amp;"|"&amp;'Product Variant Attribute'!$D$2:$D$2000,'Product Variant Attribute'!$F$2:$F$2000,""))</f>
        <v/>
      </c>
      <c r="F411" s="11" t="s">
        <v>820</v>
      </c>
      <c r="G411" s="11" t="s">
        <v>1122</v>
      </c>
      <c r="H411" s="13">
        <v>1</v>
      </c>
      <c r="I411" s="16" t="str">
        <f>_xlfn.XLOOKUP(C411,Product!$A:$A,Product!$G:$G,"NOT FOUND")</f>
        <v>túi</v>
      </c>
      <c r="J411" s="22"/>
      <c r="K411" s="15" t="s">
        <v>1468</v>
      </c>
      <c r="L411" s="21">
        <v>270</v>
      </c>
      <c r="M411" s="10" t="s">
        <v>1123</v>
      </c>
      <c r="N411" s="12">
        <v>460</v>
      </c>
      <c r="O411" t="str">
        <f t="shared" si="13"/>
        <v>INSERT INTO public.medical_supply_sellable_unit (code, price, quantity, sale_uom, product_variant_code) VALUES ('PRODUCT-00228-001-01', NULL, 1, 'Bịch', 'PRODUCT-00228-001');</v>
      </c>
    </row>
    <row r="412" spans="1:15" x14ac:dyDescent="0.25">
      <c r="A412" s="10" t="str">
        <f>B412&amp;"-"&amp;TEXT(COUNTIF(B$2:B412,B412),"00")</f>
        <v>PRODUCT-00229-001-01</v>
      </c>
      <c r="B412" s="11" t="s">
        <v>2021</v>
      </c>
      <c r="C412" s="10" t="str">
        <f>_xlfn.XLOOKUP(B412,'Product Variant'!$A:$A,'Product Variant'!$B:$B,"NOT FOUND")</f>
        <v>PRODUCT-00229</v>
      </c>
      <c r="D412" s="10" t="str">
        <f>_xlfn.XLOOKUP(B412,'Product Variant'!$A:$A,'Product Variant'!$C:$C,"NOT FOUND")</f>
        <v>[SeaSight] Bộ mở dạ dày qua da</v>
      </c>
      <c r="E412" s="10" t="str" cm="1">
        <f t="array" ref="E412">_xlfn.TEXTJOIN(" / ",TRUE,_xlfn.XLOOKUP(B412&amp;"|ATTR-27",'Product Variant Attribute'!$A$2:$A$2000&amp;"|"&amp;'Product Variant Attribute'!$D$2:$D$2000,'Product Variant Attribute'!$F$2:$F$2000,""),_xlfn.XLOOKUP(B412&amp;"|ATTR-24",'Product Variant Attribute'!$A$2:$A$2000&amp;"|"&amp;'Product Variant Attribute'!$D$2:$D$2000,'Product Variant Attribute'!$F$2:$F$2000,""))</f>
        <v>22Fr</v>
      </c>
      <c r="F412" s="11" t="s">
        <v>818</v>
      </c>
      <c r="G412" s="11" t="s">
        <v>927</v>
      </c>
      <c r="H412" s="13">
        <f t="shared" si="12"/>
        <v>1</v>
      </c>
      <c r="I412" s="16" t="str">
        <f>_xlfn.XLOOKUP(C412,Product!$A:$A,Product!$G:$G,"NOT FOUND")</f>
        <v>cái</v>
      </c>
      <c r="J412" s="22"/>
      <c r="K412" s="15" t="s">
        <v>1468</v>
      </c>
      <c r="L412" s="21">
        <v>361</v>
      </c>
      <c r="M412" s="10" t="s">
        <v>1124</v>
      </c>
      <c r="N412" s="12">
        <v>95</v>
      </c>
      <c r="O412" t="str">
        <f t="shared" si="13"/>
        <v>INSERT INTO public.medical_supply_sellable_unit (code, price, quantity, sale_uom, product_variant_code) VALUES ('PRODUCT-00229-001-01', NULL, 1, 'Cái', 'PRODUCT-00229-001');</v>
      </c>
    </row>
    <row r="413" spans="1:15" x14ac:dyDescent="0.25">
      <c r="A413" s="10" t="str">
        <f>B413&amp;"-"&amp;TEXT(COUNTIF(B$2:B413,B413),"00")</f>
        <v>PRODUCT-00229-002-01</v>
      </c>
      <c r="B413" s="11" t="s">
        <v>2022</v>
      </c>
      <c r="C413" s="10" t="str">
        <f>_xlfn.XLOOKUP(B413,'Product Variant'!$A:$A,'Product Variant'!$B:$B,"NOT FOUND")</f>
        <v>PRODUCT-00229</v>
      </c>
      <c r="D413" s="10" t="str">
        <f>_xlfn.XLOOKUP(B413,'Product Variant'!$A:$A,'Product Variant'!$C:$C,"NOT FOUND")</f>
        <v>[SeaSight] Bộ mở dạ dày qua da</v>
      </c>
      <c r="E413" s="10" t="str" cm="1">
        <f t="array" ref="E413">_xlfn.TEXTJOIN(" / ",TRUE,_xlfn.XLOOKUP(B413&amp;"|ATTR-27",'Product Variant Attribute'!$A$2:$A$2000&amp;"|"&amp;'Product Variant Attribute'!$D$2:$D$2000,'Product Variant Attribute'!$F$2:$F$2000,""),_xlfn.XLOOKUP(B413&amp;"|ATTR-24",'Product Variant Attribute'!$A$2:$A$2000&amp;"|"&amp;'Product Variant Attribute'!$D$2:$D$2000,'Product Variant Attribute'!$F$2:$F$2000,""))</f>
        <v>24Fr</v>
      </c>
      <c r="F413" s="11" t="s">
        <v>818</v>
      </c>
      <c r="G413" s="11" t="s">
        <v>927</v>
      </c>
      <c r="H413" s="13">
        <f t="shared" si="12"/>
        <v>1</v>
      </c>
      <c r="I413" s="16" t="str">
        <f>_xlfn.XLOOKUP(C413,Product!$A:$A,Product!$G:$G,"NOT FOUND")</f>
        <v>cái</v>
      </c>
      <c r="J413" s="22"/>
      <c r="K413" s="15" t="s">
        <v>1468</v>
      </c>
      <c r="L413" s="21">
        <v>362</v>
      </c>
      <c r="M413" s="10" t="s">
        <v>1124</v>
      </c>
      <c r="N413" s="12">
        <v>96</v>
      </c>
      <c r="O413" t="str">
        <f t="shared" si="13"/>
        <v>INSERT INTO public.medical_supply_sellable_unit (code, price, quantity, sale_uom, product_variant_code) VALUES ('PRODUCT-00229-002-01', NULL, 1, 'Cái', 'PRODUCT-00229-002');</v>
      </c>
    </row>
    <row r="414" spans="1:15" x14ac:dyDescent="0.25">
      <c r="A414" s="10" t="str">
        <f>B414&amp;"-"&amp;TEXT(COUNTIF(B$2:B414,B414),"00")</f>
        <v>PRODUCT-00230-001-01</v>
      </c>
      <c r="B414" s="11" t="s">
        <v>2023</v>
      </c>
      <c r="C414" s="10" t="str">
        <f>_xlfn.XLOOKUP(B414,'Product Variant'!$A:$A,'Product Variant'!$B:$B,"NOT FOUND")</f>
        <v>PRODUCT-00230</v>
      </c>
      <c r="D414" s="10" t="str">
        <f>_xlfn.XLOOKUP(B414,'Product Variant'!$A:$A,'Product Variant'!$C:$C,"NOT FOUND")</f>
        <v>[SeaSight] Dây nuôi ăn mũi - dạ dày silicone dài ngày</v>
      </c>
      <c r="E414" s="10" t="str" cm="1">
        <f t="array" ref="E414">_xlfn.TEXTJOIN(" / ",TRUE,_xlfn.XLOOKUP(B414&amp;"|ATTR-27",'Product Variant Attribute'!$A$2:$A$2000&amp;"|"&amp;'Product Variant Attribute'!$D$2:$D$2000,'Product Variant Attribute'!$F$2:$F$2000,""),_xlfn.XLOOKUP(B414&amp;"|ATTR-24",'Product Variant Attribute'!$A$2:$A$2000&amp;"|"&amp;'Product Variant Attribute'!$D$2:$D$2000,'Product Variant Attribute'!$F$2:$F$2000,""))</f>
        <v>16Fr</v>
      </c>
      <c r="F414" s="11" t="s">
        <v>818</v>
      </c>
      <c r="G414" s="11" t="s">
        <v>927</v>
      </c>
      <c r="H414" s="13">
        <f t="shared" si="12"/>
        <v>1</v>
      </c>
      <c r="I414" s="16" t="str">
        <f>_xlfn.XLOOKUP(C414,Product!$A:$A,Product!$G:$G,"NOT FOUND")</f>
        <v>cái</v>
      </c>
      <c r="J414" s="22"/>
      <c r="K414" s="15" t="s">
        <v>1468</v>
      </c>
      <c r="L414" s="21" t="s">
        <v>1416</v>
      </c>
      <c r="M414" s="10" t="s">
        <v>1125</v>
      </c>
      <c r="N414" s="12" t="s">
        <v>1239</v>
      </c>
      <c r="O414" t="str">
        <f t="shared" si="13"/>
        <v>INSERT INTO public.medical_supply_sellable_unit (code, price, quantity, sale_uom, product_variant_code) VALUES ('PRODUCT-00230-001-01', NULL, 1, 'Cái', 'PRODUCT-00230-001');</v>
      </c>
    </row>
    <row r="415" spans="1:15" x14ac:dyDescent="0.25">
      <c r="A415" s="10" t="str">
        <f>B415&amp;"-"&amp;TEXT(COUNTIF(B$2:B415,B415),"00")</f>
        <v>PRODUCT-00230-002-01</v>
      </c>
      <c r="B415" s="11" t="s">
        <v>2024</v>
      </c>
      <c r="C415" s="10" t="str">
        <f>_xlfn.XLOOKUP(B415,'Product Variant'!$A:$A,'Product Variant'!$B:$B,"NOT FOUND")</f>
        <v>PRODUCT-00230</v>
      </c>
      <c r="D415" s="10" t="str">
        <f>_xlfn.XLOOKUP(B415,'Product Variant'!$A:$A,'Product Variant'!$C:$C,"NOT FOUND")</f>
        <v>[SeaSight] Dây nuôi ăn mũi - dạ dày silicone dài ngày</v>
      </c>
      <c r="E415" s="10" t="str" cm="1">
        <f t="array" ref="E415">_xlfn.TEXTJOIN(" / ",TRUE,_xlfn.XLOOKUP(B415&amp;"|ATTR-27",'Product Variant Attribute'!$A$2:$A$2000&amp;"|"&amp;'Product Variant Attribute'!$D$2:$D$2000,'Product Variant Attribute'!$F$2:$F$2000,""),_xlfn.XLOOKUP(B415&amp;"|ATTR-24",'Product Variant Attribute'!$A$2:$A$2000&amp;"|"&amp;'Product Variant Attribute'!$D$2:$D$2000,'Product Variant Attribute'!$F$2:$F$2000,""))</f>
        <v>18Fr</v>
      </c>
      <c r="F415" s="11" t="s">
        <v>818</v>
      </c>
      <c r="G415" s="11" t="s">
        <v>927</v>
      </c>
      <c r="H415" s="13">
        <f t="shared" si="12"/>
        <v>1</v>
      </c>
      <c r="I415" s="16" t="str">
        <f>_xlfn.XLOOKUP(C415,Product!$A:$A,Product!$G:$G,"NOT FOUND")</f>
        <v>cái</v>
      </c>
      <c r="J415" s="22"/>
      <c r="K415" s="15" t="s">
        <v>1468</v>
      </c>
      <c r="L415" s="21" t="s">
        <v>1417</v>
      </c>
      <c r="M415" s="10" t="s">
        <v>1125</v>
      </c>
      <c r="N415" s="12" t="s">
        <v>1240</v>
      </c>
      <c r="O415" t="str">
        <f t="shared" si="13"/>
        <v>INSERT INTO public.medical_supply_sellable_unit (code, price, quantity, sale_uom, product_variant_code) VALUES ('PRODUCT-00230-002-01', NULL, 1, 'Cái', 'PRODUCT-00230-002');</v>
      </c>
    </row>
    <row r="416" spans="1:15" x14ac:dyDescent="0.25">
      <c r="A416" s="10" t="str">
        <f>B416&amp;"-"&amp;TEXT(COUNTIF(B$2:B416,B416),"00")</f>
        <v>PRODUCT-00231-001-01</v>
      </c>
      <c r="B416" s="11" t="s">
        <v>2025</v>
      </c>
      <c r="C416" s="10" t="str">
        <f>_xlfn.XLOOKUP(B416,'Product Variant'!$A:$A,'Product Variant'!$B:$B,"NOT FOUND")</f>
        <v>PRODUCT-00231</v>
      </c>
      <c r="D416" s="10" t="str">
        <f>_xlfn.XLOOKUP(B416,'Product Variant'!$A:$A,'Product Variant'!$C:$C,"NOT FOUND")</f>
        <v>[Teleflex] Ống chẹn thực quản, dạ dày - Sengstaken-Blakemore Tube</v>
      </c>
      <c r="E416" s="10" t="str" cm="1">
        <f t="array" ref="E416">_xlfn.TEXTJOIN(" / ",TRUE,_xlfn.XLOOKUP(B416&amp;"|ATTR-27",'Product Variant Attribute'!$A$2:$A$2000&amp;"|"&amp;'Product Variant Attribute'!$D$2:$D$2000,'Product Variant Attribute'!$F$2:$F$2000,""),_xlfn.XLOOKUP(B416&amp;"|ATTR-24",'Product Variant Attribute'!$A$2:$A$2000&amp;"|"&amp;'Product Variant Attribute'!$D$2:$D$2000,'Product Variant Attribute'!$F$2:$F$2000,""))</f>
        <v/>
      </c>
      <c r="F416" s="11" t="s">
        <v>818</v>
      </c>
      <c r="G416" s="11" t="s">
        <v>927</v>
      </c>
      <c r="H416" s="13">
        <f t="shared" si="12"/>
        <v>1</v>
      </c>
      <c r="I416" s="16" t="str">
        <f>_xlfn.XLOOKUP(C416,Product!$A:$A,Product!$G:$G,"NOT FOUND")</f>
        <v>cái</v>
      </c>
      <c r="J416" s="22"/>
      <c r="K416" s="15" t="s">
        <v>1468</v>
      </c>
      <c r="L416" s="21">
        <v>487</v>
      </c>
      <c r="M416" s="10" t="s">
        <v>1126</v>
      </c>
      <c r="N416" s="12">
        <v>381</v>
      </c>
      <c r="O416" t="str">
        <f t="shared" si="13"/>
        <v>INSERT INTO public.medical_supply_sellable_unit (code, price, quantity, sale_uom, product_variant_code) VALUES ('PRODUCT-00231-001-01', NULL, 1, 'Cái', 'PRODUCT-00231-001');</v>
      </c>
    </row>
    <row r="417" spans="1:15" x14ac:dyDescent="0.25">
      <c r="A417" s="10" t="str">
        <f>B417&amp;"-"&amp;TEXT(COUNTIF(B$2:B417,B417),"00")</f>
        <v>PRODUCT-00232-001-01</v>
      </c>
      <c r="B417" s="11" t="s">
        <v>2026</v>
      </c>
      <c r="C417" s="10" t="str">
        <f>_xlfn.XLOOKUP(B417,'Product Variant'!$A:$A,'Product Variant'!$B:$B,"NOT FOUND")</f>
        <v>PRODUCT-00232</v>
      </c>
      <c r="D417" s="10" t="str">
        <f>_xlfn.XLOOKUP(B417,'Product Variant'!$A:$A,'Product Variant'!$C:$C,"NOT FOUND")</f>
        <v>[Vinahankook] Bơm tiêm cho ăn sử dụng 1 lần - 50cc (50ml)</v>
      </c>
      <c r="E417" s="10" t="str" cm="1">
        <f t="array" ref="E417">_xlfn.TEXTJOIN(" / ",TRUE,_xlfn.XLOOKUP(B417&amp;"|ATTR-27",'Product Variant Attribute'!$A$2:$A$2000&amp;"|"&amp;'Product Variant Attribute'!$D$2:$D$2000,'Product Variant Attribute'!$F$2:$F$2000,""),_xlfn.XLOOKUP(B417&amp;"|ATTR-24",'Product Variant Attribute'!$A$2:$A$2000&amp;"|"&amp;'Product Variant Attribute'!$D$2:$D$2000,'Product Variant Attribute'!$F$2:$F$2000,""))</f>
        <v/>
      </c>
      <c r="F417" s="11" t="s">
        <v>816</v>
      </c>
      <c r="G417" s="11" t="s">
        <v>1127</v>
      </c>
      <c r="H417" s="13">
        <f t="shared" si="12"/>
        <v>25</v>
      </c>
      <c r="I417" s="16" t="str">
        <f>_xlfn.XLOOKUP(C417,Product!$A:$A,Product!$G:$G,"NOT FOUND")</f>
        <v>cái</v>
      </c>
      <c r="J417" s="22"/>
      <c r="K417" s="15" t="s">
        <v>1326</v>
      </c>
      <c r="L417" s="21"/>
      <c r="M417" s="10" t="s">
        <v>1128</v>
      </c>
      <c r="N417" s="12" t="s">
        <v>1241</v>
      </c>
      <c r="O417" t="str">
        <f t="shared" si="13"/>
        <v>INSERT INTO public.medical_supply_sellable_unit (code, price, quantity, sale_uom, product_variant_code) VALUES ('PRODUCT-00232-001-01', NULL, 25, 'Hộp', 'PRODUCT-00232-001');</v>
      </c>
    </row>
    <row r="418" spans="1:15" x14ac:dyDescent="0.25">
      <c r="A418" s="10" t="str">
        <f>B418&amp;"-"&amp;TEXT(COUNTIF(B$2:B418,B418),"00")</f>
        <v>PRODUCT-00233-001-01</v>
      </c>
      <c r="B418" s="11" t="s">
        <v>2027</v>
      </c>
      <c r="C418" s="10" t="str">
        <f>_xlfn.XLOOKUP(B418,'Product Variant'!$A:$A,'Product Variant'!$B:$B,"NOT FOUND")</f>
        <v>PRODUCT-00233</v>
      </c>
      <c r="D418" s="10" t="str">
        <f>_xlfn.XLOOKUP(B418,'Product Variant'!$A:$A,'Product Variant'!$C:$C,"NOT FOUND")</f>
        <v>Dây nuôi ăn đầu nặng silicon</v>
      </c>
      <c r="E418" s="10" t="str" cm="1">
        <f t="array" ref="E418">_xlfn.TEXTJOIN(" / ",TRUE,_xlfn.XLOOKUP(B418&amp;"|ATTR-27",'Product Variant Attribute'!$A$2:$A$2000&amp;"|"&amp;'Product Variant Attribute'!$D$2:$D$2000,'Product Variant Attribute'!$F$2:$F$2000,""),_xlfn.XLOOKUP(B418&amp;"|ATTR-24",'Product Variant Attribute'!$A$2:$A$2000&amp;"|"&amp;'Product Variant Attribute'!$D$2:$D$2000,'Product Variant Attribute'!$F$2:$F$2000,""))</f>
        <v>16Fr</v>
      </c>
      <c r="F418" s="11" t="s">
        <v>818</v>
      </c>
      <c r="G418" s="11" t="s">
        <v>927</v>
      </c>
      <c r="H418" s="13">
        <f t="shared" si="12"/>
        <v>1</v>
      </c>
      <c r="I418" s="16" t="str">
        <f>_xlfn.XLOOKUP(C418,Product!$A:$A,Product!$G:$G,"NOT FOUND")</f>
        <v>cái</v>
      </c>
      <c r="J418" s="20">
        <v>300000</v>
      </c>
      <c r="K418" s="15" t="s">
        <v>1327</v>
      </c>
      <c r="L418" s="21">
        <v>30</v>
      </c>
      <c r="M418" s="10" t="s">
        <v>110</v>
      </c>
      <c r="N418" s="12">
        <v>185</v>
      </c>
      <c r="O418" t="str">
        <f t="shared" si="13"/>
        <v>INSERT INTO public.medical_supply_sellable_unit (code, price, quantity, sale_uom, product_variant_code) VALUES ('PRODUCT-00233-001-01', 300000, 1, 'Cái', 'PRODUCT-00233-001');</v>
      </c>
    </row>
    <row r="419" spans="1:15" x14ac:dyDescent="0.25">
      <c r="A419" s="10" t="str">
        <f>B419&amp;"-"&amp;TEXT(COUNTIF(B$2:B419,B419),"00")</f>
        <v>PRODUCT-00233-002-01</v>
      </c>
      <c r="B419" s="11" t="s">
        <v>2028</v>
      </c>
      <c r="C419" s="10" t="str">
        <f>_xlfn.XLOOKUP(B419,'Product Variant'!$A:$A,'Product Variant'!$B:$B,"NOT FOUND")</f>
        <v>PRODUCT-00233</v>
      </c>
      <c r="D419" s="10" t="str">
        <f>_xlfn.XLOOKUP(B419,'Product Variant'!$A:$A,'Product Variant'!$C:$C,"NOT FOUND")</f>
        <v>Dây nuôi ăn đầu nặng silicon</v>
      </c>
      <c r="E419" s="10" t="str" cm="1">
        <f t="array" ref="E419">_xlfn.TEXTJOIN(" / ",TRUE,_xlfn.XLOOKUP(B419&amp;"|ATTR-27",'Product Variant Attribute'!$A$2:$A$2000&amp;"|"&amp;'Product Variant Attribute'!$D$2:$D$2000,'Product Variant Attribute'!$F$2:$F$2000,""),_xlfn.XLOOKUP(B419&amp;"|ATTR-24",'Product Variant Attribute'!$A$2:$A$2000&amp;"|"&amp;'Product Variant Attribute'!$D$2:$D$2000,'Product Variant Attribute'!$F$2:$F$2000,""))</f>
        <v>18Fr</v>
      </c>
      <c r="F419" s="11" t="s">
        <v>818</v>
      </c>
      <c r="G419" s="11" t="s">
        <v>927</v>
      </c>
      <c r="H419" s="13">
        <f t="shared" si="12"/>
        <v>1</v>
      </c>
      <c r="I419" s="16" t="str">
        <f>_xlfn.XLOOKUP(C419,Product!$A:$A,Product!$G:$G,"NOT FOUND")</f>
        <v>cái</v>
      </c>
      <c r="J419" s="20">
        <v>300000</v>
      </c>
      <c r="K419" s="15" t="s">
        <v>1327</v>
      </c>
      <c r="L419" s="21">
        <v>31</v>
      </c>
      <c r="M419" s="10" t="s">
        <v>110</v>
      </c>
      <c r="N419" s="12">
        <v>186</v>
      </c>
      <c r="O419" t="str">
        <f t="shared" si="13"/>
        <v>INSERT INTO public.medical_supply_sellable_unit (code, price, quantity, sale_uom, product_variant_code) VALUES ('PRODUCT-00233-002-01', 300000, 1, 'Cái', 'PRODUCT-00233-002');</v>
      </c>
    </row>
    <row r="420" spans="1:15" x14ac:dyDescent="0.25">
      <c r="A420" s="10" t="str">
        <f>B420&amp;"-"&amp;TEXT(COUNTIF(B$2:B420,B420),"00")</f>
        <v>PRODUCT-00234-001-01</v>
      </c>
      <c r="B420" s="11" t="s">
        <v>2029</v>
      </c>
      <c r="C420" s="10" t="str">
        <f>_xlfn.XLOOKUP(B420,'Product Variant'!$A:$A,'Product Variant'!$B:$B,"NOT FOUND")</f>
        <v>PRODUCT-00234</v>
      </c>
      <c r="D420" s="10" t="str">
        <f>_xlfn.XLOOKUP(B420,'Product Variant'!$A:$A,'Product Variant'!$C:$C,"NOT FOUND")</f>
        <v>[Lepu Medical] Catheter chạy thận nhân tạo 2 nòng, đầu thẳng</v>
      </c>
      <c r="E420" s="10" t="str" cm="1">
        <f t="array" ref="E420">_xlfn.TEXTJOIN(" / ",TRUE,_xlfn.XLOOKUP(B420&amp;"|ATTR-27",'Product Variant Attribute'!$A$2:$A$2000&amp;"|"&amp;'Product Variant Attribute'!$D$2:$D$2000,'Product Variant Attribute'!$F$2:$F$2000,""),_xlfn.XLOOKUP(B420&amp;"|ATTR-24",'Product Variant Attribute'!$A$2:$A$2000&amp;"|"&amp;'Product Variant Attribute'!$D$2:$D$2000,'Product Variant Attribute'!$F$2:$F$2000,""))</f>
        <v/>
      </c>
      <c r="F420" s="11" t="s">
        <v>815</v>
      </c>
      <c r="G420" s="11" t="s">
        <v>826</v>
      </c>
      <c r="H420" s="13">
        <f t="shared" si="12"/>
        <v>1</v>
      </c>
      <c r="I420" s="16" t="str">
        <f>_xlfn.XLOOKUP(C420,Product!$A:$A,Product!$G:$G,"NOT FOUND")</f>
        <v>bộ</v>
      </c>
      <c r="J420" s="20">
        <v>360000</v>
      </c>
      <c r="K420" s="15" t="s">
        <v>1323</v>
      </c>
      <c r="L420" s="21">
        <v>232</v>
      </c>
      <c r="M420" s="10" t="s">
        <v>1129</v>
      </c>
      <c r="N420" s="12">
        <v>132</v>
      </c>
      <c r="O420" t="str">
        <f t="shared" si="13"/>
        <v>INSERT INTO public.medical_supply_sellable_unit (code, price, quantity, sale_uom, product_variant_code) VALUES ('PRODUCT-00234-001-01', 360000, 1, 'Bộ', 'PRODUCT-00234-001');</v>
      </c>
    </row>
    <row r="421" spans="1:15" x14ac:dyDescent="0.25">
      <c r="A421" s="10" t="str">
        <f>B421&amp;"-"&amp;TEXT(COUNTIF(B$2:B421,B421),"00")</f>
        <v>PRODUCT-00235-001-01</v>
      </c>
      <c r="B421" s="11" t="s">
        <v>2030</v>
      </c>
      <c r="C421" s="10" t="str">
        <f>_xlfn.XLOOKUP(B421,'Product Variant'!$A:$A,'Product Variant'!$B:$B,"NOT FOUND")</f>
        <v>PRODUCT-00235</v>
      </c>
      <c r="D421" s="10" t="str">
        <f>_xlfn.XLOOKUP(B421,'Product Variant'!$A:$A,'Product Variant'!$C:$C,"NOT FOUND")</f>
        <v>[Lepu Medical] Catheter chạy thận nhân tạo 3 nòng, đầu thẳng</v>
      </c>
      <c r="E421" s="10" t="str" cm="1">
        <f t="array" ref="E421">_xlfn.TEXTJOIN(" / ",TRUE,_xlfn.XLOOKUP(B421&amp;"|ATTR-27",'Product Variant Attribute'!$A$2:$A$2000&amp;"|"&amp;'Product Variant Attribute'!$D$2:$D$2000,'Product Variant Attribute'!$F$2:$F$2000,""),_xlfn.XLOOKUP(B421&amp;"|ATTR-24",'Product Variant Attribute'!$A$2:$A$2000&amp;"|"&amp;'Product Variant Attribute'!$D$2:$D$2000,'Product Variant Attribute'!$F$2:$F$2000,""))</f>
        <v/>
      </c>
      <c r="F421" s="11" t="s">
        <v>815</v>
      </c>
      <c r="G421" s="11" t="s">
        <v>826</v>
      </c>
      <c r="H421" s="13">
        <f t="shared" si="12"/>
        <v>1</v>
      </c>
      <c r="I421" s="16" t="str">
        <f>_xlfn.XLOOKUP(C421,Product!$A:$A,Product!$G:$G,"NOT FOUND")</f>
        <v>bộ</v>
      </c>
      <c r="J421" s="20">
        <v>360000</v>
      </c>
      <c r="K421" s="15" t="s">
        <v>1323</v>
      </c>
      <c r="L421" s="21">
        <v>233</v>
      </c>
      <c r="M421" s="10" t="s">
        <v>1130</v>
      </c>
      <c r="N421" s="12">
        <v>133</v>
      </c>
      <c r="O421" t="str">
        <f t="shared" si="13"/>
        <v>INSERT INTO public.medical_supply_sellable_unit (code, price, quantity, sale_uom, product_variant_code) VALUES ('PRODUCT-00235-001-01', 360000, 1, 'Bộ', 'PRODUCT-00235-001');</v>
      </c>
    </row>
    <row r="422" spans="1:15" x14ac:dyDescent="0.25">
      <c r="A422" s="10" t="str">
        <f>B422&amp;"-"&amp;TEXT(COUNTIF(B$2:B422,B422),"00")</f>
        <v>PRODUCT-00236-001-01</v>
      </c>
      <c r="B422" s="11" t="s">
        <v>2031</v>
      </c>
      <c r="C422" s="10" t="str">
        <f>_xlfn.XLOOKUP(B422,'Product Variant'!$A:$A,'Product Variant'!$B:$B,"NOT FOUND")</f>
        <v>PRODUCT-00236</v>
      </c>
      <c r="D422" s="10" t="str">
        <f>_xlfn.XLOOKUP(B422,'Product Variant'!$A:$A,'Product Variant'!$C:$C,"NOT FOUND")</f>
        <v>[Medtronic] Bình chứa insulin - MiniMed Reservoir 3.0ml MMT-332A (3ml)</v>
      </c>
      <c r="E422" s="10" t="str" cm="1">
        <f t="array" ref="E422">_xlfn.TEXTJOIN(" / ",TRUE,_xlfn.XLOOKUP(B422&amp;"|ATTR-27",'Product Variant Attribute'!$A$2:$A$2000&amp;"|"&amp;'Product Variant Attribute'!$D$2:$D$2000,'Product Variant Attribute'!$F$2:$F$2000,""),_xlfn.XLOOKUP(B422&amp;"|ATTR-24",'Product Variant Attribute'!$A$2:$A$2000&amp;"|"&amp;'Product Variant Attribute'!$D$2:$D$2000,'Product Variant Attribute'!$F$2:$F$2000,""))</f>
        <v/>
      </c>
      <c r="F422" s="11" t="s">
        <v>816</v>
      </c>
      <c r="G422" s="11" t="s">
        <v>1014</v>
      </c>
      <c r="H422" s="13">
        <f t="shared" si="12"/>
        <v>10</v>
      </c>
      <c r="I422" s="16" t="str">
        <f>_xlfn.XLOOKUP(C422,Product!$A:$A,Product!$G:$G,"NOT FOUND")</f>
        <v>cái</v>
      </c>
      <c r="J422" s="20">
        <v>500000</v>
      </c>
      <c r="K422" s="15" t="s">
        <v>1323</v>
      </c>
      <c r="L422" s="21">
        <v>252</v>
      </c>
      <c r="M422" s="10" t="s">
        <v>1131</v>
      </c>
      <c r="N422" s="12">
        <v>86</v>
      </c>
      <c r="O422" t="str">
        <f t="shared" si="13"/>
        <v>INSERT INTO public.medical_supply_sellable_unit (code, price, quantity, sale_uom, product_variant_code) VALUES ('PRODUCT-00236-001-01', 500000, 10, 'Hộp', 'PRODUCT-00236-001');</v>
      </c>
    </row>
    <row r="423" spans="1:15" x14ac:dyDescent="0.25">
      <c r="A423" s="10" t="str">
        <f>B423&amp;"-"&amp;TEXT(COUNTIF(B$2:B423,B423),"00")</f>
        <v>PRODUCT-00237-001-01</v>
      </c>
      <c r="B423" s="11" t="s">
        <v>2032</v>
      </c>
      <c r="C423" s="10" t="str">
        <f>_xlfn.XLOOKUP(B423,'Product Variant'!$A:$A,'Product Variant'!$B:$B,"NOT FOUND")</f>
        <v>PRODUCT-00237</v>
      </c>
      <c r="D423" s="10" t="str">
        <f>_xlfn.XLOOKUP(B423,'Product Variant'!$A:$A,'Product Variant'!$C:$C,"NOT FOUND")</f>
        <v>[Medtronic] Bộ dụng cụ gắn cảm biến đo đường huyết liên tục - One-Press Serter</v>
      </c>
      <c r="E423" s="10" t="str" cm="1">
        <f t="array" ref="E423">_xlfn.TEXTJOIN(" / ",TRUE,_xlfn.XLOOKUP(B423&amp;"|ATTR-27",'Product Variant Attribute'!$A$2:$A$2000&amp;"|"&amp;'Product Variant Attribute'!$D$2:$D$2000,'Product Variant Attribute'!$F$2:$F$2000,""),_xlfn.XLOOKUP(B423&amp;"|ATTR-24",'Product Variant Attribute'!$A$2:$A$2000&amp;"|"&amp;'Product Variant Attribute'!$D$2:$D$2000,'Product Variant Attribute'!$F$2:$F$2000,""))</f>
        <v/>
      </c>
      <c r="F423" s="11" t="s">
        <v>818</v>
      </c>
      <c r="G423" s="11" t="s">
        <v>927</v>
      </c>
      <c r="H423" s="13">
        <f t="shared" si="12"/>
        <v>1</v>
      </c>
      <c r="I423" s="16" t="str">
        <f>_xlfn.XLOOKUP(C423,Product!$A:$A,Product!$G:$G,"NOT FOUND")</f>
        <v>cái</v>
      </c>
      <c r="J423" s="20">
        <v>1600000</v>
      </c>
      <c r="K423" s="15" t="s">
        <v>1323</v>
      </c>
      <c r="L423" s="21">
        <v>235</v>
      </c>
      <c r="M423" s="10" t="s">
        <v>1132</v>
      </c>
      <c r="N423" s="12">
        <v>89</v>
      </c>
      <c r="O423" t="str">
        <f t="shared" si="13"/>
        <v>INSERT INTO public.medical_supply_sellable_unit (code, price, quantity, sale_uom, product_variant_code) VALUES ('PRODUCT-00237-001-01', 1600000, 1, 'Cái', 'PRODUCT-00237-001');</v>
      </c>
    </row>
    <row r="424" spans="1:15" x14ac:dyDescent="0.25">
      <c r="A424" s="10" t="str">
        <f>B424&amp;"-"&amp;TEXT(COUNTIF(B$2:B424,B424),"00")</f>
        <v>PRODUCT-00238-001-01</v>
      </c>
      <c r="B424" s="11" t="s">
        <v>2033</v>
      </c>
      <c r="C424" s="10" t="str">
        <f>_xlfn.XLOOKUP(B424,'Product Variant'!$A:$A,'Product Variant'!$B:$B,"NOT FOUND")</f>
        <v>PRODUCT-00238</v>
      </c>
      <c r="D424" s="10" t="str">
        <f>_xlfn.XLOOKUP(B424,'Product Variant'!$A:$A,'Product Variant'!$C:$C,"NOT FOUND")</f>
        <v>[Medtronic] Bộ dụng cụ gắn cổng tiêm insulin - Quick-Serter</v>
      </c>
      <c r="E424" s="10" t="str" cm="1">
        <f t="array" ref="E424">_xlfn.TEXTJOIN(" / ",TRUE,_xlfn.XLOOKUP(B424&amp;"|ATTR-27",'Product Variant Attribute'!$A$2:$A$2000&amp;"|"&amp;'Product Variant Attribute'!$D$2:$D$2000,'Product Variant Attribute'!$F$2:$F$2000,""),_xlfn.XLOOKUP(B424&amp;"|ATTR-24",'Product Variant Attribute'!$A$2:$A$2000&amp;"|"&amp;'Product Variant Attribute'!$D$2:$D$2000,'Product Variant Attribute'!$F$2:$F$2000,""))</f>
        <v/>
      </c>
      <c r="F424" s="11" t="s">
        <v>818</v>
      </c>
      <c r="G424" s="11" t="s">
        <v>927</v>
      </c>
      <c r="H424" s="13">
        <f t="shared" si="12"/>
        <v>1</v>
      </c>
      <c r="I424" s="16" t="str">
        <f>_xlfn.XLOOKUP(C424,Product!$A:$A,Product!$G:$G,"NOT FOUND")</f>
        <v>cái</v>
      </c>
      <c r="J424" s="20">
        <v>1100000</v>
      </c>
      <c r="K424" s="15" t="s">
        <v>1323</v>
      </c>
      <c r="L424" s="21">
        <v>251</v>
      </c>
      <c r="M424" s="10" t="s">
        <v>1133</v>
      </c>
      <c r="N424" s="12">
        <v>90</v>
      </c>
      <c r="O424" t="str">
        <f t="shared" si="13"/>
        <v>INSERT INTO public.medical_supply_sellable_unit (code, price, quantity, sale_uom, product_variant_code) VALUES ('PRODUCT-00238-001-01', 1100000, 1, 'Cái', 'PRODUCT-00238-001');</v>
      </c>
    </row>
    <row r="425" spans="1:15" x14ac:dyDescent="0.25">
      <c r="A425" s="10" t="str">
        <f>B425&amp;"-"&amp;TEXT(COUNTIF(B$2:B425,B425),"00")</f>
        <v>PRODUCT-00239-001-01</v>
      </c>
      <c r="B425" s="11" t="s">
        <v>2034</v>
      </c>
      <c r="C425" s="10" t="str">
        <f>_xlfn.XLOOKUP(B425,'Product Variant'!$A:$A,'Product Variant'!$B:$B,"NOT FOUND")</f>
        <v>PRODUCT-00239</v>
      </c>
      <c r="D425" s="10" t="str">
        <f>_xlfn.XLOOKUP(B425,'Product Variant'!$A:$A,'Product Variant'!$C:$C,"NOT FOUND")</f>
        <v>[Medtronic] Dây truyền insulin - Paradigm Quick Set Infusion</v>
      </c>
      <c r="E425" s="10" t="str" cm="1">
        <f t="array" ref="E425">_xlfn.TEXTJOIN(" / ",TRUE,_xlfn.XLOOKUP(B425&amp;"|ATTR-27",'Product Variant Attribute'!$A$2:$A$2000&amp;"|"&amp;'Product Variant Attribute'!$D$2:$D$2000,'Product Variant Attribute'!$F$2:$F$2000,""),_xlfn.XLOOKUP(B425&amp;"|ATTR-24",'Product Variant Attribute'!$A$2:$A$2000&amp;"|"&amp;'Product Variant Attribute'!$D$2:$D$2000,'Product Variant Attribute'!$F$2:$F$2000,""))</f>
        <v/>
      </c>
      <c r="F425" s="11" t="s">
        <v>816</v>
      </c>
      <c r="G425" s="11" t="s">
        <v>1014</v>
      </c>
      <c r="H425" s="13">
        <f t="shared" si="12"/>
        <v>10</v>
      </c>
      <c r="I425" s="16" t="str">
        <f>_xlfn.XLOOKUP(C425,Product!$A:$A,Product!$G:$G,"NOT FOUND")</f>
        <v>cái</v>
      </c>
      <c r="J425" s="20">
        <v>3000000</v>
      </c>
      <c r="K425" s="15" t="s">
        <v>1323</v>
      </c>
      <c r="L425" s="21" t="s">
        <v>1418</v>
      </c>
      <c r="M425" s="10" t="s">
        <v>1134</v>
      </c>
      <c r="N425" s="12" t="s">
        <v>1242</v>
      </c>
      <c r="O425" t="str">
        <f t="shared" si="13"/>
        <v>INSERT INTO public.medical_supply_sellable_unit (code, price, quantity, sale_uom, product_variant_code) VALUES ('PRODUCT-00239-001-01', 3000000, 10, 'Hộp', 'PRODUCT-00239-001');</v>
      </c>
    </row>
    <row r="426" spans="1:15" x14ac:dyDescent="0.25">
      <c r="A426" s="10" t="str">
        <f>B426&amp;"-"&amp;TEXT(COUNTIF(B$2:B426,B426),"00")</f>
        <v>PRODUCT-00240-001-01</v>
      </c>
      <c r="B426" s="11" t="s">
        <v>2035</v>
      </c>
      <c r="C426" s="10" t="str">
        <f>_xlfn.XLOOKUP(B426,'Product Variant'!$A:$A,'Product Variant'!$B:$B,"NOT FOUND")</f>
        <v>PRODUCT-00240</v>
      </c>
      <c r="D426" s="10" t="str">
        <f>_xlfn.XLOOKUP(B426,'Product Variant'!$A:$A,'Product Variant'!$C:$C,"NOT FOUND")</f>
        <v>[Medtronic] Máy bơm insulin tự động - MiniMed 640G Black MMOL</v>
      </c>
      <c r="E426" s="10" t="str" cm="1">
        <f t="array" ref="E426">_xlfn.TEXTJOIN(" / ",TRUE,_xlfn.XLOOKUP(B426&amp;"|ATTR-27",'Product Variant Attribute'!$A$2:$A$2000&amp;"|"&amp;'Product Variant Attribute'!$D$2:$D$2000,'Product Variant Attribute'!$F$2:$F$2000,""),_xlfn.XLOOKUP(B426&amp;"|ATTR-24",'Product Variant Attribute'!$A$2:$A$2000&amp;"|"&amp;'Product Variant Attribute'!$D$2:$D$2000,'Product Variant Attribute'!$F$2:$F$2000,""))</f>
        <v>Đen</v>
      </c>
      <c r="F426" s="11" t="s">
        <v>818</v>
      </c>
      <c r="G426" s="11" t="s">
        <v>927</v>
      </c>
      <c r="H426" s="13">
        <f t="shared" si="12"/>
        <v>1</v>
      </c>
      <c r="I426" s="16" t="str">
        <f>_xlfn.XLOOKUP(C426,Product!$A:$A,Product!$G:$G,"NOT FOUND")</f>
        <v>cái</v>
      </c>
      <c r="J426" s="22"/>
      <c r="K426" s="15" t="s">
        <v>1468</v>
      </c>
      <c r="L426" s="21">
        <v>236</v>
      </c>
      <c r="M426" s="10" t="s">
        <v>1135</v>
      </c>
      <c r="N426" s="12">
        <v>300</v>
      </c>
      <c r="O426" t="str">
        <f t="shared" si="13"/>
        <v>INSERT INTO public.medical_supply_sellable_unit (code, price, quantity, sale_uom, product_variant_code) VALUES ('PRODUCT-00240-001-01', NULL, 1, 'Cái', 'PRODUCT-00240-001');</v>
      </c>
    </row>
    <row r="427" spans="1:15" x14ac:dyDescent="0.25">
      <c r="A427" s="10" t="str">
        <f>B427&amp;"-"&amp;TEXT(COUNTIF(B$2:B427,B427),"00")</f>
        <v>PRODUCT-00241-001-01</v>
      </c>
      <c r="B427" s="11" t="s">
        <v>2036</v>
      </c>
      <c r="C427" s="10" t="str">
        <f>_xlfn.XLOOKUP(B427,'Product Variant'!$A:$A,'Product Variant'!$B:$B,"NOT FOUND")</f>
        <v>PRODUCT-00241</v>
      </c>
      <c r="D427" s="10" t="str">
        <f>_xlfn.XLOOKUP(B427,'Product Variant'!$A:$A,'Product Variant'!$C:$C,"NOT FOUND")</f>
        <v>[Medtronic] Máy bơm insulin tự động - MiniMed Paradigm 715</v>
      </c>
      <c r="E427" s="10" t="str" cm="1">
        <f t="array" ref="E427">_xlfn.TEXTJOIN(" / ",TRUE,_xlfn.XLOOKUP(B427&amp;"|ATTR-27",'Product Variant Attribute'!$A$2:$A$2000&amp;"|"&amp;'Product Variant Attribute'!$D$2:$D$2000,'Product Variant Attribute'!$F$2:$F$2000,""),_xlfn.XLOOKUP(B427&amp;"|ATTR-24",'Product Variant Attribute'!$A$2:$A$2000&amp;"|"&amp;'Product Variant Attribute'!$D$2:$D$2000,'Product Variant Attribute'!$F$2:$F$2000,""))</f>
        <v/>
      </c>
      <c r="F427" s="11" t="s">
        <v>818</v>
      </c>
      <c r="G427" s="11" t="s">
        <v>927</v>
      </c>
      <c r="H427" s="13">
        <f t="shared" si="12"/>
        <v>1</v>
      </c>
      <c r="I427" s="16" t="str">
        <f>_xlfn.XLOOKUP(C427,Product!$A:$A,Product!$G:$G,"NOT FOUND")</f>
        <v>cái</v>
      </c>
      <c r="J427" s="22"/>
      <c r="K427" s="15" t="s">
        <v>1468</v>
      </c>
      <c r="L427" s="21">
        <v>256</v>
      </c>
      <c r="M427" s="10" t="s">
        <v>1136</v>
      </c>
      <c r="N427" s="12">
        <v>301</v>
      </c>
      <c r="O427" t="str">
        <f t="shared" si="13"/>
        <v>INSERT INTO public.medical_supply_sellable_unit (code, price, quantity, sale_uom, product_variant_code) VALUES ('PRODUCT-00241-001-01', NULL, 1, 'Cái', 'PRODUCT-00241-001');</v>
      </c>
    </row>
    <row r="428" spans="1:15" x14ac:dyDescent="0.25">
      <c r="A428" s="10" t="str">
        <f>B428&amp;"-"&amp;TEXT(COUNTIF(B$2:B428,B428),"00")</f>
        <v>PRODUCT-00242-001-01</v>
      </c>
      <c r="B428" s="11" t="s">
        <v>2037</v>
      </c>
      <c r="C428" s="10" t="str">
        <f>_xlfn.XLOOKUP(B428,'Product Variant'!$A:$A,'Product Variant'!$B:$B,"NOT FOUND")</f>
        <v>PRODUCT-00242</v>
      </c>
      <c r="D428" s="10" t="str">
        <f>_xlfn.XLOOKUP(B428,'Product Variant'!$A:$A,'Product Variant'!$C:$C,"NOT FOUND")</f>
        <v>[Profit Royal] Khẩu trang y tế N95 sợi Nanofiber - Nask</v>
      </c>
      <c r="E428" s="10" t="str" cm="1">
        <f t="array" ref="E428">_xlfn.TEXTJOIN(" / ",TRUE,_xlfn.XLOOKUP(B428&amp;"|ATTR-27",'Product Variant Attribute'!$A$2:$A$2000&amp;"|"&amp;'Product Variant Attribute'!$D$2:$D$2000,'Product Variant Attribute'!$F$2:$F$2000,""),_xlfn.XLOOKUP(B428&amp;"|ATTR-24",'Product Variant Attribute'!$A$2:$A$2000&amp;"|"&amp;'Product Variant Attribute'!$D$2:$D$2000,'Product Variant Attribute'!$F$2:$F$2000,""))</f>
        <v/>
      </c>
      <c r="F428" s="11" t="s">
        <v>818</v>
      </c>
      <c r="G428" s="11" t="s">
        <v>927</v>
      </c>
      <c r="H428" s="13">
        <f t="shared" si="12"/>
        <v>1</v>
      </c>
      <c r="I428" s="16" t="str">
        <f>_xlfn.XLOOKUP(C428,Product!$A:$A,Product!$G:$G,"NOT FOUND")</f>
        <v>cái</v>
      </c>
      <c r="J428" s="22"/>
      <c r="K428" s="15" t="s">
        <v>1468</v>
      </c>
      <c r="L428" s="21">
        <v>503</v>
      </c>
      <c r="M428" s="10" t="s">
        <v>1137</v>
      </c>
      <c r="N428" s="12">
        <v>277</v>
      </c>
      <c r="O428" t="str">
        <f t="shared" si="13"/>
        <v>INSERT INTO public.medical_supply_sellable_unit (code, price, quantity, sale_uom, product_variant_code) VALUES ('PRODUCT-00242-001-01', NULL, 1, 'Cái', 'PRODUCT-00242-001');</v>
      </c>
    </row>
    <row r="429" spans="1:15" x14ac:dyDescent="0.25">
      <c r="A429" s="10" t="str">
        <f>B429&amp;"-"&amp;TEXT(COUNTIF(B$2:B429,B429),"00")</f>
        <v>PRODUCT-00243-001-01</v>
      </c>
      <c r="B429" s="11" t="s">
        <v>2038</v>
      </c>
      <c r="C429" s="10" t="str">
        <f>_xlfn.XLOOKUP(B429,'Product Variant'!$A:$A,'Product Variant'!$B:$B,"NOT FOUND")</f>
        <v>PRODUCT-00243</v>
      </c>
      <c r="D429" s="10" t="str">
        <f>_xlfn.XLOOKUP(B429,'Product Variant'!$A:$A,'Product Variant'!$C:$C,"NOT FOUND")</f>
        <v>[Roche] Thiết bị lấy máu tích hợp kim - Accu-Chek Safe-T-Pro Uno (Ø0.36mm)</v>
      </c>
      <c r="E429" s="10" t="str" cm="1">
        <f t="array" ref="E429">_xlfn.TEXTJOIN(" / ",TRUE,_xlfn.XLOOKUP(B429&amp;"|ATTR-27",'Product Variant Attribute'!$A$2:$A$2000&amp;"|"&amp;'Product Variant Attribute'!$D$2:$D$2000,'Product Variant Attribute'!$F$2:$F$2000,""),_xlfn.XLOOKUP(B429&amp;"|ATTR-24",'Product Variant Attribute'!$A$2:$A$2000&amp;"|"&amp;'Product Variant Attribute'!$D$2:$D$2000,'Product Variant Attribute'!$F$2:$F$2000,""))</f>
        <v/>
      </c>
      <c r="F429" s="11" t="s">
        <v>816</v>
      </c>
      <c r="G429" s="11" t="s">
        <v>1138</v>
      </c>
      <c r="H429" s="13">
        <f t="shared" si="12"/>
        <v>200</v>
      </c>
      <c r="I429" s="16" t="str">
        <f>_xlfn.XLOOKUP(C429,Product!$A:$A,Product!$G:$G,"NOT FOUND")</f>
        <v>chiếc</v>
      </c>
      <c r="J429" s="20">
        <v>550000</v>
      </c>
      <c r="K429" s="15" t="s">
        <v>1323</v>
      </c>
      <c r="L429" s="21">
        <v>367</v>
      </c>
      <c r="M429" s="10" t="s">
        <v>1139</v>
      </c>
      <c r="N429" s="12">
        <v>461</v>
      </c>
      <c r="O429" t="str">
        <f t="shared" si="13"/>
        <v>INSERT INTO public.medical_supply_sellable_unit (code, price, quantity, sale_uom, product_variant_code) VALUES ('PRODUCT-00243-001-01', 550000, 200, 'Hộp', 'PRODUCT-00243-001');</v>
      </c>
    </row>
    <row r="430" spans="1:15" x14ac:dyDescent="0.25">
      <c r="A430" s="10" t="str">
        <f>B430&amp;"-"&amp;TEXT(COUNTIF(B$2:B430,B430),"00")</f>
        <v>PRODUCT-00244-001-01</v>
      </c>
      <c r="B430" s="11" t="s">
        <v>2039</v>
      </c>
      <c r="C430" s="10" t="str">
        <f>_xlfn.XLOOKUP(B430,'Product Variant'!$A:$A,'Product Variant'!$B:$B,"NOT FOUND")</f>
        <v>PRODUCT-00244</v>
      </c>
      <c r="D430" s="10" t="str">
        <f>_xlfn.XLOOKUP(B430,'Product Variant'!$A:$A,'Product Variant'!$C:$C,"NOT FOUND")</f>
        <v>[Sinocare] Kim chích máu - Sinodraw</v>
      </c>
      <c r="E430" s="10" t="str" cm="1">
        <f t="array" ref="E430">_xlfn.TEXTJOIN(" / ",TRUE,_xlfn.XLOOKUP(B430&amp;"|ATTR-27",'Product Variant Attribute'!$A$2:$A$2000&amp;"|"&amp;'Product Variant Attribute'!$D$2:$D$2000,'Product Variant Attribute'!$F$2:$F$2000,""),_xlfn.XLOOKUP(B430&amp;"|ATTR-24",'Product Variant Attribute'!$A$2:$A$2000&amp;"|"&amp;'Product Variant Attribute'!$D$2:$D$2000,'Product Variant Attribute'!$F$2:$F$2000,""))</f>
        <v/>
      </c>
      <c r="F430" s="11" t="s">
        <v>816</v>
      </c>
      <c r="G430" s="11" t="s">
        <v>1140</v>
      </c>
      <c r="H430" s="13">
        <f t="shared" si="12"/>
        <v>50</v>
      </c>
      <c r="I430" s="16" t="str">
        <f>_xlfn.XLOOKUP(C430,Product!$A:$A,Product!$G:$G,"NOT FOUND")</f>
        <v>kim</v>
      </c>
      <c r="J430" s="20">
        <v>15000</v>
      </c>
      <c r="K430" s="15" t="s">
        <v>1323</v>
      </c>
      <c r="L430" s="21">
        <v>366</v>
      </c>
      <c r="M430" s="10" t="s">
        <v>1141</v>
      </c>
      <c r="N430" s="12">
        <v>279</v>
      </c>
      <c r="O430" t="str">
        <f t="shared" si="13"/>
        <v>INSERT INTO public.medical_supply_sellable_unit (code, price, quantity, sale_uom, product_variant_code) VALUES ('PRODUCT-00244-001-01', 15000, 50, 'Hộp', 'PRODUCT-00244-001');</v>
      </c>
    </row>
    <row r="431" spans="1:15" x14ac:dyDescent="0.25">
      <c r="A431" s="10" t="str">
        <f>B431&amp;"-"&amp;TEXT(COUNTIF(B$2:B431,B431),"00")</f>
        <v>PRODUCT-00245-001-01</v>
      </c>
      <c r="B431" s="11" t="s">
        <v>2040</v>
      </c>
      <c r="C431" s="10" t="str">
        <f>_xlfn.XLOOKUP(B431,'Product Variant'!$A:$A,'Product Variant'!$B:$B,"NOT FOUND")</f>
        <v>PRODUCT-00245</v>
      </c>
      <c r="D431" s="10" t="str">
        <f>_xlfn.XLOOKUP(B431,'Product Variant'!$A:$A,'Product Variant'!$C:$C,"NOT FOUND")</f>
        <v>[SungShim] Bơm tiêm insulin (0.5ml)</v>
      </c>
      <c r="E431" s="10" t="str" cm="1">
        <f t="array" ref="E431">_xlfn.TEXTJOIN(" / ",TRUE,_xlfn.XLOOKUP(B431&amp;"|ATTR-27",'Product Variant Attribute'!$A$2:$A$2000&amp;"|"&amp;'Product Variant Attribute'!$D$2:$D$2000,'Product Variant Attribute'!$F$2:$F$2000,""),_xlfn.XLOOKUP(B431&amp;"|ATTR-24",'Product Variant Attribute'!$A$2:$A$2000&amp;"|"&amp;'Product Variant Attribute'!$D$2:$D$2000,'Product Variant Attribute'!$F$2:$F$2000,""))</f>
        <v/>
      </c>
      <c r="F431" s="11" t="s">
        <v>816</v>
      </c>
      <c r="G431" s="11" t="s">
        <v>1142</v>
      </c>
      <c r="H431" s="13">
        <f t="shared" si="12"/>
        <v>100</v>
      </c>
      <c r="I431" s="16" t="str">
        <f>_xlfn.XLOOKUP(C431,Product!$A:$A,Product!$G:$G,"NOT FOUND")</f>
        <v>cái</v>
      </c>
      <c r="J431" s="20">
        <v>220000</v>
      </c>
      <c r="K431" s="15" t="s">
        <v>1323</v>
      </c>
      <c r="L431" s="21">
        <v>386</v>
      </c>
      <c r="M431" s="10" t="s">
        <v>1143</v>
      </c>
      <c r="N431" s="12">
        <v>122</v>
      </c>
      <c r="O431" t="str">
        <f t="shared" si="13"/>
        <v>INSERT INTO public.medical_supply_sellable_unit (code, price, quantity, sale_uom, product_variant_code) VALUES ('PRODUCT-00245-001-01', 220000, 100, 'Hộp', 'PRODUCT-00245-001');</v>
      </c>
    </row>
    <row r="432" spans="1:15" x14ac:dyDescent="0.25">
      <c r="A432" s="10" t="str">
        <f>B432&amp;"-"&amp;TEXT(COUNTIF(B$2:B432,B432),"00")</f>
        <v>PRODUCT-00294-001-01</v>
      </c>
      <c r="B432" s="11" t="s">
        <v>2041</v>
      </c>
      <c r="C432" s="10" t="str">
        <f>_xlfn.XLOOKUP(B432,'Product Variant'!$A:$A,'Product Variant'!$B:$B,"NOT FOUND")</f>
        <v>PRODUCT-00294</v>
      </c>
      <c r="D432" s="10" t="str">
        <f>_xlfn.XLOOKUP(B432,'Product Variant'!$A:$A,'Product Variant'!$C:$C,"NOT FOUND")</f>
        <v>[SungShim] Bơm tiêm insulin (1ml)</v>
      </c>
      <c r="E432" s="10" t="str" cm="1">
        <f t="array" ref="E432">_xlfn.TEXTJOIN(" / ",TRUE,_xlfn.XLOOKUP(B432&amp;"|ATTR-27",'Product Variant Attribute'!$A$2:$A$2000&amp;"|"&amp;'Product Variant Attribute'!$D$2:$D$2000,'Product Variant Attribute'!$F$2:$F$2000,""),_xlfn.XLOOKUP(B432&amp;"|ATTR-24",'Product Variant Attribute'!$A$2:$A$2000&amp;"|"&amp;'Product Variant Attribute'!$D$2:$D$2000,'Product Variant Attribute'!$F$2:$F$2000,""))</f>
        <v/>
      </c>
      <c r="F432" s="11" t="s">
        <v>816</v>
      </c>
      <c r="G432" s="11" t="s">
        <v>1142</v>
      </c>
      <c r="H432" s="13">
        <f t="shared" ref="H432:H438" si="14">IFERROR(--LEFT(G432,FIND(" ",G432&amp;" ")-1),"")</f>
        <v>100</v>
      </c>
      <c r="I432" s="16" t="str">
        <f>_xlfn.XLOOKUP(C432,Product!$A:$A,Product!$G:$G,"NOT FOUND")</f>
        <v>cái</v>
      </c>
      <c r="J432" s="22">
        <v>185000</v>
      </c>
      <c r="K432" s="15" t="s">
        <v>1419</v>
      </c>
      <c r="L432" s="21" t="s">
        <v>1420</v>
      </c>
      <c r="M432" s="10" t="s">
        <v>1144</v>
      </c>
      <c r="N432" s="12" t="s">
        <v>1243</v>
      </c>
      <c r="O432" t="str">
        <f t="shared" si="13"/>
        <v>INSERT INTO public.medical_supply_sellable_unit (code, price, quantity, sale_uom, product_variant_code) VALUES ('PRODUCT-00294-001-01', 185000, 100, 'Hộp', 'PRODUCT-00294-001');</v>
      </c>
    </row>
    <row r="433" spans="1:15" x14ac:dyDescent="0.25">
      <c r="A433" s="10" t="str">
        <f>B433&amp;"-"&amp;TEXT(COUNTIF(B$2:B433,B433),"00")</f>
        <v>PRODUCT-00246-001-01</v>
      </c>
      <c r="B433" s="11" t="s">
        <v>2042</v>
      </c>
      <c r="C433" s="10" t="str">
        <f>_xlfn.XLOOKUP(B433,'Product Variant'!$A:$A,'Product Variant'!$B:$B,"NOT FOUND")</f>
        <v>PRODUCT-00246</v>
      </c>
      <c r="D433" s="10" t="str">
        <f>_xlfn.XLOOKUP(B433,'Product Variant'!$A:$A,'Product Variant'!$C:$C,"NOT FOUND")</f>
        <v>[Vinahankook] Bơm tiêm insulin sử dụng 1 lần - 1ml U100</v>
      </c>
      <c r="E433" s="10" t="str" cm="1">
        <f t="array" ref="E433">_xlfn.TEXTJOIN(" / ",TRUE,_xlfn.XLOOKUP(B433&amp;"|ATTR-27",'Product Variant Attribute'!$A$2:$A$2000&amp;"|"&amp;'Product Variant Attribute'!$D$2:$D$2000,'Product Variant Attribute'!$F$2:$F$2000,""),_xlfn.XLOOKUP(B433&amp;"|ATTR-24",'Product Variant Attribute'!$A$2:$A$2000&amp;"|"&amp;'Product Variant Attribute'!$D$2:$D$2000,'Product Variant Attribute'!$F$2:$F$2000,""))</f>
        <v/>
      </c>
      <c r="F433" s="11" t="s">
        <v>816</v>
      </c>
      <c r="G433" s="11" t="s">
        <v>1142</v>
      </c>
      <c r="H433" s="13">
        <f t="shared" si="14"/>
        <v>100</v>
      </c>
      <c r="I433" s="16" t="str">
        <f>_xlfn.XLOOKUP(C433,Product!$A:$A,Product!$G:$G,"NOT FOUND")</f>
        <v>cái</v>
      </c>
      <c r="J433" s="20">
        <v>170000</v>
      </c>
      <c r="K433" s="15" t="s">
        <v>1323</v>
      </c>
      <c r="L433" s="21">
        <v>377</v>
      </c>
      <c r="M433" s="10" t="s">
        <v>1145</v>
      </c>
      <c r="N433" s="12">
        <v>121</v>
      </c>
      <c r="O433" t="str">
        <f t="shared" si="13"/>
        <v>INSERT INTO public.medical_supply_sellable_unit (code, price, quantity, sale_uom, product_variant_code) VALUES ('PRODUCT-00246-001-01', 170000, 100, 'Hộp', 'PRODUCT-00246-001');</v>
      </c>
    </row>
    <row r="434" spans="1:15" x14ac:dyDescent="0.25">
      <c r="A434" s="10" t="str">
        <f>B434&amp;"-"&amp;TEXT(COUNTIF(B$2:B434,B434),"00")</f>
        <v>PRODUCT-00247-001-01</v>
      </c>
      <c r="B434" s="11" t="s">
        <v>2043</v>
      </c>
      <c r="C434" s="10" t="str">
        <f>_xlfn.XLOOKUP(B434,'Product Variant'!$A:$A,'Product Variant'!$B:$B,"NOT FOUND")</f>
        <v>PRODUCT-00247</v>
      </c>
      <c r="D434" s="10" t="str">
        <f>_xlfn.XLOOKUP(B434,'Product Variant'!$A:$A,'Product Variant'!$C:$C,"NOT FOUND")</f>
        <v>[Welford] Dây truyền dịch đếm giọt - WELCARE IF6006</v>
      </c>
      <c r="E434" s="10" t="str" cm="1">
        <f t="array" ref="E434">_xlfn.TEXTJOIN(" / ",TRUE,_xlfn.XLOOKUP(B434&amp;"|ATTR-27",'Product Variant Attribute'!$A$2:$A$2000&amp;"|"&amp;'Product Variant Attribute'!$D$2:$D$2000,'Product Variant Attribute'!$F$2:$F$2000,""),_xlfn.XLOOKUP(B434&amp;"|ATTR-24",'Product Variant Attribute'!$A$2:$A$2000&amp;"|"&amp;'Product Variant Attribute'!$D$2:$D$2000,'Product Variant Attribute'!$F$2:$F$2000,""))</f>
        <v/>
      </c>
      <c r="F434" s="11" t="s">
        <v>815</v>
      </c>
      <c r="G434" s="11" t="s">
        <v>826</v>
      </c>
      <c r="H434" s="13">
        <f t="shared" si="14"/>
        <v>1</v>
      </c>
      <c r="I434" s="16" t="str">
        <f>_xlfn.XLOOKUP(C434,Product!$A:$A,Product!$G:$G,"NOT FOUND")</f>
        <v>bộ</v>
      </c>
      <c r="J434" s="20">
        <v>58000</v>
      </c>
      <c r="K434" s="15" t="s">
        <v>1323</v>
      </c>
      <c r="L434" s="21">
        <v>20</v>
      </c>
      <c r="M434" s="10" t="s">
        <v>1146</v>
      </c>
      <c r="N434" s="12">
        <v>193</v>
      </c>
      <c r="O434" t="str">
        <f t="shared" si="13"/>
        <v>INSERT INTO public.medical_supply_sellable_unit (code, price, quantity, sale_uom, product_variant_code) VALUES ('PRODUCT-00247-001-01', 58000, 1, 'Bộ', 'PRODUCT-00247-001');</v>
      </c>
    </row>
    <row r="435" spans="1:15" x14ac:dyDescent="0.25">
      <c r="A435" s="10" t="str">
        <f>B435&amp;"-"&amp;TEXT(COUNTIF(B$2:B435,B435),"00")</f>
        <v>PRODUCT-00248-001-01</v>
      </c>
      <c r="B435" s="11" t="s">
        <v>2044</v>
      </c>
      <c r="C435" s="10" t="str">
        <f>_xlfn.XLOOKUP(B435,'Product Variant'!$A:$A,'Product Variant'!$B:$B,"NOT FOUND")</f>
        <v>PRODUCT-00248</v>
      </c>
      <c r="D435" s="10" t="str">
        <f>_xlfn.XLOOKUP(B435,'Product Variant'!$A:$A,'Product Variant'!$C:$C,"NOT FOUND")</f>
        <v>[Young Chemical Vina] Băng keo cố định kim luồn có gạc - Wound - IV (6cmx7cm)</v>
      </c>
      <c r="E435" s="10" t="str" cm="1">
        <f t="array" ref="E435">_xlfn.TEXTJOIN(" / ",TRUE,_xlfn.XLOOKUP(B435&amp;"|ATTR-27",'Product Variant Attribute'!$A$2:$A$2000&amp;"|"&amp;'Product Variant Attribute'!$D$2:$D$2000,'Product Variant Attribute'!$F$2:$F$2000,""),_xlfn.XLOOKUP(B435&amp;"|ATTR-24",'Product Variant Attribute'!$A$2:$A$2000&amp;"|"&amp;'Product Variant Attribute'!$D$2:$D$2000,'Product Variant Attribute'!$F$2:$F$2000,""))</f>
        <v/>
      </c>
      <c r="F435" s="11" t="s">
        <v>817</v>
      </c>
      <c r="G435" s="11" t="s">
        <v>841</v>
      </c>
      <c r="H435" s="13">
        <f t="shared" si="14"/>
        <v>1</v>
      </c>
      <c r="I435" s="16" t="str">
        <f>_xlfn.XLOOKUP(C435,Product!$A:$A,Product!$G:$G,"NOT FOUND")</f>
        <v>miếng</v>
      </c>
      <c r="J435" s="20">
        <v>3000</v>
      </c>
      <c r="K435" s="15" t="s">
        <v>1323</v>
      </c>
      <c r="L435" s="21">
        <v>470</v>
      </c>
      <c r="M435" s="10" t="s">
        <v>1147</v>
      </c>
      <c r="N435" s="12">
        <v>59</v>
      </c>
      <c r="O435" t="str">
        <f t="shared" si="13"/>
        <v>INSERT INTO public.medical_supply_sellable_unit (code, price, quantity, sale_uom, product_variant_code) VALUES ('PRODUCT-00248-001-01', 3000, 1, 'Túi', 'PRODUCT-00248-001');</v>
      </c>
    </row>
    <row r="436" spans="1:15" x14ac:dyDescent="0.25">
      <c r="A436" s="10" t="str">
        <f>B436&amp;"-"&amp;TEXT(COUNTIF(B$2:B436,B436),"00")</f>
        <v>PRODUCT-00248-001-02</v>
      </c>
      <c r="B436" s="11" t="s">
        <v>2044</v>
      </c>
      <c r="C436" s="10" t="str">
        <f>_xlfn.XLOOKUP(B436,'Product Variant'!$A:$A,'Product Variant'!$B:$B,"NOT FOUND")</f>
        <v>PRODUCT-00248</v>
      </c>
      <c r="D436" s="10" t="str">
        <f>_xlfn.XLOOKUP(B436,'Product Variant'!$A:$A,'Product Variant'!$C:$C,"NOT FOUND")</f>
        <v>[Young Chemical Vina] Băng keo cố định kim luồn có gạc - Wound - IV (6cmx7cm)</v>
      </c>
      <c r="E436" s="10" t="str" cm="1">
        <f t="array" ref="E436">_xlfn.TEXTJOIN(" / ",TRUE,_xlfn.XLOOKUP(B436&amp;"|ATTR-27",'Product Variant Attribute'!$A$2:$A$2000&amp;"|"&amp;'Product Variant Attribute'!$D$2:$D$2000,'Product Variant Attribute'!$F$2:$F$2000,""),_xlfn.XLOOKUP(B436&amp;"|ATTR-24",'Product Variant Attribute'!$A$2:$A$2000&amp;"|"&amp;'Product Variant Attribute'!$D$2:$D$2000,'Product Variant Attribute'!$F$2:$F$2000,""))</f>
        <v/>
      </c>
      <c r="F436" s="11" t="s">
        <v>816</v>
      </c>
      <c r="G436" s="11" t="s">
        <v>856</v>
      </c>
      <c r="H436" s="13">
        <f t="shared" si="14"/>
        <v>100</v>
      </c>
      <c r="I436" s="16" t="str">
        <f>_xlfn.XLOOKUP(C436,Product!$A:$A,Product!$G:$G,"NOT FOUND")</f>
        <v>miếng</v>
      </c>
      <c r="J436" s="20">
        <v>280000</v>
      </c>
      <c r="K436" s="15" t="s">
        <v>1323</v>
      </c>
      <c r="L436" s="21">
        <v>48</v>
      </c>
      <c r="M436" s="10" t="s">
        <v>1148</v>
      </c>
      <c r="N436" s="12">
        <v>60</v>
      </c>
      <c r="O436" t="str">
        <f t="shared" si="13"/>
        <v>INSERT INTO public.medical_supply_sellable_unit (code, price, quantity, sale_uom, product_variant_code) VALUES ('PRODUCT-00248-001-02', 280000, 100, 'Hộp', 'PRODUCT-00248-001');</v>
      </c>
    </row>
    <row r="437" spans="1:15" x14ac:dyDescent="0.25">
      <c r="A437" s="10" t="str">
        <f>B437&amp;"-"&amp;TEXT(COUNTIF(B$2:B437,B437),"00")</f>
        <v>PRODUCT-00249-001-01</v>
      </c>
      <c r="B437" s="11" t="s">
        <v>2045</v>
      </c>
      <c r="C437" s="10" t="str">
        <f>_xlfn.XLOOKUP(B437,'Product Variant'!$A:$A,'Product Variant'!$B:$B,"NOT FOUND")</f>
        <v>PRODUCT-00249</v>
      </c>
      <c r="D437" s="10" t="str">
        <f>_xlfn.XLOOKUP(B437,'Product Variant'!$A:$A,'Product Variant'!$C:$C,"NOT FOUND")</f>
        <v>[Young Chemical Vina] Băng keo cố định kim luồn không thấm nước không gạc - Adflex - IV (5.1cmx6cm)</v>
      </c>
      <c r="E437" s="10" t="str" cm="1">
        <f t="array" ref="E437">_xlfn.TEXTJOIN(" / ",TRUE,_xlfn.XLOOKUP(B437&amp;"|ATTR-27",'Product Variant Attribute'!$A$2:$A$2000&amp;"|"&amp;'Product Variant Attribute'!$D$2:$D$2000,'Product Variant Attribute'!$F$2:$F$2000,""),_xlfn.XLOOKUP(B437&amp;"|ATTR-24",'Product Variant Attribute'!$A$2:$A$2000&amp;"|"&amp;'Product Variant Attribute'!$D$2:$D$2000,'Product Variant Attribute'!$F$2:$F$2000,""))</f>
        <v/>
      </c>
      <c r="F437" s="11" t="s">
        <v>817</v>
      </c>
      <c r="G437" s="11" t="s">
        <v>841</v>
      </c>
      <c r="H437" s="13">
        <f t="shared" si="14"/>
        <v>1</v>
      </c>
      <c r="I437" s="16" t="str">
        <f>_xlfn.XLOOKUP(C437,Product!$A:$A,Product!$G:$G,"NOT FOUND")</f>
        <v>miếng</v>
      </c>
      <c r="J437" s="22">
        <v>5000</v>
      </c>
      <c r="K437" s="15" t="s">
        <v>1469</v>
      </c>
      <c r="L437" s="21"/>
      <c r="M437" s="10" t="s">
        <v>1149</v>
      </c>
      <c r="N437" s="12">
        <v>61</v>
      </c>
      <c r="O437" t="str">
        <f t="shared" si="13"/>
        <v>INSERT INTO public.medical_supply_sellable_unit (code, price, quantity, sale_uom, product_variant_code) VALUES ('PRODUCT-00249-001-01', 5000, 1, 'Túi', 'PRODUCT-00249-001');</v>
      </c>
    </row>
    <row r="438" spans="1:15" x14ac:dyDescent="0.25">
      <c r="A438" s="10" t="str">
        <f>B438&amp;"-"&amp;TEXT(COUNTIF(B$2:B438,B438),"00")</f>
        <v>PRODUCT-00249-001-02</v>
      </c>
      <c r="B438" s="11" t="s">
        <v>2045</v>
      </c>
      <c r="C438" s="10" t="str">
        <f>_xlfn.XLOOKUP(B438,'Product Variant'!$A:$A,'Product Variant'!$B:$B,"NOT FOUND")</f>
        <v>PRODUCT-00249</v>
      </c>
      <c r="D438" s="10" t="str">
        <f>_xlfn.XLOOKUP(B438,'Product Variant'!$A:$A,'Product Variant'!$C:$C,"NOT FOUND")</f>
        <v>[Young Chemical Vina] Băng keo cố định kim luồn không thấm nước không gạc - Adflex - IV (5.1cmx6cm)</v>
      </c>
      <c r="E438" s="10" t="str" cm="1">
        <f t="array" ref="E438">_xlfn.TEXTJOIN(" / ",TRUE,_xlfn.XLOOKUP(B438&amp;"|ATTR-27",'Product Variant Attribute'!$A$2:$A$2000&amp;"|"&amp;'Product Variant Attribute'!$D$2:$D$2000,'Product Variant Attribute'!$F$2:$F$2000,""),_xlfn.XLOOKUP(B438&amp;"|ATTR-24",'Product Variant Attribute'!$A$2:$A$2000&amp;"|"&amp;'Product Variant Attribute'!$D$2:$D$2000,'Product Variant Attribute'!$F$2:$F$2000,""))</f>
        <v/>
      </c>
      <c r="F438" s="11" t="s">
        <v>816</v>
      </c>
      <c r="G438" s="11" t="s">
        <v>856</v>
      </c>
      <c r="H438" s="13">
        <f t="shared" si="14"/>
        <v>100</v>
      </c>
      <c r="I438" s="16" t="str">
        <f>_xlfn.XLOOKUP(C438,Product!$A:$A,Product!$G:$G,"NOT FOUND")</f>
        <v>miếng</v>
      </c>
      <c r="J438" s="22"/>
      <c r="K438" s="15" t="s">
        <v>1326</v>
      </c>
      <c r="L438" s="21"/>
      <c r="M438" s="10" t="s">
        <v>1149</v>
      </c>
      <c r="N438" s="12">
        <v>62</v>
      </c>
      <c r="O438" t="str">
        <f t="shared" si="13"/>
        <v>INSERT INTO public.medical_supply_sellable_unit (code, price, quantity, sale_uom, product_variant_code) VALUES ('PRODUCT-00249-001-02', NULL, 100, 'Hộp', 'PRODUCT-00249-001');</v>
      </c>
    </row>
    <row r="439" spans="1:15" x14ac:dyDescent="0.25">
      <c r="A439" s="10" t="str">
        <f>B439&amp;"-"&amp;TEXT(COUNTIF(B$2:B439,B439),"00")</f>
        <v>PRODUCT-00295-001-01</v>
      </c>
      <c r="B439" s="11" t="s">
        <v>2046</v>
      </c>
      <c r="C439" s="10" t="str">
        <f>_xlfn.XLOOKUP(B439,'Product Variant'!$A:$A,'Product Variant'!$B:$B,"NOT FOUND")</f>
        <v>PRODUCT-00295</v>
      </c>
      <c r="D439" s="10" t="str">
        <f>_xlfn.XLOOKUP(B439,'Product Variant'!$A:$A,'Product Variant'!$C:$C,"NOT FOUND")</f>
        <v>[Young Chemical Vina] Băng keo cố định kim luồn không thấm nước không gạc - Adflex - IV (6.7cmx10cm)</v>
      </c>
      <c r="E439" s="10" t="str" cm="1">
        <f t="array" ref="E439">_xlfn.TEXTJOIN(" / ",TRUE,_xlfn.XLOOKUP(B439&amp;"|ATTR-27",'Product Variant Attribute'!$A$2:$A$2000&amp;"|"&amp;'Product Variant Attribute'!$D$2:$D$2000,'Product Variant Attribute'!$F$2:$F$2000,""),_xlfn.XLOOKUP(B439&amp;"|ATTR-24",'Product Variant Attribute'!$A$2:$A$2000&amp;"|"&amp;'Product Variant Attribute'!$D$2:$D$2000,'Product Variant Attribute'!$F$2:$F$2000,""))</f>
        <v/>
      </c>
      <c r="F439" s="14" t="s">
        <v>817</v>
      </c>
      <c r="G439" s="14" t="s">
        <v>841</v>
      </c>
      <c r="H439" s="13">
        <v>1</v>
      </c>
      <c r="I439" s="16" t="str">
        <f>_xlfn.XLOOKUP(C439,Product!$A:$A,Product!$G:$G,"NOT FOUND")</f>
        <v>miếng</v>
      </c>
      <c r="J439" s="22"/>
      <c r="K439" s="15" t="s">
        <v>1326</v>
      </c>
      <c r="L439" s="21"/>
      <c r="M439" s="10" t="s">
        <v>1150</v>
      </c>
      <c r="N439" s="12" t="s">
        <v>1244</v>
      </c>
      <c r="O439" t="str">
        <f t="shared" si="13"/>
        <v>INSERT INTO public.medical_supply_sellable_unit (code, price, quantity, sale_uom, product_variant_code) VALUES ('PRODUCT-00295-001-01', NULL, 1, 'Túi', 'PRODUCT-00295-001');</v>
      </c>
    </row>
  </sheetData>
  <autoFilter ref="A1:N439" xr:uid="{E568AACF-4CA3-48FD-ABBB-84937055E560}"/>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D691B-CE90-4259-80BE-CC60ECAEE560}">
  <dimension ref="A1:O8"/>
  <sheetViews>
    <sheetView workbookViewId="0">
      <pane ySplit="1" topLeftCell="A2" activePane="bottomLeft" state="frozen"/>
      <selection pane="bottomLeft" activeCell="D4" sqref="D4"/>
    </sheetView>
  </sheetViews>
  <sheetFormatPr defaultRowHeight="15" x14ac:dyDescent="0.25"/>
  <cols>
    <col min="1" max="1" width="16.42578125" customWidth="1"/>
    <col min="2" max="2" width="54.5703125" customWidth="1"/>
    <col min="3" max="3" width="16.42578125" customWidth="1"/>
    <col min="4" max="4" width="25.42578125" customWidth="1"/>
    <col min="5" max="5" width="54.5703125" customWidth="1"/>
    <col min="6" max="6" width="16.42578125" customWidth="1"/>
    <col min="7" max="7" width="30.85546875" customWidth="1"/>
    <col min="8" max="8" width="18.140625" customWidth="1"/>
    <col min="9" max="9" width="41.85546875" customWidth="1"/>
    <col min="10" max="15" width="16.42578125" customWidth="1"/>
  </cols>
  <sheetData>
    <row r="1" spans="1:15" ht="32.1" customHeight="1" x14ac:dyDescent="0.25">
      <c r="A1" s="17" t="s">
        <v>1289</v>
      </c>
      <c r="B1" s="17" t="s">
        <v>1290</v>
      </c>
      <c r="C1" s="17" t="s">
        <v>1291</v>
      </c>
      <c r="D1" s="17" t="s">
        <v>1292</v>
      </c>
      <c r="E1" s="17" t="s">
        <v>1293</v>
      </c>
      <c r="F1" s="17" t="s">
        <v>1294</v>
      </c>
      <c r="G1" s="17" t="s">
        <v>1295</v>
      </c>
      <c r="H1" s="17" t="s">
        <v>1296</v>
      </c>
      <c r="I1" s="17" t="s">
        <v>1297</v>
      </c>
      <c r="J1" s="17" t="s">
        <v>1298</v>
      </c>
      <c r="K1" s="17" t="s">
        <v>1299</v>
      </c>
      <c r="L1" s="17" t="s">
        <v>1300</v>
      </c>
      <c r="M1" s="17" t="s">
        <v>1301</v>
      </c>
      <c r="N1" s="17" t="s">
        <v>1302</v>
      </c>
      <c r="O1" s="17" t="s">
        <v>1303</v>
      </c>
    </row>
    <row r="2" spans="1:15" x14ac:dyDescent="0.25">
      <c r="A2" s="11" t="s">
        <v>1304</v>
      </c>
      <c r="B2" s="11" t="s">
        <v>1305</v>
      </c>
      <c r="C2" s="11" t="s">
        <v>1306</v>
      </c>
      <c r="D2" s="11" t="s">
        <v>2195</v>
      </c>
      <c r="E2" s="18" t="str">
        <f>_xlfn.XLOOKUP(D2,'Sellable Unit'!$A:$A,'Sellable Unit'!$D:$D,"NOT FOUND")</f>
        <v>[Owgels] Máy tạo oxy 10 lít có xông khí dung - OZ-5-01GW0-10L</v>
      </c>
      <c r="F2" s="15">
        <v>1</v>
      </c>
      <c r="G2" s="11" t="s">
        <v>1307</v>
      </c>
      <c r="H2" s="14"/>
      <c r="I2" s="18" t="str">
        <f>IF(H2="","",_xlfn.XLOOKUP(H2,Product!$A:$A,Product!$B:$B,"NOT FOUND"))</f>
        <v/>
      </c>
      <c r="J2" s="15">
        <v>1</v>
      </c>
      <c r="K2" s="16" t="str">
        <f>IF(H2="","",_xlfn.XLOOKUP(H2,Product!$A:$A,Product!$G:$G,"NOT FOUND"))</f>
        <v/>
      </c>
      <c r="L2" s="19"/>
      <c r="M2" s="19"/>
      <c r="N2" s="11" t="s">
        <v>1308</v>
      </c>
      <c r="O2" s="15">
        <v>326</v>
      </c>
    </row>
    <row r="3" spans="1:15" x14ac:dyDescent="0.25">
      <c r="A3" s="11" t="s">
        <v>1309</v>
      </c>
      <c r="B3" s="11" t="s">
        <v>1310</v>
      </c>
      <c r="C3" s="11" t="s">
        <v>1306</v>
      </c>
      <c r="D3" s="11" t="s">
        <v>2196</v>
      </c>
      <c r="E3" s="18" t="str">
        <f>_xlfn.XLOOKUP(D3,'Sellable Unit'!$A:$A,'Sellable Unit'!$D:$D,"NOT FOUND")</f>
        <v>[Owgels] Máy tạo oxy 5 lít có xông khí dung - OZ-501TW0</v>
      </c>
      <c r="F3" s="15">
        <v>1</v>
      </c>
      <c r="G3" s="11" t="s">
        <v>1311</v>
      </c>
      <c r="H3" s="14" t="s">
        <v>675</v>
      </c>
      <c r="I3" s="18" t="str">
        <f>IF(H3="","",_xlfn.XLOOKUP(H3,Product!$A:$A,Product!$B:$B,"NOT FOUND"))</f>
        <v>[Bornsun] Mặt nạ thở oxy</v>
      </c>
      <c r="J3" s="15">
        <v>1</v>
      </c>
      <c r="K3" s="16" t="str">
        <f>IF(H3="","",_xlfn.XLOOKUP(H3,Product!$A:$A,Product!$G:$G,"NOT FOUND"))</f>
        <v>bộ</v>
      </c>
      <c r="L3" s="19"/>
      <c r="M3" s="19"/>
      <c r="N3" s="11" t="s">
        <v>1308</v>
      </c>
      <c r="O3" s="15">
        <v>328</v>
      </c>
    </row>
    <row r="4" spans="1:15" x14ac:dyDescent="0.25">
      <c r="A4" s="11" t="s">
        <v>1312</v>
      </c>
      <c r="B4" s="11" t="s">
        <v>1313</v>
      </c>
      <c r="C4" s="11" t="s">
        <v>1306</v>
      </c>
      <c r="D4" s="11" t="s">
        <v>2197</v>
      </c>
      <c r="E4" s="18" t="str">
        <f>_xlfn.XLOOKUP(D4,'Sellable Unit'!$A:$A,'Sellable Unit'!$D:$D,"NOT FOUND")</f>
        <v>[Sinocare] Máy đo đường huyết - Safe-Accu</v>
      </c>
      <c r="F4" s="15">
        <v>1</v>
      </c>
      <c r="G4" s="11" t="s">
        <v>1314</v>
      </c>
      <c r="H4" s="11" t="s">
        <v>767</v>
      </c>
      <c r="I4" s="18" t="str">
        <f>IF(H4="","",_xlfn.XLOOKUP(H4,Product!$A:$A,Product!$B:$B,"NOT FOUND"))</f>
        <v>[Sinocare] Que thử đường huyết - Safe-Accu</v>
      </c>
      <c r="J4" s="15">
        <v>50</v>
      </c>
      <c r="K4" s="16" t="str">
        <f>IF(H4="","",_xlfn.XLOOKUP(H4,Product!$A:$A,Product!$G:$G,"NOT FOUND"))</f>
        <v>que</v>
      </c>
      <c r="L4" s="19"/>
      <c r="M4" s="19"/>
      <c r="N4" s="11" t="s">
        <v>1308</v>
      </c>
      <c r="O4" s="15">
        <v>390</v>
      </c>
    </row>
    <row r="5" spans="1:15" x14ac:dyDescent="0.25">
      <c r="A5" s="11" t="s">
        <v>1312</v>
      </c>
      <c r="B5" s="11" t="s">
        <v>1313</v>
      </c>
      <c r="C5" s="11" t="s">
        <v>1306</v>
      </c>
      <c r="D5" s="11" t="s">
        <v>2197</v>
      </c>
      <c r="E5" s="18" t="str">
        <f>_xlfn.XLOOKUP(D5,'Sellable Unit'!$A:$A,'Sellable Unit'!$D:$D,"NOT FOUND")</f>
        <v>[Sinocare] Máy đo đường huyết - Safe-Accu</v>
      </c>
      <c r="F5" s="15">
        <v>1</v>
      </c>
      <c r="G5" s="11" t="s">
        <v>1315</v>
      </c>
      <c r="H5" s="11" t="s">
        <v>805</v>
      </c>
      <c r="I5" s="18" t="str">
        <f>IF(H5="","",_xlfn.XLOOKUP(H5,Product!$A:$A,Product!$B:$B,"NOT FOUND"))</f>
        <v>[Sinocare] Kim chích máu - Sinodraw</v>
      </c>
      <c r="J5" s="15">
        <v>50</v>
      </c>
      <c r="K5" s="16" t="str">
        <f>IF(H5="","",_xlfn.XLOOKUP(H5,Product!$A:$A,Product!$G:$G,"NOT FOUND"))</f>
        <v>kim</v>
      </c>
      <c r="L5" s="19"/>
      <c r="M5" s="19"/>
      <c r="N5" s="11" t="s">
        <v>1308</v>
      </c>
      <c r="O5" s="15">
        <v>390</v>
      </c>
    </row>
    <row r="6" spans="1:15" x14ac:dyDescent="0.25">
      <c r="A6" s="11" t="s">
        <v>1316</v>
      </c>
      <c r="B6" s="11" t="s">
        <v>1317</v>
      </c>
      <c r="C6" s="11" t="s">
        <v>1306</v>
      </c>
      <c r="D6" s="11" t="s">
        <v>2198</v>
      </c>
      <c r="E6" s="18" t="str">
        <f>_xlfn.XLOOKUP(D6,'Sellable Unit'!$A:$A,'Sellable Unit'!$D:$D,"NOT FOUND")</f>
        <v>[Sinocare] Que thử đường huyết - Safe-Accu</v>
      </c>
      <c r="F6" s="15">
        <v>1</v>
      </c>
      <c r="G6" s="11" t="s">
        <v>1318</v>
      </c>
      <c r="H6" s="11" t="s">
        <v>805</v>
      </c>
      <c r="I6" s="18" t="str">
        <f>IF(H6="","",_xlfn.XLOOKUP(H6,Product!$A:$A,Product!$B:$B,"NOT FOUND"))</f>
        <v>[Sinocare] Kim chích máu - Sinodraw</v>
      </c>
      <c r="J6" s="15">
        <v>50</v>
      </c>
      <c r="K6" s="16" t="str">
        <f>IF(H6="","",_xlfn.XLOOKUP(H6,Product!$A:$A,Product!$G:$G,"NOT FOUND"))</f>
        <v>kim</v>
      </c>
      <c r="L6" s="19"/>
      <c r="M6" s="19"/>
      <c r="N6" s="11" t="s">
        <v>1308</v>
      </c>
      <c r="O6" s="15">
        <v>391</v>
      </c>
    </row>
    <row r="7" spans="1:15" x14ac:dyDescent="0.25">
      <c r="A7" s="11" t="s">
        <v>2115</v>
      </c>
      <c r="B7" s="11" t="s">
        <v>2116</v>
      </c>
      <c r="C7" s="11" t="s">
        <v>1306</v>
      </c>
      <c r="D7" s="11" t="s">
        <v>2199</v>
      </c>
      <c r="E7" s="18" t="str">
        <f>_xlfn.XLOOKUP(D7,'Sellable Unit'!$A:$A,'Sellable Unit'!$D:$D,"NOT FOUND")</f>
        <v>[Young Chemical Vina] Miếng dán mụn - Somaderm-Thin (Ø10mm)</v>
      </c>
      <c r="F7" s="15">
        <v>1</v>
      </c>
      <c r="G7" s="11" t="s">
        <v>2117</v>
      </c>
      <c r="H7" s="11"/>
      <c r="I7" s="18" t="str">
        <f>IF(H7="","",_xlfn.XLOOKUP(H7,Product!$A:$A,Product!$B:$B,"NOT FOUND"))</f>
        <v/>
      </c>
      <c r="J7" s="15">
        <v>1</v>
      </c>
      <c r="K7" s="16" t="str">
        <f>IF(H7="","",_xlfn.XLOOKUP(H7,Product!$A:$A,Product!$G:$G,"NOT FOUND"))</f>
        <v/>
      </c>
      <c r="L7" s="19"/>
      <c r="M7" s="19"/>
      <c r="N7" s="11" t="s">
        <v>1308</v>
      </c>
      <c r="O7" s="15">
        <v>12</v>
      </c>
    </row>
    <row r="8" spans="1:15" x14ac:dyDescent="0.25">
      <c r="A8" s="11" t="s">
        <v>2118</v>
      </c>
      <c r="B8" s="11" t="s">
        <v>2119</v>
      </c>
      <c r="C8" s="11" t="s">
        <v>1306</v>
      </c>
      <c r="D8" s="11" t="s">
        <v>2200</v>
      </c>
      <c r="E8" s="18" t="str">
        <f>_xlfn.XLOOKUP(D8,'Sellable Unit'!$A:$A,'Sellable Unit'!$D:$D,"NOT FOUND")</f>
        <v>[Young Chemical Vina] Miếng dán mụn - Somaderm-Thin (Ø10mm)</v>
      </c>
      <c r="F8" s="15">
        <v>1</v>
      </c>
      <c r="G8" s="11" t="s">
        <v>2117</v>
      </c>
      <c r="H8" s="11"/>
      <c r="I8" s="18" t="str">
        <f>IF(H8="","",_xlfn.XLOOKUP(H8,Product!$A:$A,Product!$B:$B,"NOT FOUND"))</f>
        <v/>
      </c>
      <c r="J8" s="15">
        <v>1</v>
      </c>
      <c r="K8" s="16" t="str">
        <f>IF(H8="","",_xlfn.XLOOKUP(H8,Product!$A:$A,Product!$G:$G,"NOT FOUND"))</f>
        <v/>
      </c>
      <c r="L8" s="19"/>
      <c r="M8" s="19"/>
      <c r="N8" s="11" t="s">
        <v>1308</v>
      </c>
      <c r="O8" s="15">
        <v>13</v>
      </c>
    </row>
  </sheetData>
  <dataValidations count="1">
    <dataValidation type="list" allowBlank="1" showInputMessage="1" showErrorMessage="1" sqref="N2:N200" xr:uid="{0843BB02-3E56-40FD-9FFC-E33B5E0E6DEE}">
      <formula1>"Nháp,Đang chạy,Tạm dừng,Kết thúc"</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53EB-9D18-4F17-92AA-F17C001CC193}">
  <dimension ref="A1:I28"/>
  <sheetViews>
    <sheetView topLeftCell="B1" workbookViewId="0">
      <pane ySplit="1" topLeftCell="A2" activePane="bottomLeft" state="frozen"/>
      <selection pane="bottomLeft" activeCell="E13" sqref="E13"/>
    </sheetView>
  </sheetViews>
  <sheetFormatPr defaultRowHeight="15" x14ac:dyDescent="0.25"/>
  <cols>
    <col min="1" max="1" width="15.28515625" customWidth="1"/>
    <col min="2" max="2" width="30.42578125" customWidth="1"/>
    <col min="3" max="3" width="24.7109375" customWidth="1"/>
    <col min="4" max="4" width="22.85546875" customWidth="1"/>
    <col min="5" max="5" width="41.85546875" customWidth="1"/>
    <col min="6" max="6" width="72.42578125" customWidth="1"/>
    <col min="7" max="7" width="32.42578125" customWidth="1"/>
    <col min="8" max="8" width="17.140625" customWidth="1"/>
    <col min="9" max="9" width="21" customWidth="1"/>
  </cols>
  <sheetData>
    <row r="1" spans="1:9" ht="30" customHeight="1" x14ac:dyDescent="0.25">
      <c r="A1" s="31" t="s">
        <v>2335</v>
      </c>
      <c r="B1" s="31" t="s">
        <v>2336</v>
      </c>
      <c r="C1" s="31" t="s">
        <v>2337</v>
      </c>
      <c r="D1" s="31" t="s">
        <v>2338</v>
      </c>
      <c r="E1" s="31" t="s">
        <v>2339</v>
      </c>
      <c r="F1" s="31" t="s">
        <v>2340</v>
      </c>
      <c r="G1" s="31" t="s">
        <v>2341</v>
      </c>
      <c r="H1" s="31" t="s">
        <v>2664</v>
      </c>
      <c r="I1" s="31" t="s">
        <v>2665</v>
      </c>
    </row>
    <row r="2" spans="1:9" ht="30" x14ac:dyDescent="0.25">
      <c r="A2" s="32" t="s">
        <v>2342</v>
      </c>
      <c r="B2" s="32" t="s">
        <v>2343</v>
      </c>
      <c r="C2" s="32" t="s">
        <v>2344</v>
      </c>
      <c r="D2" s="32" t="s">
        <v>2345</v>
      </c>
      <c r="E2" s="33" t="s">
        <v>2346</v>
      </c>
      <c r="F2" s="33" t="s">
        <v>2347</v>
      </c>
      <c r="G2" s="33" t="s">
        <v>2348</v>
      </c>
      <c r="H2" s="35">
        <f>COUNTIF('Product Attribute'!$D:$D,$A2)</f>
        <v>78</v>
      </c>
      <c r="I2" s="36">
        <f>COUNTIF('Product Variant Attribute'!$D:$D,$A2)</f>
        <v>78</v>
      </c>
    </row>
    <row r="3" spans="1:9" ht="30" x14ac:dyDescent="0.25">
      <c r="A3" s="32" t="s">
        <v>2349</v>
      </c>
      <c r="B3" s="32" t="s">
        <v>2350</v>
      </c>
      <c r="C3" s="32" t="s">
        <v>2351</v>
      </c>
      <c r="D3" s="32" t="s">
        <v>2352</v>
      </c>
      <c r="E3" s="33" t="s">
        <v>2353</v>
      </c>
      <c r="F3" s="33" t="s">
        <v>2354</v>
      </c>
      <c r="G3" s="33" t="s">
        <v>2355</v>
      </c>
      <c r="H3" s="35">
        <f>COUNTIF('Product Attribute'!$D:$D,$A3)</f>
        <v>14</v>
      </c>
      <c r="I3" s="36">
        <f>COUNTIF('Product Variant Attribute'!$D:$D,$A3)</f>
        <v>14</v>
      </c>
    </row>
    <row r="4" spans="1:9" x14ac:dyDescent="0.25">
      <c r="A4" s="32" t="s">
        <v>2356</v>
      </c>
      <c r="B4" s="32" t="s">
        <v>2357</v>
      </c>
      <c r="C4" s="32" t="s">
        <v>2358</v>
      </c>
      <c r="D4" s="32" t="s">
        <v>2359</v>
      </c>
      <c r="E4" s="33" t="s">
        <v>2360</v>
      </c>
      <c r="F4" s="33" t="s">
        <v>2361</v>
      </c>
      <c r="G4" s="33" t="s">
        <v>2355</v>
      </c>
      <c r="H4" s="35">
        <f>COUNTIF('Product Attribute'!$D:$D,$A4)</f>
        <v>10</v>
      </c>
      <c r="I4" s="36">
        <f>COUNTIF('Product Variant Attribute'!$D:$D,$A4)</f>
        <v>10</v>
      </c>
    </row>
    <row r="5" spans="1:9" x14ac:dyDescent="0.25">
      <c r="A5" s="32" t="s">
        <v>2362</v>
      </c>
      <c r="B5" s="32" t="s">
        <v>2363</v>
      </c>
      <c r="C5" s="32" t="s">
        <v>2364</v>
      </c>
      <c r="D5" s="32" t="s">
        <v>2365</v>
      </c>
      <c r="E5" s="33" t="s">
        <v>2208</v>
      </c>
      <c r="F5" s="33" t="s">
        <v>2366</v>
      </c>
      <c r="G5" s="33" t="s">
        <v>2355</v>
      </c>
      <c r="H5" s="35">
        <f>COUNTIF('Product Attribute'!$D:$D,$A5)</f>
        <v>3</v>
      </c>
      <c r="I5" s="36">
        <f>COUNTIF('Product Variant Attribute'!$D:$D,$A5)</f>
        <v>3</v>
      </c>
    </row>
    <row r="6" spans="1:9" ht="30" x14ac:dyDescent="0.25">
      <c r="A6" s="32" t="s">
        <v>2367</v>
      </c>
      <c r="B6" s="32" t="s">
        <v>2368</v>
      </c>
      <c r="C6" s="32" t="s">
        <v>2369</v>
      </c>
      <c r="D6" s="32" t="s">
        <v>2370</v>
      </c>
      <c r="E6" s="33" t="s">
        <v>2371</v>
      </c>
      <c r="F6" s="33" t="s">
        <v>2372</v>
      </c>
      <c r="G6" s="33" t="s">
        <v>2373</v>
      </c>
      <c r="H6" s="35">
        <f>COUNTIF('Product Attribute'!$D:$D,$A6)</f>
        <v>75</v>
      </c>
      <c r="I6" s="36">
        <f>COUNTIF('Product Variant Attribute'!$D:$D,$A6)</f>
        <v>105</v>
      </c>
    </row>
    <row r="7" spans="1:9" x14ac:dyDescent="0.25">
      <c r="A7" s="32" t="s">
        <v>2374</v>
      </c>
      <c r="B7" s="32" t="s">
        <v>2375</v>
      </c>
      <c r="C7" s="32" t="s">
        <v>2376</v>
      </c>
      <c r="D7" s="32" t="s">
        <v>2377</v>
      </c>
      <c r="E7" s="33" t="s">
        <v>2378</v>
      </c>
      <c r="F7" s="33" t="s">
        <v>2379</v>
      </c>
      <c r="G7" s="33" t="s">
        <v>2380</v>
      </c>
      <c r="H7" s="35">
        <f>COUNTIF('Product Attribute'!$D:$D,$A7)</f>
        <v>23</v>
      </c>
      <c r="I7" s="36">
        <f>COUNTIF('Product Variant Attribute'!$D:$D,$A7)</f>
        <v>27</v>
      </c>
    </row>
    <row r="8" spans="1:9" ht="30" x14ac:dyDescent="0.25">
      <c r="A8" s="32" t="s">
        <v>2381</v>
      </c>
      <c r="B8" s="32" t="s">
        <v>2382</v>
      </c>
      <c r="C8" s="32" t="s">
        <v>2383</v>
      </c>
      <c r="D8" s="32" t="s">
        <v>2377</v>
      </c>
      <c r="E8" s="33" t="s">
        <v>2384</v>
      </c>
      <c r="F8" s="33" t="s">
        <v>2379</v>
      </c>
      <c r="G8" s="33" t="s">
        <v>2385</v>
      </c>
      <c r="H8" s="35">
        <f>COUNTIF('Product Attribute'!$D:$D,$A8)</f>
        <v>14</v>
      </c>
      <c r="I8" s="36">
        <f>COUNTIF('Product Variant Attribute'!$D:$D,$A8)</f>
        <v>14</v>
      </c>
    </row>
    <row r="9" spans="1:9" ht="30" x14ac:dyDescent="0.25">
      <c r="A9" s="32" t="s">
        <v>2386</v>
      </c>
      <c r="B9" s="32" t="s">
        <v>2387</v>
      </c>
      <c r="C9" s="32" t="s">
        <v>2388</v>
      </c>
      <c r="D9" s="32" t="s">
        <v>2370</v>
      </c>
      <c r="E9" s="33" t="s">
        <v>2389</v>
      </c>
      <c r="F9" s="33" t="s">
        <v>2390</v>
      </c>
      <c r="G9" s="33" t="s">
        <v>2373</v>
      </c>
      <c r="H9" s="35">
        <f>COUNTIF('Product Attribute'!$D:$D,$A9)</f>
        <v>18</v>
      </c>
      <c r="I9" s="36">
        <f>COUNTIF('Product Variant Attribute'!$D:$D,$A9)</f>
        <v>19</v>
      </c>
    </row>
    <row r="10" spans="1:9" ht="30" x14ac:dyDescent="0.25">
      <c r="A10" s="32" t="s">
        <v>2391</v>
      </c>
      <c r="B10" s="32" t="s">
        <v>2392</v>
      </c>
      <c r="C10" s="32" t="s">
        <v>2393</v>
      </c>
      <c r="D10" s="32" t="s">
        <v>2394</v>
      </c>
      <c r="E10" s="33" t="s">
        <v>2395</v>
      </c>
      <c r="F10" s="33" t="s">
        <v>2396</v>
      </c>
      <c r="G10" s="33" t="s">
        <v>2355</v>
      </c>
      <c r="H10" s="35">
        <f>COUNTIF('Product Attribute'!$D:$D,$A10)</f>
        <v>15</v>
      </c>
      <c r="I10" s="36">
        <f>COUNTIF('Product Variant Attribute'!$D:$D,$A10)</f>
        <v>15</v>
      </c>
    </row>
    <row r="11" spans="1:9" x14ac:dyDescent="0.25">
      <c r="A11" s="32" t="s">
        <v>2397</v>
      </c>
      <c r="B11" s="32" t="s">
        <v>2398</v>
      </c>
      <c r="C11" s="32" t="s">
        <v>2399</v>
      </c>
      <c r="D11" s="32" t="s">
        <v>2394</v>
      </c>
      <c r="E11" s="33" t="s">
        <v>306</v>
      </c>
      <c r="F11" s="33" t="s">
        <v>2400</v>
      </c>
      <c r="G11" s="33" t="s">
        <v>2355</v>
      </c>
      <c r="H11" s="35">
        <f>COUNTIF('Product Attribute'!$D:$D,$A11)</f>
        <v>28</v>
      </c>
      <c r="I11" s="36">
        <f>COUNTIF('Product Variant Attribute'!$D:$D,$A11)</f>
        <v>27</v>
      </c>
    </row>
    <row r="12" spans="1:9" x14ac:dyDescent="0.25">
      <c r="A12" s="32" t="s">
        <v>2401</v>
      </c>
      <c r="B12" s="32" t="s">
        <v>2402</v>
      </c>
      <c r="C12" s="32" t="s">
        <v>2403</v>
      </c>
      <c r="D12" s="32" t="s">
        <v>2394</v>
      </c>
      <c r="E12" s="33" t="s">
        <v>2404</v>
      </c>
      <c r="F12" s="33" t="s">
        <v>2405</v>
      </c>
      <c r="G12" s="33" t="s">
        <v>2355</v>
      </c>
      <c r="H12" s="35">
        <f>COUNTIF('Product Attribute'!$D:$D,$A12)</f>
        <v>13</v>
      </c>
      <c r="I12" s="36">
        <f>COUNTIF('Product Variant Attribute'!$D:$D,$A12)</f>
        <v>13</v>
      </c>
    </row>
    <row r="13" spans="1:9" x14ac:dyDescent="0.25">
      <c r="A13" s="32" t="s">
        <v>2406</v>
      </c>
      <c r="B13" s="32" t="s">
        <v>2407</v>
      </c>
      <c r="C13" s="32" t="s">
        <v>2408</v>
      </c>
      <c r="D13" s="32" t="s">
        <v>2394</v>
      </c>
      <c r="E13" s="33" t="s">
        <v>2409</v>
      </c>
      <c r="F13" s="33" t="s">
        <v>2410</v>
      </c>
      <c r="G13" s="33" t="s">
        <v>2355</v>
      </c>
      <c r="H13" s="35">
        <f>COUNTIF('Product Attribute'!$D:$D,$A13)</f>
        <v>5</v>
      </c>
      <c r="I13" s="36">
        <f>COUNTIF('Product Variant Attribute'!$D:$D,$A13)</f>
        <v>4</v>
      </c>
    </row>
    <row r="14" spans="1:9" ht="30" x14ac:dyDescent="0.25">
      <c r="A14" s="32" t="s">
        <v>2411</v>
      </c>
      <c r="B14" s="32" t="s">
        <v>2412</v>
      </c>
      <c r="C14" s="32" t="s">
        <v>2413</v>
      </c>
      <c r="D14" s="32" t="s">
        <v>2394</v>
      </c>
      <c r="E14" s="33" t="s">
        <v>2414</v>
      </c>
      <c r="F14" s="33" t="s">
        <v>2415</v>
      </c>
      <c r="G14" s="33" t="s">
        <v>2355</v>
      </c>
      <c r="H14" s="35">
        <f>COUNTIF('Product Attribute'!$D:$D,$A14)</f>
        <v>24</v>
      </c>
      <c r="I14" s="36">
        <f>COUNTIF('Product Variant Attribute'!$D:$D,$A14)</f>
        <v>66</v>
      </c>
    </row>
    <row r="15" spans="1:9" x14ac:dyDescent="0.25">
      <c r="A15" s="32" t="s">
        <v>2416</v>
      </c>
      <c r="B15" s="32" t="s">
        <v>2417</v>
      </c>
      <c r="C15" s="32" t="s">
        <v>2418</v>
      </c>
      <c r="D15" s="32" t="s">
        <v>2394</v>
      </c>
      <c r="E15" s="33" t="s">
        <v>2419</v>
      </c>
      <c r="F15" s="33" t="s">
        <v>2420</v>
      </c>
      <c r="G15" s="33" t="s">
        <v>2355</v>
      </c>
      <c r="H15" s="35">
        <f>COUNTIF('Product Attribute'!$D:$D,$A15)</f>
        <v>14</v>
      </c>
      <c r="I15" s="36">
        <f>COUNTIF('Product Variant Attribute'!$D:$D,$A15)</f>
        <v>39</v>
      </c>
    </row>
    <row r="16" spans="1:9" x14ac:dyDescent="0.25">
      <c r="A16" s="32" t="s">
        <v>2421</v>
      </c>
      <c r="B16" s="32" t="s">
        <v>2422</v>
      </c>
      <c r="C16" s="32" t="s">
        <v>2423</v>
      </c>
      <c r="D16" s="32" t="s">
        <v>2394</v>
      </c>
      <c r="E16" s="33" t="s">
        <v>2424</v>
      </c>
      <c r="F16" s="33" t="s">
        <v>2425</v>
      </c>
      <c r="G16" s="33" t="s">
        <v>2355</v>
      </c>
      <c r="H16" s="35">
        <f>COUNTIF('Product Attribute'!$D:$D,$A16)</f>
        <v>11</v>
      </c>
      <c r="I16" s="36">
        <f>COUNTIF('Product Variant Attribute'!$D:$D,$A16)</f>
        <v>28</v>
      </c>
    </row>
    <row r="17" spans="1:9" x14ac:dyDescent="0.25">
      <c r="A17" s="32" t="s">
        <v>2426</v>
      </c>
      <c r="B17" s="32" t="s">
        <v>2427</v>
      </c>
      <c r="C17" s="32" t="s">
        <v>2428</v>
      </c>
      <c r="D17" s="32" t="s">
        <v>2377</v>
      </c>
      <c r="E17" s="33" t="s">
        <v>2419</v>
      </c>
      <c r="F17" s="33" t="s">
        <v>2379</v>
      </c>
      <c r="G17" s="33" t="s">
        <v>2355</v>
      </c>
      <c r="H17" s="35">
        <f>COUNTIF('Product Attribute'!$D:$D,$A17)</f>
        <v>4</v>
      </c>
      <c r="I17" s="36">
        <f>COUNTIF('Product Variant Attribute'!$D:$D,$A17)</f>
        <v>14</v>
      </c>
    </row>
    <row r="18" spans="1:9" x14ac:dyDescent="0.25">
      <c r="A18" s="32" t="s">
        <v>2429</v>
      </c>
      <c r="B18" s="32" t="s">
        <v>2430</v>
      </c>
      <c r="C18" s="32" t="s">
        <v>2431</v>
      </c>
      <c r="D18" s="32" t="s">
        <v>2394</v>
      </c>
      <c r="E18" s="33" t="s">
        <v>2432</v>
      </c>
      <c r="F18" s="33" t="s">
        <v>2433</v>
      </c>
      <c r="G18" s="33" t="s">
        <v>2373</v>
      </c>
      <c r="H18" s="35">
        <f>COUNTIF('Product Attribute'!$D:$D,$A18)</f>
        <v>8</v>
      </c>
      <c r="I18" s="36">
        <f>COUNTIF('Product Variant Attribute'!$D:$D,$A18)</f>
        <v>8</v>
      </c>
    </row>
    <row r="19" spans="1:9" x14ac:dyDescent="0.25">
      <c r="A19" s="32" t="s">
        <v>2434</v>
      </c>
      <c r="B19" s="32" t="s">
        <v>2435</v>
      </c>
      <c r="C19" s="32" t="s">
        <v>2436</v>
      </c>
      <c r="D19" s="32" t="s">
        <v>2394</v>
      </c>
      <c r="E19" s="33" t="s">
        <v>2437</v>
      </c>
      <c r="F19" s="33" t="s">
        <v>2438</v>
      </c>
      <c r="G19" s="33" t="s">
        <v>2373</v>
      </c>
      <c r="H19" s="35">
        <f>COUNTIF('Product Attribute'!$D:$D,$A19)</f>
        <v>7</v>
      </c>
      <c r="I19" s="36">
        <f>COUNTIF('Product Variant Attribute'!$D:$D,$A19)</f>
        <v>7</v>
      </c>
    </row>
    <row r="20" spans="1:9" ht="30" x14ac:dyDescent="0.25">
      <c r="A20" s="32" t="s">
        <v>2439</v>
      </c>
      <c r="B20" s="32" t="s">
        <v>2440</v>
      </c>
      <c r="C20" s="32" t="s">
        <v>2441</v>
      </c>
      <c r="D20" s="32" t="s">
        <v>2394</v>
      </c>
      <c r="E20" s="33" t="s">
        <v>2442</v>
      </c>
      <c r="F20" s="33" t="s">
        <v>2443</v>
      </c>
      <c r="G20" s="33" t="s">
        <v>2355</v>
      </c>
      <c r="H20" s="35">
        <f>COUNTIF('Product Attribute'!$D:$D,$A20)</f>
        <v>26</v>
      </c>
      <c r="I20" s="36">
        <f>COUNTIF('Product Variant Attribute'!$D:$D,$A20)</f>
        <v>60</v>
      </c>
    </row>
    <row r="21" spans="1:9" x14ac:dyDescent="0.25">
      <c r="A21" s="32" t="s">
        <v>2444</v>
      </c>
      <c r="B21" s="32" t="s">
        <v>2445</v>
      </c>
      <c r="C21" s="32" t="s">
        <v>2446</v>
      </c>
      <c r="D21" s="32" t="s">
        <v>2394</v>
      </c>
      <c r="E21" s="33" t="s">
        <v>2447</v>
      </c>
      <c r="F21" s="33" t="s">
        <v>2448</v>
      </c>
      <c r="G21" s="33" t="s">
        <v>2355</v>
      </c>
      <c r="H21" s="35">
        <f>COUNTIF('Product Attribute'!$D:$D,$A21)</f>
        <v>2</v>
      </c>
      <c r="I21" s="36">
        <f>COUNTIF('Product Variant Attribute'!$D:$D,$A21)</f>
        <v>4</v>
      </c>
    </row>
    <row r="22" spans="1:9" x14ac:dyDescent="0.25">
      <c r="A22" s="32" t="s">
        <v>2449</v>
      </c>
      <c r="B22" s="32" t="s">
        <v>2450</v>
      </c>
      <c r="C22" s="32" t="s">
        <v>2451</v>
      </c>
      <c r="D22" s="32" t="s">
        <v>2394</v>
      </c>
      <c r="E22" s="33" t="s">
        <v>2452</v>
      </c>
      <c r="F22" s="33" t="s">
        <v>2453</v>
      </c>
      <c r="G22" s="33" t="s">
        <v>2355</v>
      </c>
      <c r="H22" s="35">
        <f>COUNTIF('Product Attribute'!$D:$D,$A22)</f>
        <v>7</v>
      </c>
      <c r="I22" s="36">
        <f>COUNTIF('Product Variant Attribute'!$D:$D,$A22)</f>
        <v>7</v>
      </c>
    </row>
    <row r="23" spans="1:9" x14ac:dyDescent="0.25">
      <c r="A23" s="32" t="s">
        <v>2454</v>
      </c>
      <c r="B23" s="32" t="s">
        <v>2455</v>
      </c>
      <c r="C23" s="32" t="s">
        <v>2456</v>
      </c>
      <c r="D23" s="32" t="s">
        <v>2394</v>
      </c>
      <c r="E23" s="33" t="s">
        <v>2457</v>
      </c>
      <c r="F23" s="33" t="s">
        <v>2458</v>
      </c>
      <c r="G23" s="33" t="s">
        <v>2355</v>
      </c>
      <c r="H23" s="35">
        <f>COUNTIF('Product Attribute'!$D:$D,$A23)</f>
        <v>11</v>
      </c>
      <c r="I23" s="36">
        <f>COUNTIF('Product Variant Attribute'!$D:$D,$A23)</f>
        <v>26</v>
      </c>
    </row>
    <row r="24" spans="1:9" x14ac:dyDescent="0.25">
      <c r="A24" s="32" t="s">
        <v>2459</v>
      </c>
      <c r="B24" s="32" t="s">
        <v>2460</v>
      </c>
      <c r="C24" s="32" t="s">
        <v>2461</v>
      </c>
      <c r="D24" s="32" t="s">
        <v>2462</v>
      </c>
      <c r="E24" s="33" t="s">
        <v>96</v>
      </c>
      <c r="F24" s="33" t="s">
        <v>2463</v>
      </c>
      <c r="G24" s="33" t="s">
        <v>2355</v>
      </c>
      <c r="H24" s="35">
        <f>COUNTIF('Product Attribute'!$D:$D,$A24)</f>
        <v>4</v>
      </c>
      <c r="I24" s="36">
        <f>COUNTIF('Product Variant Attribute'!$D:$D,$A24)</f>
        <v>4</v>
      </c>
    </row>
    <row r="25" spans="1:9" ht="30" x14ac:dyDescent="0.25">
      <c r="A25" s="32" t="s">
        <v>2464</v>
      </c>
      <c r="B25" s="32" t="s">
        <v>1152</v>
      </c>
      <c r="C25" s="32" t="s">
        <v>2465</v>
      </c>
      <c r="D25" s="32" t="s">
        <v>2394</v>
      </c>
      <c r="E25" s="33" t="s">
        <v>2466</v>
      </c>
      <c r="F25" s="33" t="s">
        <v>2658</v>
      </c>
      <c r="G25" s="33" t="s">
        <v>2659</v>
      </c>
      <c r="H25" s="35">
        <f>COUNTIF('Product Attribute'!$D:$D,$A25)</f>
        <v>11</v>
      </c>
      <c r="I25" s="36">
        <f>COUNTIF('Product Variant Attribute'!$D:$D,$A25)</f>
        <v>19</v>
      </c>
    </row>
    <row r="26" spans="1:9" ht="30" x14ac:dyDescent="0.25">
      <c r="A26" s="32" t="s">
        <v>2467</v>
      </c>
      <c r="B26" s="32" t="s">
        <v>2468</v>
      </c>
      <c r="C26" s="32" t="s">
        <v>2469</v>
      </c>
      <c r="D26" s="32" t="s">
        <v>2370</v>
      </c>
      <c r="E26" s="33" t="s">
        <v>308</v>
      </c>
      <c r="F26" s="33" t="s">
        <v>2470</v>
      </c>
      <c r="G26" s="33" t="s">
        <v>2355</v>
      </c>
      <c r="H26" s="35">
        <f>COUNTIF('Product Attribute'!$D:$D,$A26)</f>
        <v>33</v>
      </c>
      <c r="I26" s="36">
        <f>COUNTIF('Product Variant Attribute'!$D:$D,$A26)</f>
        <v>33</v>
      </c>
    </row>
    <row r="27" spans="1:9" ht="60" x14ac:dyDescent="0.25">
      <c r="A27" s="32" t="s">
        <v>2471</v>
      </c>
      <c r="B27" s="32" t="s">
        <v>2472</v>
      </c>
      <c r="C27" s="32" t="s">
        <v>2473</v>
      </c>
      <c r="D27" s="32" t="s">
        <v>2394</v>
      </c>
      <c r="E27" s="33" t="s">
        <v>2474</v>
      </c>
      <c r="F27" s="33" t="s">
        <v>2475</v>
      </c>
      <c r="G27" s="33" t="s">
        <v>2355</v>
      </c>
      <c r="H27" s="35">
        <f>COUNTIF('Product Attribute'!$D:$D,$A27)</f>
        <v>300</v>
      </c>
      <c r="I27" s="36">
        <f>COUNTIF('Product Variant Attribute'!$D:$D,$A27)</f>
        <v>411</v>
      </c>
    </row>
    <row r="28" spans="1:9" ht="30" x14ac:dyDescent="0.25">
      <c r="A28" s="32" t="s">
        <v>2656</v>
      </c>
      <c r="B28" s="32" t="s">
        <v>1151</v>
      </c>
      <c r="C28" s="32" t="s">
        <v>2660</v>
      </c>
      <c r="D28" s="32" t="s">
        <v>2394</v>
      </c>
      <c r="E28" s="33" t="s">
        <v>2661</v>
      </c>
      <c r="F28" s="33" t="s">
        <v>2662</v>
      </c>
      <c r="G28" s="33" t="s">
        <v>2663</v>
      </c>
      <c r="H28" s="35">
        <f>COUNTIF('Product Attribute'!$D:$D,$A28)</f>
        <v>56</v>
      </c>
      <c r="I28" s="36">
        <f>COUNTIF('Product Variant Attribute'!$D:$D,$A28)</f>
        <v>169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48824-D16B-483D-BFF3-5E118FA35F2F}">
  <dimension ref="A1:J815"/>
  <sheetViews>
    <sheetView tabSelected="1" topLeftCell="E1" workbookViewId="0">
      <pane ySplit="1" topLeftCell="A2" activePane="bottomLeft" state="frozen"/>
      <selection pane="bottomLeft" activeCell="G12" sqref="G12"/>
    </sheetView>
  </sheetViews>
  <sheetFormatPr defaultRowHeight="15" x14ac:dyDescent="0.25"/>
  <cols>
    <col min="1" max="1" width="18.140625" customWidth="1"/>
    <col min="2" max="2" width="72.42578125" customWidth="1"/>
    <col min="3" max="3" width="36.140625" customWidth="1"/>
    <col min="4" max="4" width="16.140625" customWidth="1"/>
    <col min="5" max="5" width="36.140625" customWidth="1"/>
    <col min="6" max="6" width="21" customWidth="1"/>
    <col min="7" max="8" width="49.5703125" customWidth="1"/>
    <col min="9" max="9" width="61" customWidth="1"/>
    <col min="10" max="10" width="38.140625" customWidth="1"/>
  </cols>
  <sheetData>
    <row r="1" spans="1:10" ht="30" x14ac:dyDescent="0.25">
      <c r="A1" s="2" t="s">
        <v>811</v>
      </c>
      <c r="B1" s="2" t="s">
        <v>122</v>
      </c>
      <c r="C1" s="2" t="s">
        <v>118</v>
      </c>
      <c r="D1" s="2" t="s">
        <v>2335</v>
      </c>
      <c r="E1" s="2" t="s">
        <v>2336</v>
      </c>
      <c r="F1" s="2" t="s">
        <v>2655</v>
      </c>
      <c r="G1" s="2" t="s">
        <v>2340</v>
      </c>
      <c r="H1" s="2" t="s">
        <v>2666</v>
      </c>
      <c r="I1" s="2" t="s">
        <v>2767</v>
      </c>
      <c r="J1" s="2" t="s">
        <v>2768</v>
      </c>
    </row>
    <row r="2" spans="1:10" x14ac:dyDescent="0.25">
      <c r="A2" s="23" t="s">
        <v>562</v>
      </c>
      <c r="B2" s="37" t="str">
        <f>INDEX(Product!$B:$B,MATCH($A2,Product!$A:$A,0))</f>
        <v>[Greetmed] Phao chống loét cao su</v>
      </c>
      <c r="C2" s="37" t="str">
        <f>INDEX(Product!$D:$D,MATCH($A2,Product!$A:$A,0))</f>
        <v>Đệm chống lở loét</v>
      </c>
      <c r="D2" s="23" t="s">
        <v>2367</v>
      </c>
      <c r="E2" s="37" t="str">
        <f>INDEX('Attribute Definition'!$B:$B,MATCH($D2,'Attribute Definition'!$A:$A,0))</f>
        <v>Chất liệu</v>
      </c>
      <c r="F2" s="38" t="s">
        <v>2657</v>
      </c>
      <c r="G2" s="39" t="str" cm="1">
        <f t="array" ref="G2">_xlfn.TEXTJOIN("; ",TRUE,_xlfn.UNIQUE(_xlfn._xlws.FILTER('Product Variant Attribute'!$F$2:$F$3000,('Product Variant Attribute'!$B$2:$B$3000=$A2)*('Product Variant Attribute'!$D$2:$D$3000=$D2),"")))</f>
        <v>Cao su</v>
      </c>
      <c r="H2" s="39"/>
      <c r="I2" s="39"/>
      <c r="J2" s="39" t="str" cm="1">
        <f t="array" ref="J2">IF($I2="","",_xlfn.TEXTJOIN("; ",TRUE,_xlfn.UNIQUE(_xlfn._xlws.FILTER($A$2:$A$3000,($C$2:$C$3000=$C2)*($E$2:$E$3000=$E2)*($G$2:$G$3000&lt;&gt;$G2)*($G$2:$G$3000&lt;&gt;""),""))))</f>
        <v/>
      </c>
    </row>
    <row r="3" spans="1:10" x14ac:dyDescent="0.25">
      <c r="A3" s="23" t="s">
        <v>562</v>
      </c>
      <c r="B3" s="37" t="str">
        <f>INDEX(Product!$B:$B,MATCH($A3,Product!$A:$A,0))</f>
        <v>[Greetmed] Phao chống loét cao su</v>
      </c>
      <c r="C3" s="37" t="str">
        <f>INDEX(Product!$D:$D,MATCH($A3,Product!$A:$A,0))</f>
        <v>Đệm chống lở loét</v>
      </c>
      <c r="D3" s="23" t="s">
        <v>2471</v>
      </c>
      <c r="E3" s="37" t="str">
        <f>INDEX('Attribute Definition'!$B:$B,MATCH($D3,'Attribute Definition'!$A:$A,0))</f>
        <v>Dạng sản phẩm</v>
      </c>
      <c r="F3" s="38" t="s">
        <v>2657</v>
      </c>
      <c r="G3" s="39" t="str" cm="1">
        <f t="array" ref="G3">_xlfn.TEXTJOIN("; ",TRUE,_xlfn.UNIQUE(_xlfn._xlws.FILTER('Product Variant Attribute'!$F$2:$F$3000,('Product Variant Attribute'!$B$2:$B$3000=$A3)*('Product Variant Attribute'!$D$2:$D$3000=$D3),"")))</f>
        <v>Đệm</v>
      </c>
      <c r="H3" s="39"/>
      <c r="I3" s="39"/>
      <c r="J3" s="39" t="str" cm="1">
        <f t="array" ref="J3">IF($I3="","",_xlfn.TEXTJOIN("; ",TRUE,_xlfn.UNIQUE(_xlfn._xlws.FILTER($A$2:$A$3000,($C$2:$C$3000=$C3)*($E$2:$E$3000=$E3)*($G$2:$G$3000&lt;&gt;$G3)*($G$2:$G$3000&lt;&gt;""),""))))</f>
        <v/>
      </c>
    </row>
    <row r="4" spans="1:10" x14ac:dyDescent="0.25">
      <c r="A4" s="23" t="s">
        <v>563</v>
      </c>
      <c r="B4" s="37" t="str">
        <f>INDEX(Product!$B:$B,MATCH($A4,Product!$A:$A,0))</f>
        <v>[iMedicare] Đệm hơi chống lở loét - iAM-8P</v>
      </c>
      <c r="C4" s="37" t="str">
        <f>INDEX(Product!$D:$D,MATCH($A4,Product!$A:$A,0))</f>
        <v>Đệm chống lở loét</v>
      </c>
      <c r="D4" s="23" t="s">
        <v>2471</v>
      </c>
      <c r="E4" s="37" t="str">
        <f>INDEX('Attribute Definition'!$B:$B,MATCH($D4,'Attribute Definition'!$A:$A,0))</f>
        <v>Dạng sản phẩm</v>
      </c>
      <c r="F4" s="38" t="s">
        <v>2657</v>
      </c>
      <c r="G4" s="39" t="str" cm="1">
        <f t="array" ref="G4">_xlfn.TEXTJOIN("; ",TRUE,_xlfn.UNIQUE(_xlfn._xlws.FILTER('Product Variant Attribute'!$F$2:$F$3000,('Product Variant Attribute'!$B$2:$B$3000=$A4)*('Product Variant Attribute'!$D$2:$D$3000=$D4),"")))</f>
        <v>Đệm</v>
      </c>
      <c r="H4" s="39"/>
      <c r="I4" s="39"/>
      <c r="J4" s="39" t="str" cm="1">
        <f t="array" ref="J4">IF($I4="","",_xlfn.TEXTJOIN("; ",TRUE,_xlfn.UNIQUE(_xlfn._xlws.FILTER($A$2:$A$3000,($C$2:$C$3000=$C4)*($E$2:$E$3000=$E4)*($G$2:$G$3000&lt;&gt;$G4)*($G$2:$G$3000&lt;&gt;""),""))))</f>
        <v/>
      </c>
    </row>
    <row r="5" spans="1:10" x14ac:dyDescent="0.25">
      <c r="A5" s="23" t="s">
        <v>564</v>
      </c>
      <c r="B5" s="37" t="str">
        <f>INDEX(Product!$B:$B,MATCH($A5,Product!$A:$A,0))</f>
        <v>[Lucass] Đệm hơi chống lở loét - LC-389</v>
      </c>
      <c r="C5" s="37" t="str">
        <f>INDEX(Product!$D:$D,MATCH($A5,Product!$A:$A,0))</f>
        <v>Đệm chống lở loét</v>
      </c>
      <c r="D5" s="23" t="s">
        <v>2471</v>
      </c>
      <c r="E5" s="37" t="str">
        <f>INDEX('Attribute Definition'!$B:$B,MATCH($D5,'Attribute Definition'!$A:$A,0))</f>
        <v>Dạng sản phẩm</v>
      </c>
      <c r="F5" s="38" t="s">
        <v>2657</v>
      </c>
      <c r="G5" s="39" t="str" cm="1">
        <f t="array" ref="G5">_xlfn.TEXTJOIN("; ",TRUE,_xlfn.UNIQUE(_xlfn._xlws.FILTER('Product Variant Attribute'!$F$2:$F$3000,('Product Variant Attribute'!$B$2:$B$3000=$A5)*('Product Variant Attribute'!$D$2:$D$3000=$D5),"")))</f>
        <v>Đệm</v>
      </c>
      <c r="H5" s="39"/>
      <c r="I5" s="39"/>
      <c r="J5" s="39" t="str" cm="1">
        <f t="array" ref="J5">IF($I5="","",_xlfn.TEXTJOIN("; ",TRUE,_xlfn.UNIQUE(_xlfn._xlws.FILTER($A$2:$A$3000,($C$2:$C$3000=$C5)*($E$2:$E$3000=$E5)*($G$2:$G$3000&lt;&gt;$G5)*($G$2:$G$3000&lt;&gt;""),""))))</f>
        <v/>
      </c>
    </row>
    <row r="6" spans="1:10" x14ac:dyDescent="0.25">
      <c r="A6" s="23" t="s">
        <v>565</v>
      </c>
      <c r="B6" s="37" t="str">
        <f>INDEX(Product!$B:$B,MATCH($A6,Product!$A:$A,0))</f>
        <v>[Rionet] Máy trợ thính có dây đeo - HA-20DX</v>
      </c>
      <c r="C6" s="37" t="str">
        <f>INDEX(Product!$D:$D,MATCH($A6,Product!$A:$A,0))</f>
        <v>Máy trợ thính</v>
      </c>
      <c r="D6" s="23" t="s">
        <v>2429</v>
      </c>
      <c r="E6" s="37" t="str">
        <f>INDEX('Attribute Definition'!$B:$B,MATCH($D6,'Attribute Definition'!$A:$A,0))</f>
        <v>Kết nối</v>
      </c>
      <c r="F6" s="38" t="s">
        <v>2657</v>
      </c>
      <c r="G6" s="39" t="str" cm="1">
        <f t="array" ref="G6">_xlfn.TEXTJOIN("; ",TRUE,_xlfn.UNIQUE(_xlfn._xlws.FILTER('Product Variant Attribute'!$F$2:$F$3000,('Product Variant Attribute'!$B$2:$B$3000=$A6)*('Product Variant Attribute'!$D$2:$D$3000=$D6),"")))</f>
        <v>Có dây</v>
      </c>
      <c r="H6" s="39"/>
      <c r="I6" s="39" t="s">
        <v>2704</v>
      </c>
      <c r="J6" s="39" t="str" cm="1">
        <f t="array" ref="J6">IF($I6="","",_xlfn.TEXTJOIN("; ",TRUE,_xlfn.UNIQUE(_xlfn._xlws.FILTER($A$2:$A$3000,($C$2:$C$3000=$C6)*($E$2:$E$3000=$E6)*($G$2:$G$3000&lt;&gt;$G6)*($G$2:$G$3000&lt;&gt;""),""))))</f>
        <v>PRODUCT-00005; PRODUCT-00006</v>
      </c>
    </row>
    <row r="7" spans="1:10" x14ac:dyDescent="0.25">
      <c r="A7" s="23" t="s">
        <v>565</v>
      </c>
      <c r="B7" s="37" t="str">
        <f>INDEX(Product!$B:$B,MATCH($A7,Product!$A:$A,0))</f>
        <v>[Rionet] Máy trợ thính có dây đeo - HA-20DX</v>
      </c>
      <c r="C7" s="37" t="str">
        <f>INDEX(Product!$D:$D,MATCH($A7,Product!$A:$A,0))</f>
        <v>Máy trợ thính</v>
      </c>
      <c r="D7" s="23" t="s">
        <v>2434</v>
      </c>
      <c r="E7" s="37" t="str">
        <f>INDEX('Attribute Definition'!$B:$B,MATCH($D7,'Attribute Definition'!$A:$A,0))</f>
        <v>Nguồn điện</v>
      </c>
      <c r="F7" s="38" t="s">
        <v>2657</v>
      </c>
      <c r="G7" s="39" t="str" cm="1">
        <f t="array" ref="G7">_xlfn.TEXTJOIN("; ",TRUE,_xlfn.UNIQUE(_xlfn._xlws.FILTER('Product Variant Attribute'!$F$2:$F$3000,('Product Variant Attribute'!$B$2:$B$3000=$A7)*('Product Variant Attribute'!$D$2:$D$3000=$D7),"")))</f>
        <v>Pin AA</v>
      </c>
      <c r="H7" s="39"/>
      <c r="I7" s="39"/>
      <c r="J7" s="39" t="str" cm="1">
        <f t="array" ref="J7">IF($I7="","",_xlfn.TEXTJOIN("; ",TRUE,_xlfn.UNIQUE(_xlfn._xlws.FILTER($A$2:$A$3000,($C$2:$C$3000=$C7)*($E$2:$E$3000=$E7)*($G$2:$G$3000&lt;&gt;$G7)*($G$2:$G$3000&lt;&gt;""),""))))</f>
        <v/>
      </c>
    </row>
    <row r="8" spans="1:10" x14ac:dyDescent="0.25">
      <c r="A8" s="23" t="s">
        <v>565</v>
      </c>
      <c r="B8" s="37" t="str">
        <f>INDEX(Product!$B:$B,MATCH($A8,Product!$A:$A,0))</f>
        <v>[Rionet] Máy trợ thính có dây đeo - HA-20DX</v>
      </c>
      <c r="C8" s="37" t="str">
        <f>INDEX(Product!$D:$D,MATCH($A8,Product!$A:$A,0))</f>
        <v>Máy trợ thính</v>
      </c>
      <c r="D8" s="23" t="s">
        <v>2471</v>
      </c>
      <c r="E8" s="37" t="str">
        <f>INDEX('Attribute Definition'!$B:$B,MATCH($D8,'Attribute Definition'!$A:$A,0))</f>
        <v>Dạng sản phẩm</v>
      </c>
      <c r="F8" s="38" t="s">
        <v>2657</v>
      </c>
      <c r="G8" s="39" t="str" cm="1">
        <f t="array" ref="G8">_xlfn.TEXTJOIN("; ",TRUE,_xlfn.UNIQUE(_xlfn._xlws.FILTER('Product Variant Attribute'!$F$2:$F$3000,('Product Variant Attribute'!$B$2:$B$3000=$A8)*('Product Variant Attribute'!$D$2:$D$3000=$D8),"")))</f>
        <v>Máy / thiết bị điện tử</v>
      </c>
      <c r="H8" s="39"/>
      <c r="I8" s="39"/>
      <c r="J8" s="39" t="str" cm="1">
        <f t="array" ref="J8">IF($I8="","",_xlfn.TEXTJOIN("; ",TRUE,_xlfn.UNIQUE(_xlfn._xlws.FILTER($A$2:$A$3000,($C$2:$C$3000=$C8)*($E$2:$E$3000=$E8)*($G$2:$G$3000&lt;&gt;$G8)*($G$2:$G$3000&lt;&gt;""),""))))</f>
        <v/>
      </c>
    </row>
    <row r="9" spans="1:10" ht="30" x14ac:dyDescent="0.25">
      <c r="A9" s="23" t="s">
        <v>566</v>
      </c>
      <c r="B9" s="37" t="str">
        <f>INDEX(Product!$B:$B,MATCH($A9,Product!$A:$A,0))</f>
        <v>[Rionet] Máy trợ thính không dây - HB-23P</v>
      </c>
      <c r="C9" s="37" t="str">
        <f>INDEX(Product!$D:$D,MATCH($A9,Product!$A:$A,0))</f>
        <v>Máy trợ thính</v>
      </c>
      <c r="D9" s="23" t="s">
        <v>2429</v>
      </c>
      <c r="E9" s="37" t="str">
        <f>INDEX('Attribute Definition'!$B:$B,MATCH($D9,'Attribute Definition'!$A:$A,0))</f>
        <v>Kết nối</v>
      </c>
      <c r="F9" s="38" t="s">
        <v>2657</v>
      </c>
      <c r="G9" s="39" t="str" cm="1">
        <f t="array" ref="G9">_xlfn.TEXTJOIN("; ",TRUE,_xlfn.UNIQUE(_xlfn._xlws.FILTER('Product Variant Attribute'!$F$2:$F$3000,('Product Variant Attribute'!$B$2:$B$3000=$A9)*('Product Variant Attribute'!$D$2:$D$3000=$D9),"")))</f>
        <v>Không dây</v>
      </c>
      <c r="H9" s="39"/>
      <c r="I9" s="39" t="s">
        <v>2705</v>
      </c>
      <c r="J9" s="39" t="str" cm="1">
        <f t="array" ref="J9">IF($I9="","",_xlfn.TEXTJOIN("; ",TRUE,_xlfn.UNIQUE(_xlfn._xlws.FILTER($A$2:$A$3000,($C$2:$C$3000=$C9)*($E$2:$E$3000=$E9)*($G$2:$G$3000&lt;&gt;$G9)*($G$2:$G$3000&lt;&gt;""),""))))</f>
        <v>PRODUCT-00004</v>
      </c>
    </row>
    <row r="10" spans="1:10" x14ac:dyDescent="0.25">
      <c r="A10" s="23" t="s">
        <v>566</v>
      </c>
      <c r="B10" s="37" t="str">
        <f>INDEX(Product!$B:$B,MATCH($A10,Product!$A:$A,0))</f>
        <v>[Rionet] Máy trợ thính không dây - HB-23P</v>
      </c>
      <c r="C10" s="37" t="str">
        <f>INDEX(Product!$D:$D,MATCH($A10,Product!$A:$A,0))</f>
        <v>Máy trợ thính</v>
      </c>
      <c r="D10" s="23" t="s">
        <v>2471</v>
      </c>
      <c r="E10" s="37" t="str">
        <f>INDEX('Attribute Definition'!$B:$B,MATCH($D10,'Attribute Definition'!$A:$A,0))</f>
        <v>Dạng sản phẩm</v>
      </c>
      <c r="F10" s="38" t="s">
        <v>2657</v>
      </c>
      <c r="G10" s="39" t="str" cm="1">
        <f t="array" ref="G10">_xlfn.TEXTJOIN("; ",TRUE,_xlfn.UNIQUE(_xlfn._xlws.FILTER('Product Variant Attribute'!$F$2:$F$3000,('Product Variant Attribute'!$B$2:$B$3000=$A10)*('Product Variant Attribute'!$D$2:$D$3000=$D10),"")))</f>
        <v>Máy / thiết bị điện tử</v>
      </c>
      <c r="H10" s="39"/>
      <c r="I10" s="39"/>
      <c r="J10" s="39" t="str" cm="1">
        <f t="array" ref="J10">IF($I10="","",_xlfn.TEXTJOIN("; ",TRUE,_xlfn.UNIQUE(_xlfn._xlws.FILTER($A$2:$A$3000,($C$2:$C$3000=$C10)*($E$2:$E$3000=$E10)*($G$2:$G$3000&lt;&gt;$G10)*($G$2:$G$3000&lt;&gt;""),""))))</f>
        <v/>
      </c>
    </row>
    <row r="11" spans="1:10" ht="30" x14ac:dyDescent="0.25">
      <c r="A11" s="23" t="s">
        <v>567</v>
      </c>
      <c r="B11" s="37" t="str">
        <f>INDEX(Product!$B:$B,MATCH($A11,Product!$A:$A,0))</f>
        <v>[Rionet] Máy trợ thính không dây thông minh - HM-06</v>
      </c>
      <c r="C11" s="37" t="str">
        <f>INDEX(Product!$D:$D,MATCH($A11,Product!$A:$A,0))</f>
        <v>Máy trợ thính</v>
      </c>
      <c r="D11" s="23" t="s">
        <v>2429</v>
      </c>
      <c r="E11" s="37" t="str">
        <f>INDEX('Attribute Definition'!$B:$B,MATCH($D11,'Attribute Definition'!$A:$A,0))</f>
        <v>Kết nối</v>
      </c>
      <c r="F11" s="38" t="s">
        <v>2657</v>
      </c>
      <c r="G11" s="39" t="str" cm="1">
        <f t="array" ref="G11">_xlfn.TEXTJOIN("; ",TRUE,_xlfn.UNIQUE(_xlfn._xlws.FILTER('Product Variant Attribute'!$F$2:$F$3000,('Product Variant Attribute'!$B$2:$B$3000=$A11)*('Product Variant Attribute'!$D$2:$D$3000=$D11),"")))</f>
        <v>Không dây</v>
      </c>
      <c r="H11" s="39"/>
      <c r="I11" s="39" t="s">
        <v>2705</v>
      </c>
      <c r="J11" s="39" t="str" cm="1">
        <f t="array" ref="J11">IF($I11="","",_xlfn.TEXTJOIN("; ",TRUE,_xlfn.UNIQUE(_xlfn._xlws.FILTER($A$2:$A$3000,($C$2:$C$3000=$C11)*($E$2:$E$3000=$E11)*($G$2:$G$3000&lt;&gt;$G11)*($G$2:$G$3000&lt;&gt;""),""))))</f>
        <v>PRODUCT-00004</v>
      </c>
    </row>
    <row r="12" spans="1:10" x14ac:dyDescent="0.25">
      <c r="A12" s="23" t="s">
        <v>567</v>
      </c>
      <c r="B12" s="37" t="str">
        <f>INDEX(Product!$B:$B,MATCH($A12,Product!$A:$A,0))</f>
        <v>[Rionet] Máy trợ thính không dây thông minh - HM-06</v>
      </c>
      <c r="C12" s="37" t="str">
        <f>INDEX(Product!$D:$D,MATCH($A12,Product!$A:$A,0))</f>
        <v>Máy trợ thính</v>
      </c>
      <c r="D12" s="23" t="s">
        <v>2471</v>
      </c>
      <c r="E12" s="37" t="str">
        <f>INDEX('Attribute Definition'!$B:$B,MATCH($D12,'Attribute Definition'!$A:$A,0))</f>
        <v>Dạng sản phẩm</v>
      </c>
      <c r="F12" s="38" t="s">
        <v>2657</v>
      </c>
      <c r="G12" s="39" t="str" cm="1">
        <f t="array" ref="G12">_xlfn.TEXTJOIN("; ",TRUE,_xlfn.UNIQUE(_xlfn._xlws.FILTER('Product Variant Attribute'!$F$2:$F$3000,('Product Variant Attribute'!$B$2:$B$3000=$A12)*('Product Variant Attribute'!$D$2:$D$3000=$D12),"")))</f>
        <v>Máy / thiết bị điện tử</v>
      </c>
      <c r="H12" s="39"/>
      <c r="I12" s="39"/>
      <c r="J12" s="39" t="str" cm="1">
        <f t="array" ref="J12">IF($I12="","",_xlfn.TEXTJOIN("; ",TRUE,_xlfn.UNIQUE(_xlfn._xlws.FILTER($A$2:$A$3000,($C$2:$C$3000=$C12)*($E$2:$E$3000=$E12)*($G$2:$G$3000&lt;&gt;$G12)*($G$2:$G$3000&lt;&gt;""),""))))</f>
        <v/>
      </c>
    </row>
    <row r="13" spans="1:10" x14ac:dyDescent="0.25">
      <c r="A13" s="23" t="s">
        <v>568</v>
      </c>
      <c r="B13" s="37" t="str">
        <f>INDEX(Product!$B:$B,MATCH($A13,Product!$A:$A,0))</f>
        <v>[WaterJet] Máy tăm nước - Cordless Maxi</v>
      </c>
      <c r="C13" s="37" t="str">
        <f>INDEX(Product!$D:$D,MATCH($A13,Product!$A:$A,0))</f>
        <v>Máy tăm nước</v>
      </c>
      <c r="D13" s="23" t="s">
        <v>2434</v>
      </c>
      <c r="E13" s="37" t="str">
        <f>INDEX('Attribute Definition'!$B:$B,MATCH($D13,'Attribute Definition'!$A:$A,0))</f>
        <v>Nguồn điện</v>
      </c>
      <c r="F13" s="38" t="s">
        <v>2657</v>
      </c>
      <c r="G13" s="39" t="str" cm="1">
        <f t="array" ref="G13">_xlfn.TEXTJOIN("; ",TRUE,_xlfn.UNIQUE(_xlfn._xlws.FILTER('Product Variant Attribute'!$F$2:$F$3000,('Product Variant Attribute'!$B$2:$B$3000=$A13)*('Product Variant Attribute'!$D$2:$D$3000=$D13),"")))</f>
        <v>Pin sạc</v>
      </c>
      <c r="H13" s="39"/>
      <c r="I13" s="39"/>
      <c r="J13" s="39" t="str" cm="1">
        <f t="array" ref="J13">IF($I13="","",_xlfn.TEXTJOIN("; ",TRUE,_xlfn.UNIQUE(_xlfn._xlws.FILTER($A$2:$A$3000,($C$2:$C$3000=$C13)*($E$2:$E$3000=$E13)*($G$2:$G$3000&lt;&gt;$G13)*($G$2:$G$3000&lt;&gt;""),""))))</f>
        <v/>
      </c>
    </row>
    <row r="14" spans="1:10" x14ac:dyDescent="0.25">
      <c r="A14" s="23" t="s">
        <v>568</v>
      </c>
      <c r="B14" s="37" t="str">
        <f>INDEX(Product!$B:$B,MATCH($A14,Product!$A:$A,0))</f>
        <v>[WaterJet] Máy tăm nước - Cordless Maxi</v>
      </c>
      <c r="C14" s="37" t="str">
        <f>INDEX(Product!$D:$D,MATCH($A14,Product!$A:$A,0))</f>
        <v>Máy tăm nước</v>
      </c>
      <c r="D14" s="23" t="s">
        <v>2471</v>
      </c>
      <c r="E14" s="37" t="str">
        <f>INDEX('Attribute Definition'!$B:$B,MATCH($D14,'Attribute Definition'!$A:$A,0))</f>
        <v>Dạng sản phẩm</v>
      </c>
      <c r="F14" s="38" t="s">
        <v>2657</v>
      </c>
      <c r="G14" s="39" t="str" cm="1">
        <f t="array" ref="G14">_xlfn.TEXTJOIN("; ",TRUE,_xlfn.UNIQUE(_xlfn._xlws.FILTER('Product Variant Attribute'!$F$2:$F$3000,('Product Variant Attribute'!$B$2:$B$3000=$A14)*('Product Variant Attribute'!$D$2:$D$3000=$D14),"")))</f>
        <v>Máy / thiết bị điện tử</v>
      </c>
      <c r="H14" s="39"/>
      <c r="I14" s="39"/>
      <c r="J14" s="39" t="str" cm="1">
        <f t="array" ref="J14">IF($I14="","",_xlfn.TEXTJOIN("; ",TRUE,_xlfn.UNIQUE(_xlfn._xlws.FILTER($A$2:$A$3000,($C$2:$C$3000=$C14)*($E$2:$E$3000=$E14)*($G$2:$G$3000&lt;&gt;$G14)*($G$2:$G$3000&lt;&gt;""),""))))</f>
        <v/>
      </c>
    </row>
    <row r="15" spans="1:10" x14ac:dyDescent="0.25">
      <c r="A15" s="23" t="s">
        <v>569</v>
      </c>
      <c r="B15" s="37" t="str">
        <f>INDEX(Product!$B:$B,MATCH($A15,Product!$A:$A,0))</f>
        <v>[Young Chemical Vina] Miếng dán mụn - Somaderm Spot S (32 miếng)</v>
      </c>
      <c r="C15" s="37" t="str">
        <f>INDEX(Product!$D:$D,MATCH($A15,Product!$A:$A,0))</f>
        <v>Miếng dán mụn</v>
      </c>
      <c r="D15" s="23" t="s">
        <v>2362</v>
      </c>
      <c r="E15" s="37" t="str">
        <f>INDEX('Attribute Definition'!$B:$B,MATCH($D15,'Attribute Definition'!$A:$A,0))</f>
        <v>Số miếng / hộp</v>
      </c>
      <c r="F15" s="38" t="s">
        <v>2657</v>
      </c>
      <c r="G15" s="39" t="str" cm="1">
        <f t="array" ref="G15">_xlfn.TEXTJOIN("; ",TRUE,_xlfn.UNIQUE(_xlfn._xlws.FILTER('Product Variant Attribute'!$F$2:$F$3000,('Product Variant Attribute'!$B$2:$B$3000=$A15)*('Product Variant Attribute'!$D$2:$D$3000=$D15),"")))</f>
        <v>32 miếng</v>
      </c>
      <c r="H15" s="39"/>
      <c r="I15" s="39"/>
      <c r="J15" s="39" t="str" cm="1">
        <f t="array" ref="J15">IF($I15="","",_xlfn.TEXTJOIN("; ",TRUE,_xlfn.UNIQUE(_xlfn._xlws.FILTER($A$2:$A$3000,($C$2:$C$3000=$C15)*($E$2:$E$3000=$E15)*($G$2:$G$3000&lt;&gt;$G15)*($G$2:$G$3000&lt;&gt;""),""))))</f>
        <v/>
      </c>
    </row>
    <row r="16" spans="1:10" x14ac:dyDescent="0.25">
      <c r="A16" s="23" t="s">
        <v>569</v>
      </c>
      <c r="B16" s="37" t="str">
        <f>INDEX(Product!$B:$B,MATCH($A16,Product!$A:$A,0))</f>
        <v>[Young Chemical Vina] Miếng dán mụn - Somaderm Spot S (32 miếng)</v>
      </c>
      <c r="C16" s="37" t="str">
        <f>INDEX(Product!$D:$D,MATCH($A16,Product!$A:$A,0))</f>
        <v>Miếng dán mụn</v>
      </c>
      <c r="D16" s="23" t="s">
        <v>2367</v>
      </c>
      <c r="E16" s="37" t="str">
        <f>INDEX('Attribute Definition'!$B:$B,MATCH($D16,'Attribute Definition'!$A:$A,0))</f>
        <v>Chất liệu</v>
      </c>
      <c r="F16" s="38" t="s">
        <v>2657</v>
      </c>
      <c r="G16" s="39" t="str" cm="1">
        <f t="array" ref="G16">_xlfn.TEXTJOIN("; ",TRUE,_xlfn.UNIQUE(_xlfn._xlws.FILTER('Product Variant Attribute'!$F$2:$F$3000,('Product Variant Attribute'!$B$2:$B$3000=$A16)*('Product Variant Attribute'!$D$2:$D$3000=$D16),"")))</f>
        <v>Hydrocolloid</v>
      </c>
      <c r="H16" s="39"/>
      <c r="I16" s="39"/>
      <c r="J16" s="39" t="str" cm="1">
        <f t="array" ref="J16">IF($I16="","",_xlfn.TEXTJOIN("; ",TRUE,_xlfn.UNIQUE(_xlfn._xlws.FILTER($A$2:$A$3000,($C$2:$C$3000=$C16)*($E$2:$E$3000=$E16)*($G$2:$G$3000&lt;&gt;$G16)*($G$2:$G$3000&lt;&gt;""),""))))</f>
        <v/>
      </c>
    </row>
    <row r="17" spans="1:10" x14ac:dyDescent="0.25">
      <c r="A17" s="23" t="s">
        <v>569</v>
      </c>
      <c r="B17" s="37" t="str">
        <f>INDEX(Product!$B:$B,MATCH($A17,Product!$A:$A,0))</f>
        <v>[Young Chemical Vina] Miếng dán mụn - Somaderm Spot S (32 miếng)</v>
      </c>
      <c r="C17" s="37" t="str">
        <f>INDEX(Product!$D:$D,MATCH($A17,Product!$A:$A,0))</f>
        <v>Miếng dán mụn</v>
      </c>
      <c r="D17" s="23" t="s">
        <v>2381</v>
      </c>
      <c r="E17" s="37" t="str">
        <f>INDEX('Attribute Definition'!$B:$B,MATCH($D17,'Attribute Definition'!$A:$A,0))</f>
        <v>Chống nước</v>
      </c>
      <c r="F17" s="38" t="s">
        <v>2657</v>
      </c>
      <c r="G17" s="39" t="str" cm="1">
        <f t="array" ref="G17">_xlfn.TEXTJOIN("; ",TRUE,_xlfn.UNIQUE(_xlfn._xlws.FILTER('Product Variant Attribute'!$F$2:$F$3000,('Product Variant Attribute'!$B$2:$B$3000=$A17)*('Product Variant Attribute'!$D$2:$D$3000=$D17),"")))</f>
        <v>Có</v>
      </c>
      <c r="H17" s="39"/>
      <c r="I17" s="39"/>
      <c r="J17" s="39" t="str" cm="1">
        <f t="array" ref="J17">IF($I17="","",_xlfn.TEXTJOIN("; ",TRUE,_xlfn.UNIQUE(_xlfn._xlws.FILTER($A$2:$A$3000,($C$2:$C$3000=$C17)*($E$2:$E$3000=$E17)*($G$2:$G$3000&lt;&gt;$G17)*($G$2:$G$3000&lt;&gt;""),""))))</f>
        <v/>
      </c>
    </row>
    <row r="18" spans="1:10" x14ac:dyDescent="0.25">
      <c r="A18" s="23" t="s">
        <v>569</v>
      </c>
      <c r="B18" s="37" t="str">
        <f>INDEX(Product!$B:$B,MATCH($A18,Product!$A:$A,0))</f>
        <v>[Young Chemical Vina] Miếng dán mụn - Somaderm Spot S (32 miếng)</v>
      </c>
      <c r="C18" s="37" t="str">
        <f>INDEX(Product!$D:$D,MATCH($A18,Product!$A:$A,0))</f>
        <v>Miếng dán mụn</v>
      </c>
      <c r="D18" s="23" t="s">
        <v>2471</v>
      </c>
      <c r="E18" s="37" t="str">
        <f>INDEX('Attribute Definition'!$B:$B,MATCH($D18,'Attribute Definition'!$A:$A,0))</f>
        <v>Dạng sản phẩm</v>
      </c>
      <c r="F18" s="38" t="s">
        <v>2657</v>
      </c>
      <c r="G18" s="39" t="str" cm="1">
        <f t="array" ref="G18">_xlfn.TEXTJOIN("; ",TRUE,_xlfn.UNIQUE(_xlfn._xlws.FILTER('Product Variant Attribute'!$F$2:$F$3000,('Product Variant Attribute'!$B$2:$B$3000=$A18)*('Product Variant Attribute'!$D$2:$D$3000=$D18),"")))</f>
        <v>Miếng dán / gạc</v>
      </c>
      <c r="H18" s="39"/>
      <c r="I18" s="39"/>
      <c r="J18" s="39" t="str" cm="1">
        <f t="array" ref="J18">IF($I18="","",_xlfn.TEXTJOIN("; ",TRUE,_xlfn.UNIQUE(_xlfn._xlws.FILTER($A$2:$A$3000,($C$2:$C$3000=$C18)*($E$2:$E$3000=$E18)*($G$2:$G$3000&lt;&gt;$G18)*($G$2:$G$3000&lt;&gt;""),""))))</f>
        <v/>
      </c>
    </row>
    <row r="19" spans="1:10" x14ac:dyDescent="0.25">
      <c r="A19" s="23" t="s">
        <v>570</v>
      </c>
      <c r="B19" s="37" t="str">
        <f>INDEX(Product!$B:$B,MATCH($A19,Product!$A:$A,0))</f>
        <v>[Young Chemical Vina] Miếng dán mụn - Somaderm-Thin (Ø10mm)</v>
      </c>
      <c r="C19" s="37" t="str">
        <f>INDEX(Product!$D:$D,MATCH($A19,Product!$A:$A,0))</f>
        <v>Miếng dán mụn</v>
      </c>
      <c r="D19" s="23" t="s">
        <v>2342</v>
      </c>
      <c r="E19" s="37" t="str">
        <f>INDEX('Attribute Definition'!$B:$B,MATCH($D19,'Attribute Definition'!$A:$A,0))</f>
        <v>Kích thước</v>
      </c>
      <c r="F19" s="38" t="s">
        <v>2657</v>
      </c>
      <c r="G19" s="39" t="str" cm="1">
        <f t="array" ref="G19">_xlfn.TEXTJOIN("; ",TRUE,_xlfn.UNIQUE(_xlfn._xlws.FILTER('Product Variant Attribute'!$F$2:$F$3000,('Product Variant Attribute'!$B$2:$B$3000=$A19)*('Product Variant Attribute'!$D$2:$D$3000=$D19),"")))</f>
        <v>Ø10mm</v>
      </c>
      <c r="H19" s="39"/>
      <c r="I19" s="39"/>
      <c r="J19" s="39" t="str" cm="1">
        <f t="array" ref="J19">IF($I19="","",_xlfn.TEXTJOIN("; ",TRUE,_xlfn.UNIQUE(_xlfn._xlws.FILTER($A$2:$A$3000,($C$2:$C$3000=$C19)*($E$2:$E$3000=$E19)*($G$2:$G$3000&lt;&gt;$G19)*($G$2:$G$3000&lt;&gt;""),""))))</f>
        <v/>
      </c>
    </row>
    <row r="20" spans="1:10" x14ac:dyDescent="0.25">
      <c r="A20" s="23" t="s">
        <v>570</v>
      </c>
      <c r="B20" s="37" t="str">
        <f>INDEX(Product!$B:$B,MATCH($A20,Product!$A:$A,0))</f>
        <v>[Young Chemical Vina] Miếng dán mụn - Somaderm-Thin (Ø10mm)</v>
      </c>
      <c r="C20" s="37" t="str">
        <f>INDEX(Product!$D:$D,MATCH($A20,Product!$A:$A,0))</f>
        <v>Miếng dán mụn</v>
      </c>
      <c r="D20" s="23" t="s">
        <v>2367</v>
      </c>
      <c r="E20" s="37" t="str">
        <f>INDEX('Attribute Definition'!$B:$B,MATCH($D20,'Attribute Definition'!$A:$A,0))</f>
        <v>Chất liệu</v>
      </c>
      <c r="F20" s="38" t="s">
        <v>2657</v>
      </c>
      <c r="G20" s="39" t="str" cm="1">
        <f t="array" ref="G20">_xlfn.TEXTJOIN("; ",TRUE,_xlfn.UNIQUE(_xlfn._xlws.FILTER('Product Variant Attribute'!$F$2:$F$3000,('Product Variant Attribute'!$B$2:$B$3000=$A20)*('Product Variant Attribute'!$D$2:$D$3000=$D20),"")))</f>
        <v>Hydrocolloid</v>
      </c>
      <c r="H20" s="39"/>
      <c r="I20" s="39"/>
      <c r="J20" s="39" t="str" cm="1">
        <f t="array" ref="J20">IF($I20="","",_xlfn.TEXTJOIN("; ",TRUE,_xlfn.UNIQUE(_xlfn._xlws.FILTER($A$2:$A$3000,($C$2:$C$3000=$C20)*($E$2:$E$3000=$E20)*($G$2:$G$3000&lt;&gt;$G20)*($G$2:$G$3000&lt;&gt;""),""))))</f>
        <v/>
      </c>
    </row>
    <row r="21" spans="1:10" x14ac:dyDescent="0.25">
      <c r="A21" s="23" t="s">
        <v>570</v>
      </c>
      <c r="B21" s="37" t="str">
        <f>INDEX(Product!$B:$B,MATCH($A21,Product!$A:$A,0))</f>
        <v>[Young Chemical Vina] Miếng dán mụn - Somaderm-Thin (Ø10mm)</v>
      </c>
      <c r="C21" s="37" t="str">
        <f>INDEX(Product!$D:$D,MATCH($A21,Product!$A:$A,0))</f>
        <v>Miếng dán mụn</v>
      </c>
      <c r="D21" s="23" t="s">
        <v>2471</v>
      </c>
      <c r="E21" s="37" t="str">
        <f>INDEX('Attribute Definition'!$B:$B,MATCH($D21,'Attribute Definition'!$A:$A,0))</f>
        <v>Dạng sản phẩm</v>
      </c>
      <c r="F21" s="38" t="s">
        <v>2657</v>
      </c>
      <c r="G21" s="39" t="str" cm="1">
        <f t="array" ref="G21">_xlfn.TEXTJOIN("; ",TRUE,_xlfn.UNIQUE(_xlfn._xlws.FILTER('Product Variant Attribute'!$F$2:$F$3000,('Product Variant Attribute'!$B$2:$B$3000=$A21)*('Product Variant Attribute'!$D$2:$D$3000=$D21),"")))</f>
        <v>Miếng dán / gạc</v>
      </c>
      <c r="H21" s="39"/>
      <c r="I21" s="39"/>
      <c r="J21" s="39" t="str" cm="1">
        <f t="array" ref="J21">IF($I21="","",_xlfn.TEXTJOIN("; ",TRUE,_xlfn.UNIQUE(_xlfn._xlws.FILTER($A$2:$A$3000,($C$2:$C$3000=$C21)*($E$2:$E$3000=$E21)*($G$2:$G$3000&lt;&gt;$G21)*($G$2:$G$3000&lt;&gt;""),""))))</f>
        <v/>
      </c>
    </row>
    <row r="22" spans="1:10" x14ac:dyDescent="0.25">
      <c r="A22" s="23" t="s">
        <v>571</v>
      </c>
      <c r="B22" s="37" t="str">
        <f>INDEX(Product!$B:$B,MATCH($A22,Product!$A:$A,0))</f>
        <v>Mặt nạ xông hơi mắt ngải cứu - Mugwort Steam Eyes Mask</v>
      </c>
      <c r="C22" s="37" t="str">
        <f>INDEX(Product!$D:$D,MATCH($A22,Product!$A:$A,0))</f>
        <v>Mặt nạ xông hơi mắt</v>
      </c>
      <c r="D22" s="23" t="s">
        <v>2367</v>
      </c>
      <c r="E22" s="37" t="str">
        <f>INDEX('Attribute Definition'!$B:$B,MATCH($D22,'Attribute Definition'!$A:$A,0))</f>
        <v>Chất liệu</v>
      </c>
      <c r="F22" s="38" t="s">
        <v>2657</v>
      </c>
      <c r="G22" s="39" t="str" cm="1">
        <f t="array" ref="G22">_xlfn.TEXTJOIN("; ",TRUE,_xlfn.UNIQUE(_xlfn._xlws.FILTER('Product Variant Attribute'!$F$2:$F$3000,('Product Variant Attribute'!$B$2:$B$3000=$A22)*('Product Variant Attribute'!$D$2:$D$3000=$D22),"")))</f>
        <v>Thảo dược</v>
      </c>
      <c r="H22" s="39"/>
      <c r="I22" s="39"/>
      <c r="J22" s="39" t="str" cm="1">
        <f t="array" ref="J22">IF($I22="","",_xlfn.TEXTJOIN("; ",TRUE,_xlfn.UNIQUE(_xlfn._xlws.FILTER($A$2:$A$3000,($C$2:$C$3000=$C22)*($E$2:$E$3000=$E22)*($G$2:$G$3000&lt;&gt;$G22)*($G$2:$G$3000&lt;&gt;""),""))))</f>
        <v/>
      </c>
    </row>
    <row r="23" spans="1:10" x14ac:dyDescent="0.25">
      <c r="A23" s="23" t="s">
        <v>571</v>
      </c>
      <c r="B23" s="37" t="str">
        <f>INDEX(Product!$B:$B,MATCH($A23,Product!$A:$A,0))</f>
        <v>Mặt nạ xông hơi mắt ngải cứu - Mugwort Steam Eyes Mask</v>
      </c>
      <c r="C23" s="37" t="str">
        <f>INDEX(Product!$D:$D,MATCH($A23,Product!$A:$A,0))</f>
        <v>Mặt nạ xông hơi mắt</v>
      </c>
      <c r="D23" s="23" t="s">
        <v>2439</v>
      </c>
      <c r="E23" s="37" t="str">
        <f>INDEX('Attribute Definition'!$B:$B,MATCH($D23,'Attribute Definition'!$A:$A,0))</f>
        <v>Vị trí sử dụng trên cơ thể</v>
      </c>
      <c r="F23" s="38" t="s">
        <v>2657</v>
      </c>
      <c r="G23" s="39" t="str" cm="1">
        <f t="array" ref="G23">_xlfn.TEXTJOIN("; ",TRUE,_xlfn.UNIQUE(_xlfn._xlws.FILTER('Product Variant Attribute'!$F$2:$F$3000,('Product Variant Attribute'!$B$2:$B$3000=$A23)*('Product Variant Attribute'!$D$2:$D$3000=$D23),"")))</f>
        <v>Mắt</v>
      </c>
      <c r="H23" s="39"/>
      <c r="I23" s="39"/>
      <c r="J23" s="39" t="str" cm="1">
        <f t="array" ref="J23">IF($I23="","",_xlfn.TEXTJOIN("; ",TRUE,_xlfn.UNIQUE(_xlfn._xlws.FILTER($A$2:$A$3000,($C$2:$C$3000=$C23)*($E$2:$E$3000=$E23)*($G$2:$G$3000&lt;&gt;$G23)*($G$2:$G$3000&lt;&gt;""),""))))</f>
        <v/>
      </c>
    </row>
    <row r="24" spans="1:10" x14ac:dyDescent="0.25">
      <c r="A24" s="23" t="s">
        <v>571</v>
      </c>
      <c r="B24" s="37" t="str">
        <f>INDEX(Product!$B:$B,MATCH($A24,Product!$A:$A,0))</f>
        <v>Mặt nạ xông hơi mắt ngải cứu - Mugwort Steam Eyes Mask</v>
      </c>
      <c r="C24" s="37" t="str">
        <f>INDEX(Product!$D:$D,MATCH($A24,Product!$A:$A,0))</f>
        <v>Mặt nạ xông hơi mắt</v>
      </c>
      <c r="D24" s="23" t="s">
        <v>2471</v>
      </c>
      <c r="E24" s="37" t="str">
        <f>INDEX('Attribute Definition'!$B:$B,MATCH($D24,'Attribute Definition'!$A:$A,0))</f>
        <v>Dạng sản phẩm</v>
      </c>
      <c r="F24" s="38" t="s">
        <v>2657</v>
      </c>
      <c r="G24" s="39" t="str" cm="1">
        <f t="array" ref="G24">_xlfn.TEXTJOIN("; ",TRUE,_xlfn.UNIQUE(_xlfn._xlws.FILTER('Product Variant Attribute'!$F$2:$F$3000,('Product Variant Attribute'!$B$2:$B$3000=$A24)*('Product Variant Attribute'!$D$2:$D$3000=$D24),"")))</f>
        <v>Miếng dán / gạc</v>
      </c>
      <c r="H24" s="39"/>
      <c r="I24" s="39"/>
      <c r="J24" s="39" t="str" cm="1">
        <f t="array" ref="J24">IF($I24="","",_xlfn.TEXTJOIN("; ",TRUE,_xlfn.UNIQUE(_xlfn._xlws.FILTER($A$2:$A$3000,($C$2:$C$3000=$C24)*($E$2:$E$3000=$E24)*($G$2:$G$3000&lt;&gt;$G24)*($G$2:$G$3000&lt;&gt;""),""))))</f>
        <v/>
      </c>
    </row>
    <row r="25" spans="1:10" x14ac:dyDescent="0.25">
      <c r="A25" s="23" t="s">
        <v>572</v>
      </c>
      <c r="B25" s="37" t="str">
        <f>INDEX(Product!$B:$B,MATCH($A25,Product!$A:$A,0))</f>
        <v>[3M™] Bộ gạc xốp phủ vết thương điều trị áp lực âm VAC kèm chức năng rửa - Veraflo™</v>
      </c>
      <c r="C25" s="37" t="str">
        <f>INDEX(Product!$D:$D,MATCH($A25,Product!$A:$A,0))</f>
        <v>Bộ gạc áp lực âm (VAC)</v>
      </c>
      <c r="D25" s="23" t="s">
        <v>2471</v>
      </c>
      <c r="E25" s="37" t="str">
        <f>INDEX('Attribute Definition'!$B:$B,MATCH($D25,'Attribute Definition'!$A:$A,0))</f>
        <v>Dạng sản phẩm</v>
      </c>
      <c r="F25" s="38" t="s">
        <v>2657</v>
      </c>
      <c r="G25" s="39" t="str" cm="1">
        <f t="array" ref="G25">_xlfn.TEXTJOIN("; ",TRUE,_xlfn.UNIQUE(_xlfn._xlws.FILTER('Product Variant Attribute'!$F$2:$F$3000,('Product Variant Attribute'!$B$2:$B$3000=$A25)*('Product Variant Attribute'!$D$2:$D$3000=$D25),"")))</f>
        <v>Bộ dụng cụ</v>
      </c>
      <c r="H25" s="39"/>
      <c r="I25" s="39"/>
      <c r="J25" s="39" t="str" cm="1">
        <f t="array" ref="J25">IF($I25="","",_xlfn.TEXTJOIN("; ",TRUE,_xlfn.UNIQUE(_xlfn._xlws.FILTER($A$2:$A$3000,($C$2:$C$3000=$C25)*($E$2:$E$3000=$E25)*($G$2:$G$3000&lt;&gt;$G25)*($G$2:$G$3000&lt;&gt;""),""))))</f>
        <v/>
      </c>
    </row>
    <row r="26" spans="1:10" x14ac:dyDescent="0.25">
      <c r="A26" s="23" t="s">
        <v>573</v>
      </c>
      <c r="B26" s="37" t="str">
        <f>INDEX(Product!$B:$B,MATCH($A26,Product!$A:$A,0))</f>
        <v>[3M™] Miếng dán vết thương thay chỉ khâu - STERI-STRIP™ (3mmx75mm)</v>
      </c>
      <c r="C26" s="37" t="str">
        <f>INDEX(Product!$D:$D,MATCH($A26,Product!$A:$A,0))</f>
        <v>Miếng dán khép miệng vết thương</v>
      </c>
      <c r="D26" s="23" t="s">
        <v>2342</v>
      </c>
      <c r="E26" s="37" t="str">
        <f>INDEX('Attribute Definition'!$B:$B,MATCH($D26,'Attribute Definition'!$A:$A,0))</f>
        <v>Kích thước</v>
      </c>
      <c r="F26" s="38" t="s">
        <v>2657</v>
      </c>
      <c r="G26" s="39" t="str" cm="1">
        <f t="array" ref="G26">_xlfn.TEXTJOIN("; ",TRUE,_xlfn.UNIQUE(_xlfn._xlws.FILTER('Product Variant Attribute'!$F$2:$F$3000,('Product Variant Attribute'!$B$2:$B$3000=$A26)*('Product Variant Attribute'!$D$2:$D$3000=$D26),"")))</f>
        <v>3mmx75mm</v>
      </c>
      <c r="H26" s="39"/>
      <c r="I26" s="39"/>
      <c r="J26" s="39" t="str" cm="1">
        <f t="array" ref="J26">IF($I26="","",_xlfn.TEXTJOIN("; ",TRUE,_xlfn.UNIQUE(_xlfn._xlws.FILTER($A$2:$A$3000,($C$2:$C$3000=$C26)*($E$2:$E$3000=$E26)*($G$2:$G$3000&lt;&gt;$G26)*($G$2:$G$3000&lt;&gt;""),""))))</f>
        <v/>
      </c>
    </row>
    <row r="27" spans="1:10" x14ac:dyDescent="0.25">
      <c r="A27" s="23" t="s">
        <v>573</v>
      </c>
      <c r="B27" s="37" t="str">
        <f>INDEX(Product!$B:$B,MATCH($A27,Product!$A:$A,0))</f>
        <v>[3M™] Miếng dán vết thương thay chỉ khâu - STERI-STRIP™ (3mmx75mm)</v>
      </c>
      <c r="C27" s="37" t="str">
        <f>INDEX(Product!$D:$D,MATCH($A27,Product!$A:$A,0))</f>
        <v>Miếng dán khép miệng vết thương</v>
      </c>
      <c r="D27" s="23" t="s">
        <v>2471</v>
      </c>
      <c r="E27" s="37" t="str">
        <f>INDEX('Attribute Definition'!$B:$B,MATCH($D27,'Attribute Definition'!$A:$A,0))</f>
        <v>Dạng sản phẩm</v>
      </c>
      <c r="F27" s="38" t="s">
        <v>2657</v>
      </c>
      <c r="G27" s="39" t="str" cm="1">
        <f t="array" ref="G27">_xlfn.TEXTJOIN("; ",TRUE,_xlfn.UNIQUE(_xlfn._xlws.FILTER('Product Variant Attribute'!$F$2:$F$3000,('Product Variant Attribute'!$B$2:$B$3000=$A27)*('Product Variant Attribute'!$D$2:$D$3000=$D27),"")))</f>
        <v>Miếng dán / gạc</v>
      </c>
      <c r="H27" s="39"/>
      <c r="I27" s="39"/>
      <c r="J27" s="39" t="str" cm="1">
        <f t="array" ref="J27">IF($I27="","",_xlfn.TEXTJOIN("; ",TRUE,_xlfn.UNIQUE(_xlfn._xlws.FILTER($A$2:$A$3000,($C$2:$C$3000=$C27)*($E$2:$E$3000=$E27)*($G$2:$G$3000&lt;&gt;$G27)*($G$2:$G$3000&lt;&gt;""),""))))</f>
        <v/>
      </c>
    </row>
    <row r="28" spans="1:10" x14ac:dyDescent="0.25">
      <c r="A28" s="23" t="s">
        <v>574</v>
      </c>
      <c r="B28" s="37" t="str">
        <f>INDEX(Product!$B:$B,MATCH($A28,Product!$A:$A,0))</f>
        <v>[3M™] Xịt bảo vệ chống hăm loét da - Cavilon (28ml)</v>
      </c>
      <c r="C28" s="37" t="str">
        <f>INDEX(Product!$D:$D,MATCH($A28,Product!$A:$A,0))</f>
        <v>Xịt bảo vệ da</v>
      </c>
      <c r="D28" s="23" t="s">
        <v>2349</v>
      </c>
      <c r="E28" s="37" t="str">
        <f>INDEX('Attribute Definition'!$B:$B,MATCH($D28,'Attribute Definition'!$A:$A,0))</f>
        <v>Dung tích</v>
      </c>
      <c r="F28" s="38" t="s">
        <v>2657</v>
      </c>
      <c r="G28" s="39" t="str" cm="1">
        <f t="array" ref="G28">_xlfn.TEXTJOIN("; ",TRUE,_xlfn.UNIQUE(_xlfn._xlws.FILTER('Product Variant Attribute'!$F$2:$F$3000,('Product Variant Attribute'!$B$2:$B$3000=$A28)*('Product Variant Attribute'!$D$2:$D$3000=$D28),"")))</f>
        <v>28ml</v>
      </c>
      <c r="H28" s="39"/>
      <c r="I28" s="39"/>
      <c r="J28" s="39" t="str" cm="1">
        <f t="array" ref="J28">IF($I28="","",_xlfn.TEXTJOIN("; ",TRUE,_xlfn.UNIQUE(_xlfn._xlws.FILTER($A$2:$A$3000,($C$2:$C$3000=$C28)*($E$2:$E$3000=$E28)*($G$2:$G$3000&lt;&gt;$G28)*($G$2:$G$3000&lt;&gt;""),""))))</f>
        <v/>
      </c>
    </row>
    <row r="29" spans="1:10" x14ac:dyDescent="0.25">
      <c r="A29" s="23" t="s">
        <v>574</v>
      </c>
      <c r="B29" s="37" t="str">
        <f>INDEX(Product!$B:$B,MATCH($A29,Product!$A:$A,0))</f>
        <v>[3M™] Xịt bảo vệ chống hăm loét da - Cavilon (28ml)</v>
      </c>
      <c r="C29" s="37" t="str">
        <f>INDEX(Product!$D:$D,MATCH($A29,Product!$A:$A,0))</f>
        <v>Xịt bảo vệ da</v>
      </c>
      <c r="D29" s="23" t="s">
        <v>2471</v>
      </c>
      <c r="E29" s="37" t="str">
        <f>INDEX('Attribute Definition'!$B:$B,MATCH($D29,'Attribute Definition'!$A:$A,0))</f>
        <v>Dạng sản phẩm</v>
      </c>
      <c r="F29" s="38" t="s">
        <v>2657</v>
      </c>
      <c r="G29" s="39" t="str" cm="1">
        <f t="array" ref="G29">_xlfn.TEXTJOIN("; ",TRUE,_xlfn.UNIQUE(_xlfn._xlws.FILTER('Product Variant Attribute'!$F$2:$F$3000,('Product Variant Attribute'!$B$2:$B$3000=$A29)*('Product Variant Attribute'!$D$2:$D$3000=$D29),"")))</f>
        <v>Xịt</v>
      </c>
      <c r="H29" s="39"/>
      <c r="I29" s="39"/>
      <c r="J29" s="39" t="str" cm="1">
        <f t="array" ref="J29">IF($I29="","",_xlfn.TEXTJOIN("; ",TRUE,_xlfn.UNIQUE(_xlfn._xlws.FILTER($A$2:$A$3000,($C$2:$C$3000=$C29)*($E$2:$E$3000=$E29)*($G$2:$G$3000&lt;&gt;$G29)*($G$2:$G$3000&lt;&gt;""),""))))</f>
        <v/>
      </c>
    </row>
    <row r="30" spans="1:10" x14ac:dyDescent="0.25">
      <c r="A30" s="23" t="s">
        <v>575</v>
      </c>
      <c r="B30" s="37" t="str">
        <f>INDEX(Product!$B:$B,MATCH($A30,Product!$A:$A,0))</f>
        <v>[ConvaTec] Băng dán vết thương - DuoDerm Extra Thin (10cmx10cm)</v>
      </c>
      <c r="C30" s="37" t="str">
        <f>INDEX(Product!$D:$D,MATCH($A30,Product!$A:$A,0))</f>
        <v>Băng dán hydrocolloid</v>
      </c>
      <c r="D30" s="23" t="s">
        <v>2342</v>
      </c>
      <c r="E30" s="37" t="str">
        <f>INDEX('Attribute Definition'!$B:$B,MATCH($D30,'Attribute Definition'!$A:$A,0))</f>
        <v>Kích thước</v>
      </c>
      <c r="F30" s="38" t="s">
        <v>2657</v>
      </c>
      <c r="G30" s="39" t="str" cm="1">
        <f t="array" ref="G30">_xlfn.TEXTJOIN("; ",TRUE,_xlfn.UNIQUE(_xlfn._xlws.FILTER('Product Variant Attribute'!$F$2:$F$3000,('Product Variant Attribute'!$B$2:$B$3000=$A30)*('Product Variant Attribute'!$D$2:$D$3000=$D30),"")))</f>
        <v>10cmx10cm</v>
      </c>
      <c r="H30" s="39"/>
      <c r="I30" s="39"/>
      <c r="J30" s="39" t="str" cm="1">
        <f t="array" ref="J30">IF($I30="","",_xlfn.TEXTJOIN("; ",TRUE,_xlfn.UNIQUE(_xlfn._xlws.FILTER($A$2:$A$3000,($C$2:$C$3000=$C30)*($E$2:$E$3000=$E30)*($G$2:$G$3000&lt;&gt;$G30)*($G$2:$G$3000&lt;&gt;""),""))))</f>
        <v/>
      </c>
    </row>
    <row r="31" spans="1:10" x14ac:dyDescent="0.25">
      <c r="A31" s="23" t="s">
        <v>575</v>
      </c>
      <c r="B31" s="37" t="str">
        <f>INDEX(Product!$B:$B,MATCH($A31,Product!$A:$A,0))</f>
        <v>[ConvaTec] Băng dán vết thương - DuoDerm Extra Thin (10cmx10cm)</v>
      </c>
      <c r="C31" s="37" t="str">
        <f>INDEX(Product!$D:$D,MATCH($A31,Product!$A:$A,0))</f>
        <v>Băng dán hydrocolloid</v>
      </c>
      <c r="D31" s="23" t="s">
        <v>2367</v>
      </c>
      <c r="E31" s="37" t="str">
        <f>INDEX('Attribute Definition'!$B:$B,MATCH($D31,'Attribute Definition'!$A:$A,0))</f>
        <v>Chất liệu</v>
      </c>
      <c r="F31" s="38" t="s">
        <v>2657</v>
      </c>
      <c r="G31" s="39" t="str" cm="1">
        <f t="array" ref="G31">_xlfn.TEXTJOIN("; ",TRUE,_xlfn.UNIQUE(_xlfn._xlws.FILTER('Product Variant Attribute'!$F$2:$F$3000,('Product Variant Attribute'!$B$2:$B$3000=$A31)*('Product Variant Attribute'!$D$2:$D$3000=$D31),"")))</f>
        <v>Hydrocolloid</v>
      </c>
      <c r="H31" s="39"/>
      <c r="I31" s="39"/>
      <c r="J31" s="39" t="str" cm="1">
        <f t="array" ref="J31">IF($I31="","",_xlfn.TEXTJOIN("; ",TRUE,_xlfn.UNIQUE(_xlfn._xlws.FILTER($A$2:$A$3000,($C$2:$C$3000=$C31)*($E$2:$E$3000=$E31)*($G$2:$G$3000&lt;&gt;$G31)*($G$2:$G$3000&lt;&gt;""),""))))</f>
        <v/>
      </c>
    </row>
    <row r="32" spans="1:10" x14ac:dyDescent="0.25">
      <c r="A32" s="23" t="s">
        <v>575</v>
      </c>
      <c r="B32" s="37" t="str">
        <f>INDEX(Product!$B:$B,MATCH($A32,Product!$A:$A,0))</f>
        <v>[ConvaTec] Băng dán vết thương - DuoDerm Extra Thin (10cmx10cm)</v>
      </c>
      <c r="C32" s="37" t="str">
        <f>INDEX(Product!$D:$D,MATCH($A32,Product!$A:$A,0))</f>
        <v>Băng dán hydrocolloid</v>
      </c>
      <c r="D32" s="23" t="s">
        <v>2381</v>
      </c>
      <c r="E32" s="37" t="str">
        <f>INDEX('Attribute Definition'!$B:$B,MATCH($D32,'Attribute Definition'!$A:$A,0))</f>
        <v>Chống nước</v>
      </c>
      <c r="F32" s="38" t="s">
        <v>2657</v>
      </c>
      <c r="G32" s="39" t="str" cm="1">
        <f t="array" ref="G32">_xlfn.TEXTJOIN("; ",TRUE,_xlfn.UNIQUE(_xlfn._xlws.FILTER('Product Variant Attribute'!$F$2:$F$3000,('Product Variant Attribute'!$B$2:$B$3000=$A32)*('Product Variant Attribute'!$D$2:$D$3000=$D32),"")))</f>
        <v>Có</v>
      </c>
      <c r="H32" s="39"/>
      <c r="I32" s="39"/>
      <c r="J32" s="39" t="str" cm="1">
        <f t="array" ref="J32">IF($I32="","",_xlfn.TEXTJOIN("; ",TRUE,_xlfn.UNIQUE(_xlfn._xlws.FILTER($A$2:$A$3000,($C$2:$C$3000=$C32)*($E$2:$E$3000=$E32)*($G$2:$G$3000&lt;&gt;$G32)*($G$2:$G$3000&lt;&gt;""),""))))</f>
        <v/>
      </c>
    </row>
    <row r="33" spans="1:10" x14ac:dyDescent="0.25">
      <c r="A33" s="23" t="s">
        <v>575</v>
      </c>
      <c r="B33" s="37" t="str">
        <f>INDEX(Product!$B:$B,MATCH($A33,Product!$A:$A,0))</f>
        <v>[ConvaTec] Băng dán vết thương - DuoDerm Extra Thin (10cmx10cm)</v>
      </c>
      <c r="C33" s="37" t="str">
        <f>INDEX(Product!$D:$D,MATCH($A33,Product!$A:$A,0))</f>
        <v>Băng dán hydrocolloid</v>
      </c>
      <c r="D33" s="23" t="s">
        <v>2471</v>
      </c>
      <c r="E33" s="37" t="str">
        <f>INDEX('Attribute Definition'!$B:$B,MATCH($D33,'Attribute Definition'!$A:$A,0))</f>
        <v>Dạng sản phẩm</v>
      </c>
      <c r="F33" s="38" t="s">
        <v>2657</v>
      </c>
      <c r="G33" s="39" t="str" cm="1">
        <f t="array" ref="G33">_xlfn.TEXTJOIN("; ",TRUE,_xlfn.UNIQUE(_xlfn._xlws.FILTER('Product Variant Attribute'!$F$2:$F$3000,('Product Variant Attribute'!$B$2:$B$3000=$A33)*('Product Variant Attribute'!$D$2:$D$3000=$D33),"")))</f>
        <v>Miếng dán / gạc</v>
      </c>
      <c r="H33" s="39"/>
      <c r="I33" s="39"/>
      <c r="J33" s="39" t="str" cm="1">
        <f t="array" ref="J33">IF($I33="","",_xlfn.TEXTJOIN("; ",TRUE,_xlfn.UNIQUE(_xlfn._xlws.FILTER($A$2:$A$3000,($C$2:$C$3000=$C33)*($E$2:$E$3000=$E33)*($G$2:$G$3000&lt;&gt;$G33)*($G$2:$G$3000&lt;&gt;""),""))))</f>
        <v/>
      </c>
    </row>
    <row r="34" spans="1:10" x14ac:dyDescent="0.25">
      <c r="A34" s="23" t="s">
        <v>576</v>
      </c>
      <c r="B34" s="37" t="str">
        <f>INDEX(Product!$B:$B,MATCH($A34,Product!$A:$A,0))</f>
        <v>[Dr.Muller Pharma] Gel bôi vết thương hở - Okuskin (10g)</v>
      </c>
      <c r="C34" s="37" t="str">
        <f>INDEX(Product!$D:$D,MATCH($A34,Product!$A:$A,0))</f>
        <v>Gel bôi vết thương</v>
      </c>
      <c r="D34" s="23" t="s">
        <v>2356</v>
      </c>
      <c r="E34" s="37" t="str">
        <f>INDEX('Attribute Definition'!$B:$B,MATCH($D34,'Attribute Definition'!$A:$A,0))</f>
        <v>Khối lượng tịnh</v>
      </c>
      <c r="F34" s="38" t="s">
        <v>2657</v>
      </c>
      <c r="G34" s="39" t="str" cm="1">
        <f t="array" ref="G34">_xlfn.TEXTJOIN("; ",TRUE,_xlfn.UNIQUE(_xlfn._xlws.FILTER('Product Variant Attribute'!$F$2:$F$3000,('Product Variant Attribute'!$B$2:$B$3000=$A34)*('Product Variant Attribute'!$D$2:$D$3000=$D34),"")))</f>
        <v>10g</v>
      </c>
      <c r="H34" s="39"/>
      <c r="I34" s="39"/>
      <c r="J34" s="39" t="str" cm="1">
        <f t="array" ref="J34">IF($I34="","",_xlfn.TEXTJOIN("; ",TRUE,_xlfn.UNIQUE(_xlfn._xlws.FILTER($A$2:$A$3000,($C$2:$C$3000=$C34)*($E$2:$E$3000=$E34)*($G$2:$G$3000&lt;&gt;$G34)*($G$2:$G$3000&lt;&gt;""),""))))</f>
        <v/>
      </c>
    </row>
    <row r="35" spans="1:10" x14ac:dyDescent="0.25">
      <c r="A35" s="23" t="s">
        <v>576</v>
      </c>
      <c r="B35" s="37" t="str">
        <f>INDEX(Product!$B:$B,MATCH($A35,Product!$A:$A,0))</f>
        <v>[Dr.Muller Pharma] Gel bôi vết thương hở - Okuskin (10g)</v>
      </c>
      <c r="C35" s="37" t="str">
        <f>INDEX(Product!$D:$D,MATCH($A35,Product!$A:$A,0))</f>
        <v>Gel bôi vết thương</v>
      </c>
      <c r="D35" s="23" t="s">
        <v>2471</v>
      </c>
      <c r="E35" s="37" t="str">
        <f>INDEX('Attribute Definition'!$B:$B,MATCH($D35,'Attribute Definition'!$A:$A,0))</f>
        <v>Dạng sản phẩm</v>
      </c>
      <c r="F35" s="38" t="s">
        <v>2657</v>
      </c>
      <c r="G35" s="39" t="str" cm="1">
        <f t="array" ref="G35">_xlfn.TEXTJOIN("; ",TRUE,_xlfn.UNIQUE(_xlfn._xlws.FILTER('Product Variant Attribute'!$F$2:$F$3000,('Product Variant Attribute'!$B$2:$B$3000=$A35)*('Product Variant Attribute'!$D$2:$D$3000=$D35),"")))</f>
        <v>Gel / kem</v>
      </c>
      <c r="H35" s="39"/>
      <c r="I35" s="39"/>
      <c r="J35" s="39" t="str" cm="1">
        <f t="array" ref="J35">IF($I35="","",_xlfn.TEXTJOIN("; ",TRUE,_xlfn.UNIQUE(_xlfn._xlws.FILTER($A$2:$A$3000,($C$2:$C$3000=$C35)*($E$2:$E$3000=$E35)*($G$2:$G$3000&lt;&gt;$G35)*($G$2:$G$3000&lt;&gt;""),""))))</f>
        <v/>
      </c>
    </row>
    <row r="36" spans="1:10" x14ac:dyDescent="0.25">
      <c r="A36" s="23" t="s">
        <v>577</v>
      </c>
      <c r="B36" s="37" t="str">
        <f>INDEX(Product!$B:$B,MATCH($A36,Product!$A:$A,0))</f>
        <v>[ICM] Dung dịch sát khuẩn rửa vết thương - Berbemed (150ml)</v>
      </c>
      <c r="C36" s="37" t="str">
        <f>INDEX(Product!$D:$D,MATCH($A36,Product!$A:$A,0))</f>
        <v>Dung dịch sát khuẩn vết thương</v>
      </c>
      <c r="D36" s="23" t="s">
        <v>2349</v>
      </c>
      <c r="E36" s="37" t="str">
        <f>INDEX('Attribute Definition'!$B:$B,MATCH($D36,'Attribute Definition'!$A:$A,0))</f>
        <v>Dung tích</v>
      </c>
      <c r="F36" s="38" t="s">
        <v>2657</v>
      </c>
      <c r="G36" s="39" t="str" cm="1">
        <f t="array" ref="G36">_xlfn.TEXTJOIN("; ",TRUE,_xlfn.UNIQUE(_xlfn._xlws.FILTER('Product Variant Attribute'!$F$2:$F$3000,('Product Variant Attribute'!$B$2:$B$3000=$A36)*('Product Variant Attribute'!$D$2:$D$3000=$D36),"")))</f>
        <v>150ml</v>
      </c>
      <c r="H36" s="39"/>
      <c r="I36" s="39"/>
      <c r="J36" s="39" t="str" cm="1">
        <f t="array" ref="J36">IF($I36="","",_xlfn.TEXTJOIN("; ",TRUE,_xlfn.UNIQUE(_xlfn._xlws.FILTER($A$2:$A$3000,($C$2:$C$3000=$C36)*($E$2:$E$3000=$E36)*($G$2:$G$3000&lt;&gt;$G36)*($G$2:$G$3000&lt;&gt;""),""))))</f>
        <v/>
      </c>
    </row>
    <row r="37" spans="1:10" ht="30" x14ac:dyDescent="0.25">
      <c r="A37" s="23" t="s">
        <v>577</v>
      </c>
      <c r="B37" s="37" t="str">
        <f>INDEX(Product!$B:$B,MATCH($A37,Product!$A:$A,0))</f>
        <v>[ICM] Dung dịch sát khuẩn rửa vết thương - Berbemed (150ml)</v>
      </c>
      <c r="C37" s="37" t="str">
        <f>INDEX(Product!$D:$D,MATCH($A37,Product!$A:$A,0))</f>
        <v>Dung dịch sát khuẩn vết thương</v>
      </c>
      <c r="D37" s="23" t="s">
        <v>2386</v>
      </c>
      <c r="E37" s="37" t="str">
        <f>INDEX('Attribute Definition'!$B:$B,MATCH($D37,'Attribute Definition'!$A:$A,0))</f>
        <v>Thành phần kháng khuẩn</v>
      </c>
      <c r="F37" s="38" t="s">
        <v>2657</v>
      </c>
      <c r="G37" s="39" t="str" cm="1">
        <f t="array" ref="G37">_xlfn.TEXTJOIN("; ",TRUE,_xlfn.UNIQUE(_xlfn._xlws.FILTER('Product Variant Attribute'!$F$2:$F$3000,('Product Variant Attribute'!$B$2:$B$3000=$A37)*('Product Variant Attribute'!$D$2:$D$3000=$D37),"")))</f>
        <v>Nano bạc, Berberin</v>
      </c>
      <c r="H37" s="39"/>
      <c r="I37" s="39" t="s">
        <v>2706</v>
      </c>
      <c r="J37" s="39" t="str" cm="1">
        <f t="array" ref="J37">IF($I37="","",_xlfn.TEXTJOIN("; ",TRUE,_xlfn.UNIQUE(_xlfn._xlws.FILTER($A$2:$A$3000,($C$2:$C$3000=$C37)*($E$2:$E$3000=$E37)*($G$2:$G$3000&lt;&gt;$G37)*($G$2:$G$3000&lt;&gt;""),""))))</f>
        <v>PRODUCT-00021; PRODUCT-00022</v>
      </c>
    </row>
    <row r="38" spans="1:10" ht="30" x14ac:dyDescent="0.25">
      <c r="A38" s="23" t="s">
        <v>577</v>
      </c>
      <c r="B38" s="37" t="str">
        <f>INDEX(Product!$B:$B,MATCH($A38,Product!$A:$A,0))</f>
        <v>[ICM] Dung dịch sát khuẩn rửa vết thương - Berbemed (150ml)</v>
      </c>
      <c r="C38" s="37" t="str">
        <f>INDEX(Product!$D:$D,MATCH($A38,Product!$A:$A,0))</f>
        <v>Dung dịch sát khuẩn vết thương</v>
      </c>
      <c r="D38" s="23" t="s">
        <v>2471</v>
      </c>
      <c r="E38" s="37" t="str">
        <f>INDEX('Attribute Definition'!$B:$B,MATCH($D38,'Attribute Definition'!$A:$A,0))</f>
        <v>Dạng sản phẩm</v>
      </c>
      <c r="F38" s="38" t="s">
        <v>2657</v>
      </c>
      <c r="G38" s="39" t="str" cm="1">
        <f t="array" ref="G38">_xlfn.TEXTJOIN("; ",TRUE,_xlfn.UNIQUE(_xlfn._xlws.FILTER('Product Variant Attribute'!$F$2:$F$3000,('Product Variant Attribute'!$B$2:$B$3000=$A38)*('Product Variant Attribute'!$D$2:$D$3000=$D38),"")))</f>
        <v>Dung dịch</v>
      </c>
      <c r="H38" s="39"/>
      <c r="I38" s="39" t="s">
        <v>2707</v>
      </c>
      <c r="J38" s="39" t="str" cm="1">
        <f t="array" ref="J38">IF($I38="","",_xlfn.TEXTJOIN("; ",TRUE,_xlfn.UNIQUE(_xlfn._xlws.FILTER($A$2:$A$3000,($C$2:$C$3000=$C38)*($E$2:$E$3000=$E38)*($G$2:$G$3000&lt;&gt;$G38)*($G$2:$G$3000&lt;&gt;""),""))))</f>
        <v>PRODUCT-00022</v>
      </c>
    </row>
    <row r="39" spans="1:10" x14ac:dyDescent="0.25">
      <c r="A39" s="23" t="s">
        <v>578</v>
      </c>
      <c r="B39" s="37" t="str">
        <f>INDEX(Product!$B:$B,MATCH($A39,Product!$A:$A,0))</f>
        <v>[Mepro] Bông tẩm cồn sát trùng - Alcohol Swab</v>
      </c>
      <c r="C39" s="37" t="str">
        <f>INDEX(Product!$D:$D,MATCH($A39,Product!$A:$A,0))</f>
        <v>Bông tẩm cồn</v>
      </c>
      <c r="D39" s="23" t="s">
        <v>2386</v>
      </c>
      <c r="E39" s="37" t="str">
        <f>INDEX('Attribute Definition'!$B:$B,MATCH($D39,'Attribute Definition'!$A:$A,0))</f>
        <v>Thành phần kháng khuẩn</v>
      </c>
      <c r="F39" s="38" t="s">
        <v>2657</v>
      </c>
      <c r="G39" s="39" t="str" cm="1">
        <f t="array" ref="G39">_xlfn.TEXTJOIN("; ",TRUE,_xlfn.UNIQUE(_xlfn._xlws.FILTER('Product Variant Attribute'!$F$2:$F$3000,('Product Variant Attribute'!$B$2:$B$3000=$A39)*('Product Variant Attribute'!$D$2:$D$3000=$D39),"")))</f>
        <v>Cồn (Alcohol)</v>
      </c>
      <c r="H39" s="39"/>
      <c r="I39" s="39"/>
      <c r="J39" s="39" t="str" cm="1">
        <f t="array" ref="J39">IF($I39="","",_xlfn.TEXTJOIN("; ",TRUE,_xlfn.UNIQUE(_xlfn._xlws.FILTER($A$2:$A$3000,($C$2:$C$3000=$C39)*($E$2:$E$3000=$E39)*($G$2:$G$3000&lt;&gt;$G39)*($G$2:$G$3000&lt;&gt;""),""))))</f>
        <v/>
      </c>
    </row>
    <row r="40" spans="1:10" x14ac:dyDescent="0.25">
      <c r="A40" s="23" t="s">
        <v>578</v>
      </c>
      <c r="B40" s="37" t="str">
        <f>INDEX(Product!$B:$B,MATCH($A40,Product!$A:$A,0))</f>
        <v>[Mepro] Bông tẩm cồn sát trùng - Alcohol Swab</v>
      </c>
      <c r="C40" s="37" t="str">
        <f>INDEX(Product!$D:$D,MATCH($A40,Product!$A:$A,0))</f>
        <v>Bông tẩm cồn</v>
      </c>
      <c r="D40" s="23" t="s">
        <v>2471</v>
      </c>
      <c r="E40" s="37" t="str">
        <f>INDEX('Attribute Definition'!$B:$B,MATCH($D40,'Attribute Definition'!$A:$A,0))</f>
        <v>Dạng sản phẩm</v>
      </c>
      <c r="F40" s="38" t="s">
        <v>2657</v>
      </c>
      <c r="G40" s="39" t="str" cm="1">
        <f t="array" ref="G40">_xlfn.TEXTJOIN("; ",TRUE,_xlfn.UNIQUE(_xlfn._xlws.FILTER('Product Variant Attribute'!$F$2:$F$3000,('Product Variant Attribute'!$B$2:$B$3000=$A40)*('Product Variant Attribute'!$D$2:$D$3000=$D40),"")))</f>
        <v>Miếng dán / gạc</v>
      </c>
      <c r="H40" s="39"/>
      <c r="I40" s="39"/>
      <c r="J40" s="39" t="str" cm="1">
        <f t="array" ref="J40">IF($I40="","",_xlfn.TEXTJOIN("; ",TRUE,_xlfn.UNIQUE(_xlfn._xlws.FILTER($A$2:$A$3000,($C$2:$C$3000=$C40)*($E$2:$E$3000=$E40)*($G$2:$G$3000&lt;&gt;$G40)*($G$2:$G$3000&lt;&gt;""),""))))</f>
        <v/>
      </c>
    </row>
    <row r="41" spans="1:10" x14ac:dyDescent="0.25">
      <c r="A41" s="23" t="s">
        <v>579</v>
      </c>
      <c r="B41" s="37" t="str">
        <f>INDEX(Product!$B:$B,MATCH($A41,Product!$A:$A,0))</f>
        <v>[SeaSight] Gạc xốp hút dịch chống loét có viền dính silicone (18.5cmx24cm)</v>
      </c>
      <c r="C41" s="37" t="str">
        <f>INDEX(Product!$D:$D,MATCH($A41,Product!$A:$A,0))</f>
        <v>Gạc xốp hút dịch</v>
      </c>
      <c r="D41" s="23" t="s">
        <v>2342</v>
      </c>
      <c r="E41" s="37" t="str">
        <f>INDEX('Attribute Definition'!$B:$B,MATCH($D41,'Attribute Definition'!$A:$A,0))</f>
        <v>Kích thước</v>
      </c>
      <c r="F41" s="38" t="s">
        <v>2657</v>
      </c>
      <c r="G41" s="39" t="str" cm="1">
        <f t="array" ref="G41">_xlfn.TEXTJOIN("; ",TRUE,_xlfn.UNIQUE(_xlfn._xlws.FILTER('Product Variant Attribute'!$F$2:$F$3000,('Product Variant Attribute'!$B$2:$B$3000=$A41)*('Product Variant Attribute'!$D$2:$D$3000=$D41),"")))</f>
        <v>18.5cmx24cm</v>
      </c>
      <c r="H41" s="39"/>
      <c r="I41" s="39"/>
      <c r="J41" s="39" t="str" cm="1">
        <f t="array" ref="J41">IF($I41="","",_xlfn.TEXTJOIN("; ",TRUE,_xlfn.UNIQUE(_xlfn._xlws.FILTER($A$2:$A$3000,($C$2:$C$3000=$C41)*($E$2:$E$3000=$E41)*($G$2:$G$3000&lt;&gt;$G41)*($G$2:$G$3000&lt;&gt;""),""))))</f>
        <v/>
      </c>
    </row>
    <row r="42" spans="1:10" ht="90" x14ac:dyDescent="0.25">
      <c r="A42" s="23" t="s">
        <v>579</v>
      </c>
      <c r="B42" s="37" t="str">
        <f>INDEX(Product!$B:$B,MATCH($A42,Product!$A:$A,0))</f>
        <v>[SeaSight] Gạc xốp hút dịch chống loét có viền dính silicone (18.5cmx24cm)</v>
      </c>
      <c r="C42" s="37" t="str">
        <f>INDEX(Product!$D:$D,MATCH($A42,Product!$A:$A,0))</f>
        <v>Gạc xốp hút dịch</v>
      </c>
      <c r="D42" s="23" t="s">
        <v>2367</v>
      </c>
      <c r="E42" s="37" t="str">
        <f>INDEX('Attribute Definition'!$B:$B,MATCH($D42,'Attribute Definition'!$A:$A,0))</f>
        <v>Chất liệu</v>
      </c>
      <c r="F42" s="38" t="s">
        <v>2657</v>
      </c>
      <c r="G42" s="39" t="str" cm="1">
        <f t="array" ref="G42">_xlfn.TEXTJOIN("; ",TRUE,_xlfn.UNIQUE(_xlfn._xlws.FILTER('Product Variant Attribute'!$F$2:$F$3000,('Product Variant Attribute'!$B$2:$B$3000=$A42)*('Product Variant Attribute'!$D$2:$D$3000=$D42),"")))</f>
        <v>Silicone, Polyurethane (PU)</v>
      </c>
      <c r="H42" s="39"/>
      <c r="I42" s="39" t="s">
        <v>2708</v>
      </c>
      <c r="J42" s="39" t="str" cm="1">
        <f t="array" ref="J42">IF($I42="","",_xlfn.TEXTJOIN("; ",TRUE,_xlfn.UNIQUE(_xlfn._xlws.FILTER($A$2:$A$3000,($C$2:$C$3000=$C42)*($E$2:$E$3000=$E42)*($G$2:$G$3000&lt;&gt;$G42)*($G$2:$G$3000&lt;&gt;""),""))))</f>
        <v>PRODUCT-00027; PRODUCT-00028; PRODUCT-00029; PRODUCT-00264; PRODUCT-00265; PRODUCT-00266; PRODUCT-00267; PRODUCT-00268; PRODUCT-00269; PRODUCT-00270; PRODUCT-00271; PRODUCT-00272</v>
      </c>
    </row>
    <row r="43" spans="1:10" ht="75" x14ac:dyDescent="0.25">
      <c r="A43" s="23" t="s">
        <v>579</v>
      </c>
      <c r="B43" s="37" t="str">
        <f>INDEX(Product!$B:$B,MATCH($A43,Product!$A:$A,0))</f>
        <v>[SeaSight] Gạc xốp hút dịch chống loét có viền dính silicone (18.5cmx24cm)</v>
      </c>
      <c r="C43" s="37" t="str">
        <f>INDEX(Product!$D:$D,MATCH($A43,Product!$A:$A,0))</f>
        <v>Gạc xốp hút dịch</v>
      </c>
      <c r="D43" s="23" t="s">
        <v>2391</v>
      </c>
      <c r="E43" s="37" t="str">
        <f>INDEX('Attribute Definition'!$B:$B,MATCH($D43,'Attribute Definition'!$A:$A,0))</f>
        <v>Kiểu viền</v>
      </c>
      <c r="F43" s="38" t="s">
        <v>2657</v>
      </c>
      <c r="G43" s="39" t="str" cm="1">
        <f t="array" ref="G43">_xlfn.TEXTJOIN("; ",TRUE,_xlfn.UNIQUE(_xlfn._xlws.FILTER('Product Variant Attribute'!$F$2:$F$3000,('Product Variant Attribute'!$B$2:$B$3000=$A43)*('Product Variant Attribute'!$D$2:$D$3000=$D43),"")))</f>
        <v>Viền dính silicone</v>
      </c>
      <c r="H43" s="39"/>
      <c r="I43" s="39" t="s">
        <v>2709</v>
      </c>
      <c r="J43" s="39" t="str" cm="1">
        <f t="array" ref="J43">IF($I43="","",_xlfn.TEXTJOIN("; ",TRUE,_xlfn.UNIQUE(_xlfn._xlws.FILTER($A$2:$A$3000,($C$2:$C$3000=$C43)*($E$2:$E$3000=$E43)*($G$2:$G$3000&lt;&gt;$G43)*($G$2:$G$3000&lt;&gt;""),""))))</f>
        <v>PRODUCT-00027; PRODUCT-00028; PRODUCT-00264; PRODUCT-00265; PRODUCT-00266; PRODUCT-00267; PRODUCT-00268; PRODUCT-00269; PRODUCT-00270; PRODUCT-00271</v>
      </c>
    </row>
    <row r="44" spans="1:10" x14ac:dyDescent="0.25">
      <c r="A44" s="23" t="s">
        <v>579</v>
      </c>
      <c r="B44" s="37" t="str">
        <f>INDEX(Product!$B:$B,MATCH($A44,Product!$A:$A,0))</f>
        <v>[SeaSight] Gạc xốp hút dịch chống loét có viền dính silicone (18.5cmx24cm)</v>
      </c>
      <c r="C44" s="37" t="str">
        <f>INDEX(Product!$D:$D,MATCH($A44,Product!$A:$A,0))</f>
        <v>Gạc xốp hút dịch</v>
      </c>
      <c r="D44" s="23" t="s">
        <v>2471</v>
      </c>
      <c r="E44" s="37" t="str">
        <f>INDEX('Attribute Definition'!$B:$B,MATCH($D44,'Attribute Definition'!$A:$A,0))</f>
        <v>Dạng sản phẩm</v>
      </c>
      <c r="F44" s="38" t="s">
        <v>2657</v>
      </c>
      <c r="G44" s="39" t="str" cm="1">
        <f t="array" ref="G44">_xlfn.TEXTJOIN("; ",TRUE,_xlfn.UNIQUE(_xlfn._xlws.FILTER('Product Variant Attribute'!$F$2:$F$3000,('Product Variant Attribute'!$B$2:$B$3000=$A44)*('Product Variant Attribute'!$D$2:$D$3000=$D44),"")))</f>
        <v>Miếng dán / gạc</v>
      </c>
      <c r="H44" s="39"/>
      <c r="I44" s="39"/>
      <c r="J44" s="39" t="str" cm="1">
        <f t="array" ref="J44">IF($I44="","",_xlfn.TEXTJOIN("; ",TRUE,_xlfn.UNIQUE(_xlfn._xlws.FILTER($A$2:$A$3000,($C$2:$C$3000=$C44)*($E$2:$E$3000=$E44)*($G$2:$G$3000&lt;&gt;$G44)*($G$2:$G$3000&lt;&gt;""),""))))</f>
        <v/>
      </c>
    </row>
    <row r="45" spans="1:10" x14ac:dyDescent="0.25">
      <c r="A45" s="23" t="s">
        <v>580</v>
      </c>
      <c r="B45" s="37" t="str">
        <f>INDEX(Product!$B:$B,MATCH($A45,Product!$A:$A,0))</f>
        <v>[SeaSight] Miếng dán vết thương thay chỉ khâu (3mmx75mm)</v>
      </c>
      <c r="C45" s="37" t="str">
        <f>INDEX(Product!$D:$D,MATCH($A45,Product!$A:$A,0))</f>
        <v>Miếng dán khép miệng vết thương</v>
      </c>
      <c r="D45" s="23" t="s">
        <v>2342</v>
      </c>
      <c r="E45" s="37" t="str">
        <f>INDEX('Attribute Definition'!$B:$B,MATCH($D45,'Attribute Definition'!$A:$A,0))</f>
        <v>Kích thước</v>
      </c>
      <c r="F45" s="38" t="s">
        <v>2657</v>
      </c>
      <c r="G45" s="39" t="str" cm="1">
        <f t="array" ref="G45">_xlfn.TEXTJOIN("; ",TRUE,_xlfn.UNIQUE(_xlfn._xlws.FILTER('Product Variant Attribute'!$F$2:$F$3000,('Product Variant Attribute'!$B$2:$B$3000=$A45)*('Product Variant Attribute'!$D$2:$D$3000=$D45),"")))</f>
        <v>3mmx75mm</v>
      </c>
      <c r="H45" s="39"/>
      <c r="I45" s="39"/>
      <c r="J45" s="39" t="str" cm="1">
        <f t="array" ref="J45">IF($I45="","",_xlfn.TEXTJOIN("; ",TRUE,_xlfn.UNIQUE(_xlfn._xlws.FILTER($A$2:$A$3000,($C$2:$C$3000=$C45)*($E$2:$E$3000=$E45)*($G$2:$G$3000&lt;&gt;$G45)*($G$2:$G$3000&lt;&gt;""),""))))</f>
        <v/>
      </c>
    </row>
    <row r="46" spans="1:10" x14ac:dyDescent="0.25">
      <c r="A46" s="23" t="s">
        <v>580</v>
      </c>
      <c r="B46" s="37" t="str">
        <f>INDEX(Product!$B:$B,MATCH($A46,Product!$A:$A,0))</f>
        <v>[SeaSight] Miếng dán vết thương thay chỉ khâu (3mmx75mm)</v>
      </c>
      <c r="C46" s="37" t="str">
        <f>INDEX(Product!$D:$D,MATCH($A46,Product!$A:$A,0))</f>
        <v>Miếng dán khép miệng vết thương</v>
      </c>
      <c r="D46" s="23" t="s">
        <v>2471</v>
      </c>
      <c r="E46" s="37" t="str">
        <f>INDEX('Attribute Definition'!$B:$B,MATCH($D46,'Attribute Definition'!$A:$A,0))</f>
        <v>Dạng sản phẩm</v>
      </c>
      <c r="F46" s="38" t="s">
        <v>2657</v>
      </c>
      <c r="G46" s="39" t="str" cm="1">
        <f t="array" ref="G46">_xlfn.TEXTJOIN("; ",TRUE,_xlfn.UNIQUE(_xlfn._xlws.FILTER('Product Variant Attribute'!$F$2:$F$3000,('Product Variant Attribute'!$B$2:$B$3000=$A46)*('Product Variant Attribute'!$D$2:$D$3000=$D46),"")))</f>
        <v>Miếng dán / gạc</v>
      </c>
      <c r="H46" s="39"/>
      <c r="I46" s="39"/>
      <c r="J46" s="39" t="str" cm="1">
        <f t="array" ref="J46">IF($I46="","",_xlfn.TEXTJOIN("; ",TRUE,_xlfn.UNIQUE(_xlfn._xlws.FILTER($A$2:$A$3000,($C$2:$C$3000=$C46)*($E$2:$E$3000=$E46)*($G$2:$G$3000&lt;&gt;$G46)*($G$2:$G$3000&lt;&gt;""),""))))</f>
        <v/>
      </c>
    </row>
    <row r="47" spans="1:10" x14ac:dyDescent="0.25">
      <c r="A47" s="23" t="s">
        <v>581</v>
      </c>
      <c r="B47" s="37" t="str">
        <f>INDEX(Product!$B:$B,MATCH($A47,Product!$A:$A,0))</f>
        <v>[Tanaphar] Bông tẩm cồn tiệt trùng - Alcohol Swab</v>
      </c>
      <c r="C47" s="37" t="str">
        <f>INDEX(Product!$D:$D,MATCH($A47,Product!$A:$A,0))</f>
        <v>Bông tẩm cồn</v>
      </c>
      <c r="D47" s="23" t="s">
        <v>2374</v>
      </c>
      <c r="E47" s="37" t="str">
        <f>INDEX('Attribute Definition'!$B:$B,MATCH($D47,'Attribute Definition'!$A:$A,0))</f>
        <v>Vô trùng</v>
      </c>
      <c r="F47" s="38" t="s">
        <v>2657</v>
      </c>
      <c r="G47" s="39" t="str" cm="1">
        <f t="array" ref="G47">_xlfn.TEXTJOIN("; ",TRUE,_xlfn.UNIQUE(_xlfn._xlws.FILTER('Product Variant Attribute'!$F$2:$F$3000,('Product Variant Attribute'!$B$2:$B$3000=$A47)*('Product Variant Attribute'!$D$2:$D$3000=$D47),"")))</f>
        <v>Có</v>
      </c>
      <c r="H47" s="39"/>
      <c r="I47" s="39"/>
      <c r="J47" s="39" t="str" cm="1">
        <f t="array" ref="J47">IF($I47="","",_xlfn.TEXTJOIN("; ",TRUE,_xlfn.UNIQUE(_xlfn._xlws.FILTER($A$2:$A$3000,($C$2:$C$3000=$C47)*($E$2:$E$3000=$E47)*($G$2:$G$3000&lt;&gt;$G47)*($G$2:$G$3000&lt;&gt;""),""))))</f>
        <v/>
      </c>
    </row>
    <row r="48" spans="1:10" x14ac:dyDescent="0.25">
      <c r="A48" s="23" t="s">
        <v>581</v>
      </c>
      <c r="B48" s="37" t="str">
        <f>INDEX(Product!$B:$B,MATCH($A48,Product!$A:$A,0))</f>
        <v>[Tanaphar] Bông tẩm cồn tiệt trùng - Alcohol Swab</v>
      </c>
      <c r="C48" s="37" t="str">
        <f>INDEX(Product!$D:$D,MATCH($A48,Product!$A:$A,0))</f>
        <v>Bông tẩm cồn</v>
      </c>
      <c r="D48" s="23" t="s">
        <v>2386</v>
      </c>
      <c r="E48" s="37" t="str">
        <f>INDEX('Attribute Definition'!$B:$B,MATCH($D48,'Attribute Definition'!$A:$A,0))</f>
        <v>Thành phần kháng khuẩn</v>
      </c>
      <c r="F48" s="38" t="s">
        <v>2657</v>
      </c>
      <c r="G48" s="39" t="str" cm="1">
        <f t="array" ref="G48">_xlfn.TEXTJOIN("; ",TRUE,_xlfn.UNIQUE(_xlfn._xlws.FILTER('Product Variant Attribute'!$F$2:$F$3000,('Product Variant Attribute'!$B$2:$B$3000=$A48)*('Product Variant Attribute'!$D$2:$D$3000=$D48),"")))</f>
        <v>Cồn (Alcohol)</v>
      </c>
      <c r="H48" s="39"/>
      <c r="I48" s="39"/>
      <c r="J48" s="39" t="str" cm="1">
        <f t="array" ref="J48">IF($I48="","",_xlfn.TEXTJOIN("; ",TRUE,_xlfn.UNIQUE(_xlfn._xlws.FILTER($A$2:$A$3000,($C$2:$C$3000=$C48)*($E$2:$E$3000=$E48)*($G$2:$G$3000&lt;&gt;$G48)*($G$2:$G$3000&lt;&gt;""),""))))</f>
        <v/>
      </c>
    </row>
    <row r="49" spans="1:10" x14ac:dyDescent="0.25">
      <c r="A49" s="23" t="s">
        <v>581</v>
      </c>
      <c r="B49" s="37" t="str">
        <f>INDEX(Product!$B:$B,MATCH($A49,Product!$A:$A,0))</f>
        <v>[Tanaphar] Bông tẩm cồn tiệt trùng - Alcohol Swab</v>
      </c>
      <c r="C49" s="37" t="str">
        <f>INDEX(Product!$D:$D,MATCH($A49,Product!$A:$A,0))</f>
        <v>Bông tẩm cồn</v>
      </c>
      <c r="D49" s="23" t="s">
        <v>2471</v>
      </c>
      <c r="E49" s="37" t="str">
        <f>INDEX('Attribute Definition'!$B:$B,MATCH($D49,'Attribute Definition'!$A:$A,0))</f>
        <v>Dạng sản phẩm</v>
      </c>
      <c r="F49" s="38" t="s">
        <v>2657</v>
      </c>
      <c r="G49" s="39" t="str" cm="1">
        <f t="array" ref="G49">_xlfn.TEXTJOIN("; ",TRUE,_xlfn.UNIQUE(_xlfn._xlws.FILTER('Product Variant Attribute'!$F$2:$F$3000,('Product Variant Attribute'!$B$2:$B$3000=$A49)*('Product Variant Attribute'!$D$2:$D$3000=$D49),"")))</f>
        <v>Miếng dán / gạc</v>
      </c>
      <c r="H49" s="39"/>
      <c r="I49" s="39"/>
      <c r="J49" s="39" t="str" cm="1">
        <f t="array" ref="J49">IF($I49="","",_xlfn.TEXTJOIN("; ",TRUE,_xlfn.UNIQUE(_xlfn._xlws.FILTER($A$2:$A$3000,($C$2:$C$3000=$C49)*($E$2:$E$3000=$E49)*($G$2:$G$3000&lt;&gt;$G49)*($G$2:$G$3000&lt;&gt;""),""))))</f>
        <v/>
      </c>
    </row>
    <row r="50" spans="1:10" x14ac:dyDescent="0.25">
      <c r="A50" s="23" t="s">
        <v>582</v>
      </c>
      <c r="B50" s="37" t="str">
        <f>INDEX(Product!$B:$B,MATCH($A50,Product!$A:$A,0))</f>
        <v>[Terrapharm] Dung dịch kháng khuẩn rửa vết thương - Dizigone (300ml)</v>
      </c>
      <c r="C50" s="37" t="str">
        <f>INDEX(Product!$D:$D,MATCH($A50,Product!$A:$A,0))</f>
        <v>Dung dịch sát khuẩn vết thương</v>
      </c>
      <c r="D50" s="23" t="s">
        <v>2349</v>
      </c>
      <c r="E50" s="37" t="str">
        <f>INDEX('Attribute Definition'!$B:$B,MATCH($D50,'Attribute Definition'!$A:$A,0))</f>
        <v>Dung tích</v>
      </c>
      <c r="F50" s="38" t="s">
        <v>2657</v>
      </c>
      <c r="G50" s="39" t="str" cm="1">
        <f t="array" ref="G50">_xlfn.TEXTJOIN("; ",TRUE,_xlfn.UNIQUE(_xlfn._xlws.FILTER('Product Variant Attribute'!$F$2:$F$3000,('Product Variant Attribute'!$B$2:$B$3000=$A50)*('Product Variant Attribute'!$D$2:$D$3000=$D50),"")))</f>
        <v>300ml</v>
      </c>
      <c r="H50" s="39"/>
      <c r="I50" s="39"/>
      <c r="J50" s="39" t="str" cm="1">
        <f t="array" ref="J50">IF($I50="","",_xlfn.TEXTJOIN("; ",TRUE,_xlfn.UNIQUE(_xlfn._xlws.FILTER($A$2:$A$3000,($C$2:$C$3000=$C50)*($E$2:$E$3000=$E50)*($G$2:$G$3000&lt;&gt;$G50)*($G$2:$G$3000&lt;&gt;""),""))))</f>
        <v/>
      </c>
    </row>
    <row r="51" spans="1:10" ht="30" x14ac:dyDescent="0.25">
      <c r="A51" s="23" t="s">
        <v>582</v>
      </c>
      <c r="B51" s="37" t="str">
        <f>INDEX(Product!$B:$B,MATCH($A51,Product!$A:$A,0))</f>
        <v>[Terrapharm] Dung dịch kháng khuẩn rửa vết thương - Dizigone (300ml)</v>
      </c>
      <c r="C51" s="37" t="str">
        <f>INDEX(Product!$D:$D,MATCH($A51,Product!$A:$A,0))</f>
        <v>Dung dịch sát khuẩn vết thương</v>
      </c>
      <c r="D51" s="23" t="s">
        <v>2386</v>
      </c>
      <c r="E51" s="37" t="str">
        <f>INDEX('Attribute Definition'!$B:$B,MATCH($D51,'Attribute Definition'!$A:$A,0))</f>
        <v>Thành phần kháng khuẩn</v>
      </c>
      <c r="F51" s="38" t="s">
        <v>2657</v>
      </c>
      <c r="G51" s="39" t="str" cm="1">
        <f t="array" ref="G51">_xlfn.TEXTJOIN("; ",TRUE,_xlfn.UNIQUE(_xlfn._xlws.FILTER('Product Variant Attribute'!$F$2:$F$3000,('Product Variant Attribute'!$B$2:$B$3000=$A51)*('Product Variant Attribute'!$D$2:$D$3000=$D51),"")))</f>
        <v>Công nghệ EMWE®</v>
      </c>
      <c r="H51" s="39"/>
      <c r="I51" s="39" t="s">
        <v>2710</v>
      </c>
      <c r="J51" s="39" t="str" cm="1">
        <f t="array" ref="J51">IF($I51="","",_xlfn.TEXTJOIN("; ",TRUE,_xlfn.UNIQUE(_xlfn._xlws.FILTER($A$2:$A$3000,($C$2:$C$3000=$C51)*($E$2:$E$3000=$E51)*($G$2:$G$3000&lt;&gt;$G51)*($G$2:$G$3000&lt;&gt;""),""))))</f>
        <v>PRODUCT-00016</v>
      </c>
    </row>
    <row r="52" spans="1:10" ht="30" x14ac:dyDescent="0.25">
      <c r="A52" s="23" t="s">
        <v>582</v>
      </c>
      <c r="B52" s="37" t="str">
        <f>INDEX(Product!$B:$B,MATCH($A52,Product!$A:$A,0))</f>
        <v>[Terrapharm] Dung dịch kháng khuẩn rửa vết thương - Dizigone (300ml)</v>
      </c>
      <c r="C52" s="37" t="str">
        <f>INDEX(Product!$D:$D,MATCH($A52,Product!$A:$A,0))</f>
        <v>Dung dịch sát khuẩn vết thương</v>
      </c>
      <c r="D52" s="23" t="s">
        <v>2471</v>
      </c>
      <c r="E52" s="37" t="str">
        <f>INDEX('Attribute Definition'!$B:$B,MATCH($D52,'Attribute Definition'!$A:$A,0))</f>
        <v>Dạng sản phẩm</v>
      </c>
      <c r="F52" s="38" t="s">
        <v>2657</v>
      </c>
      <c r="G52" s="39" t="str" cm="1">
        <f t="array" ref="G52">_xlfn.TEXTJOIN("; ",TRUE,_xlfn.UNIQUE(_xlfn._xlws.FILTER('Product Variant Attribute'!$F$2:$F$3000,('Product Variant Attribute'!$B$2:$B$3000=$A52)*('Product Variant Attribute'!$D$2:$D$3000=$D52),"")))</f>
        <v>Dung dịch</v>
      </c>
      <c r="H52" s="39"/>
      <c r="I52" s="39" t="s">
        <v>2707</v>
      </c>
      <c r="J52" s="39" t="str" cm="1">
        <f t="array" ref="J52">IF($I52="","",_xlfn.TEXTJOIN("; ",TRUE,_xlfn.UNIQUE(_xlfn._xlws.FILTER($A$2:$A$3000,($C$2:$C$3000=$C52)*($E$2:$E$3000=$E52)*($G$2:$G$3000&lt;&gt;$G52)*($G$2:$G$3000&lt;&gt;""),""))))</f>
        <v>PRODUCT-00022</v>
      </c>
    </row>
    <row r="53" spans="1:10" x14ac:dyDescent="0.25">
      <c r="A53" s="23" t="s">
        <v>583</v>
      </c>
      <c r="B53" s="37" t="str">
        <f>INDEX(Product!$B:$B,MATCH($A53,Product!$A:$A,0))</f>
        <v>[Terrapharm] Xịt kháng khuẩn - Dizigone Spray (100ml)</v>
      </c>
      <c r="C53" s="37" t="str">
        <f>INDEX(Product!$D:$D,MATCH($A53,Product!$A:$A,0))</f>
        <v>Dung dịch sát khuẩn vết thương</v>
      </c>
      <c r="D53" s="23" t="s">
        <v>2349</v>
      </c>
      <c r="E53" s="37" t="str">
        <f>INDEX('Attribute Definition'!$B:$B,MATCH($D53,'Attribute Definition'!$A:$A,0))</f>
        <v>Dung tích</v>
      </c>
      <c r="F53" s="38" t="s">
        <v>2657</v>
      </c>
      <c r="G53" s="39" t="str" cm="1">
        <f t="array" ref="G53">_xlfn.TEXTJOIN("; ",TRUE,_xlfn.UNIQUE(_xlfn._xlws.FILTER('Product Variant Attribute'!$F$2:$F$3000,('Product Variant Attribute'!$B$2:$B$3000=$A53)*('Product Variant Attribute'!$D$2:$D$3000=$D53),"")))</f>
        <v>100ml</v>
      </c>
      <c r="H53" s="39"/>
      <c r="I53" s="39"/>
      <c r="J53" s="39" t="str" cm="1">
        <f t="array" ref="J53">IF($I53="","",_xlfn.TEXTJOIN("; ",TRUE,_xlfn.UNIQUE(_xlfn._xlws.FILTER($A$2:$A$3000,($C$2:$C$3000=$C53)*($E$2:$E$3000=$E53)*($G$2:$G$3000&lt;&gt;$G53)*($G$2:$G$3000&lt;&gt;""),""))))</f>
        <v/>
      </c>
    </row>
    <row r="54" spans="1:10" ht="30" x14ac:dyDescent="0.25">
      <c r="A54" s="23" t="s">
        <v>583</v>
      </c>
      <c r="B54" s="37" t="str">
        <f>INDEX(Product!$B:$B,MATCH($A54,Product!$A:$A,0))</f>
        <v>[Terrapharm] Xịt kháng khuẩn - Dizigone Spray (100ml)</v>
      </c>
      <c r="C54" s="37" t="str">
        <f>INDEX(Product!$D:$D,MATCH($A54,Product!$A:$A,0))</f>
        <v>Dung dịch sát khuẩn vết thương</v>
      </c>
      <c r="D54" s="23" t="s">
        <v>2386</v>
      </c>
      <c r="E54" s="37" t="str">
        <f>INDEX('Attribute Definition'!$B:$B,MATCH($D54,'Attribute Definition'!$A:$A,0))</f>
        <v>Thành phần kháng khuẩn</v>
      </c>
      <c r="F54" s="38" t="s">
        <v>2657</v>
      </c>
      <c r="G54" s="39" t="str" cm="1">
        <f t="array" ref="G54">_xlfn.TEXTJOIN("; ",TRUE,_xlfn.UNIQUE(_xlfn._xlws.FILTER('Product Variant Attribute'!$F$2:$F$3000,('Product Variant Attribute'!$B$2:$B$3000=$A54)*('Product Variant Attribute'!$D$2:$D$3000=$D54),"")))</f>
        <v>Công nghệ EMWE®</v>
      </c>
      <c r="H54" s="39"/>
      <c r="I54" s="39" t="s">
        <v>2710</v>
      </c>
      <c r="J54" s="39" t="str" cm="1">
        <f t="array" ref="J54">IF($I54="","",_xlfn.TEXTJOIN("; ",TRUE,_xlfn.UNIQUE(_xlfn._xlws.FILTER($A$2:$A$3000,($C$2:$C$3000=$C54)*($E$2:$E$3000=$E54)*($G$2:$G$3000&lt;&gt;$G54)*($G$2:$G$3000&lt;&gt;""),""))))</f>
        <v>PRODUCT-00016</v>
      </c>
    </row>
    <row r="55" spans="1:10" ht="30" x14ac:dyDescent="0.25">
      <c r="A55" s="23" t="s">
        <v>583</v>
      </c>
      <c r="B55" s="37" t="str">
        <f>INDEX(Product!$B:$B,MATCH($A55,Product!$A:$A,0))</f>
        <v>[Terrapharm] Xịt kháng khuẩn - Dizigone Spray (100ml)</v>
      </c>
      <c r="C55" s="37" t="str">
        <f>INDEX(Product!$D:$D,MATCH($A55,Product!$A:$A,0))</f>
        <v>Dung dịch sát khuẩn vết thương</v>
      </c>
      <c r="D55" s="23" t="s">
        <v>2471</v>
      </c>
      <c r="E55" s="37" t="str">
        <f>INDEX('Attribute Definition'!$B:$B,MATCH($D55,'Attribute Definition'!$A:$A,0))</f>
        <v>Dạng sản phẩm</v>
      </c>
      <c r="F55" s="38" t="s">
        <v>2657</v>
      </c>
      <c r="G55" s="39" t="str" cm="1">
        <f t="array" ref="G55">_xlfn.TEXTJOIN("; ",TRUE,_xlfn.UNIQUE(_xlfn._xlws.FILTER('Product Variant Attribute'!$F$2:$F$3000,('Product Variant Attribute'!$B$2:$B$3000=$A55)*('Product Variant Attribute'!$D$2:$D$3000=$D55),"")))</f>
        <v>Xịt</v>
      </c>
      <c r="H55" s="39"/>
      <c r="I55" s="39" t="s">
        <v>2711</v>
      </c>
      <c r="J55" s="39" t="str" cm="1">
        <f t="array" ref="J55">IF($I55="","",_xlfn.TEXTJOIN("; ",TRUE,_xlfn.UNIQUE(_xlfn._xlws.FILTER($A$2:$A$3000,($C$2:$C$3000=$C55)*($E$2:$E$3000=$E55)*($G$2:$G$3000&lt;&gt;$G55)*($G$2:$G$3000&lt;&gt;""),""))))</f>
        <v>PRODUCT-00016; PRODUCT-00021</v>
      </c>
    </row>
    <row r="56" spans="1:10" x14ac:dyDescent="0.25">
      <c r="A56" s="23" t="s">
        <v>584</v>
      </c>
      <c r="B56" s="37" t="str">
        <f>INDEX(Product!$B:$B,MATCH($A56,Product!$A:$A,0))</f>
        <v>[Urgo] Gạc lưới chống dính - UrgoTul (10cmx10cm)</v>
      </c>
      <c r="C56" s="37" t="str">
        <f>INDEX(Product!$D:$D,MATCH($A56,Product!$A:$A,0))</f>
        <v>Gạc lưới chống dính</v>
      </c>
      <c r="D56" s="23" t="s">
        <v>2342</v>
      </c>
      <c r="E56" s="37" t="str">
        <f>INDEX('Attribute Definition'!$B:$B,MATCH($D56,'Attribute Definition'!$A:$A,0))</f>
        <v>Kích thước</v>
      </c>
      <c r="F56" s="38" t="s">
        <v>2657</v>
      </c>
      <c r="G56" s="39" t="str" cm="1">
        <f t="array" ref="G56">_xlfn.TEXTJOIN("; ",TRUE,_xlfn.UNIQUE(_xlfn._xlws.FILTER('Product Variant Attribute'!$F$2:$F$3000,('Product Variant Attribute'!$B$2:$B$3000=$A56)*('Product Variant Attribute'!$D$2:$D$3000=$D56),"")))</f>
        <v>10cmx10cm</v>
      </c>
      <c r="H56" s="39"/>
      <c r="I56" s="39"/>
      <c r="J56" s="39" t="str" cm="1">
        <f t="array" ref="J56">IF($I56="","",_xlfn.TEXTJOIN("; ",TRUE,_xlfn.UNIQUE(_xlfn._xlws.FILTER($A$2:$A$3000,($C$2:$C$3000=$C56)*($E$2:$E$3000=$E56)*($G$2:$G$3000&lt;&gt;$G56)*($G$2:$G$3000&lt;&gt;""),""))))</f>
        <v/>
      </c>
    </row>
    <row r="57" spans="1:10" x14ac:dyDescent="0.25">
      <c r="A57" s="23" t="s">
        <v>584</v>
      </c>
      <c r="B57" s="37" t="str">
        <f>INDEX(Product!$B:$B,MATCH($A57,Product!$A:$A,0))</f>
        <v>[Urgo] Gạc lưới chống dính - UrgoTul (10cmx10cm)</v>
      </c>
      <c r="C57" s="37" t="str">
        <f>INDEX(Product!$D:$D,MATCH($A57,Product!$A:$A,0))</f>
        <v>Gạc lưới chống dính</v>
      </c>
      <c r="D57" s="23" t="s">
        <v>2471</v>
      </c>
      <c r="E57" s="37" t="str">
        <f>INDEX('Attribute Definition'!$B:$B,MATCH($D57,'Attribute Definition'!$A:$A,0))</f>
        <v>Dạng sản phẩm</v>
      </c>
      <c r="F57" s="38" t="s">
        <v>2657</v>
      </c>
      <c r="G57" s="39" t="str" cm="1">
        <f t="array" ref="G57">_xlfn.TEXTJOIN("; ",TRUE,_xlfn.UNIQUE(_xlfn._xlws.FILTER('Product Variant Attribute'!$F$2:$F$3000,('Product Variant Attribute'!$B$2:$B$3000=$A57)*('Product Variant Attribute'!$D$2:$D$3000=$D57),"")))</f>
        <v>Miếng dán / gạc</v>
      </c>
      <c r="H57" s="39"/>
      <c r="I57" s="39"/>
      <c r="J57" s="39" t="str" cm="1">
        <f t="array" ref="J57">IF($I57="","",_xlfn.TEXTJOIN("; ",TRUE,_xlfn.UNIQUE(_xlfn._xlws.FILTER($A$2:$A$3000,($C$2:$C$3000=$C57)*($E$2:$E$3000=$E57)*($G$2:$G$3000&lt;&gt;$G57)*($G$2:$G$3000&lt;&gt;""),""))))</f>
        <v/>
      </c>
    </row>
    <row r="58" spans="1:10" x14ac:dyDescent="0.25">
      <c r="A58" s="23" t="s">
        <v>585</v>
      </c>
      <c r="B58" s="37" t="str">
        <f>INDEX(Product!$B:$B,MATCH($A58,Product!$A:$A,0))</f>
        <v>[Urgo] Gạc lưới tẩm bạc chống dính - UrgoTul Ag/Silver (10cmx12cm)</v>
      </c>
      <c r="C58" s="37" t="str">
        <f>INDEX(Product!$D:$D,MATCH($A58,Product!$A:$A,0))</f>
        <v>Gạc lưới chống dính</v>
      </c>
      <c r="D58" s="23" t="s">
        <v>2342</v>
      </c>
      <c r="E58" s="37" t="str">
        <f>INDEX('Attribute Definition'!$B:$B,MATCH($D58,'Attribute Definition'!$A:$A,0))</f>
        <v>Kích thước</v>
      </c>
      <c r="F58" s="38" t="s">
        <v>2657</v>
      </c>
      <c r="G58" s="39" t="str" cm="1">
        <f t="array" ref="G58">_xlfn.TEXTJOIN("; ",TRUE,_xlfn.UNIQUE(_xlfn._xlws.FILTER('Product Variant Attribute'!$F$2:$F$3000,('Product Variant Attribute'!$B$2:$B$3000=$A58)*('Product Variant Attribute'!$D$2:$D$3000=$D58),"")))</f>
        <v>10cmx12cm</v>
      </c>
      <c r="H58" s="39"/>
      <c r="I58" s="39"/>
      <c r="J58" s="39" t="str" cm="1">
        <f t="array" ref="J58">IF($I58="","",_xlfn.TEXTJOIN("; ",TRUE,_xlfn.UNIQUE(_xlfn._xlws.FILTER($A$2:$A$3000,($C$2:$C$3000=$C58)*($E$2:$E$3000=$E58)*($G$2:$G$3000&lt;&gt;$G58)*($G$2:$G$3000&lt;&gt;""),""))))</f>
        <v/>
      </c>
    </row>
    <row r="59" spans="1:10" x14ac:dyDescent="0.25">
      <c r="A59" s="23" t="s">
        <v>585</v>
      </c>
      <c r="B59" s="37" t="str">
        <f>INDEX(Product!$B:$B,MATCH($A59,Product!$A:$A,0))</f>
        <v>[Urgo] Gạc lưới tẩm bạc chống dính - UrgoTul Ag/Silver (10cmx12cm)</v>
      </c>
      <c r="C59" s="37" t="str">
        <f>INDEX(Product!$D:$D,MATCH($A59,Product!$A:$A,0))</f>
        <v>Gạc lưới chống dính</v>
      </c>
      <c r="D59" s="23" t="s">
        <v>2386</v>
      </c>
      <c r="E59" s="37" t="str">
        <f>INDEX('Attribute Definition'!$B:$B,MATCH($D59,'Attribute Definition'!$A:$A,0))</f>
        <v>Thành phần kháng khuẩn</v>
      </c>
      <c r="F59" s="38" t="s">
        <v>2657</v>
      </c>
      <c r="G59" s="39" t="str" cm="1">
        <f t="array" ref="G59">_xlfn.TEXTJOIN("; ",TRUE,_xlfn.UNIQUE(_xlfn._xlws.FILTER('Product Variant Attribute'!$F$2:$F$3000,('Product Variant Attribute'!$B$2:$B$3000=$A59)*('Product Variant Attribute'!$D$2:$D$3000=$D59),"")))</f>
        <v>Bạc (Ag)</v>
      </c>
      <c r="H59" s="39"/>
      <c r="I59" s="39"/>
      <c r="J59" s="39" t="str" cm="1">
        <f t="array" ref="J59">IF($I59="","",_xlfn.TEXTJOIN("; ",TRUE,_xlfn.UNIQUE(_xlfn._xlws.FILTER($A$2:$A$3000,($C$2:$C$3000=$C59)*($E$2:$E$3000=$E59)*($G$2:$G$3000&lt;&gt;$G59)*($G$2:$G$3000&lt;&gt;""),""))))</f>
        <v/>
      </c>
    </row>
    <row r="60" spans="1:10" x14ac:dyDescent="0.25">
      <c r="A60" s="23" t="s">
        <v>585</v>
      </c>
      <c r="B60" s="37" t="str">
        <f>INDEX(Product!$B:$B,MATCH($A60,Product!$A:$A,0))</f>
        <v>[Urgo] Gạc lưới tẩm bạc chống dính - UrgoTul Ag/Silver (10cmx12cm)</v>
      </c>
      <c r="C60" s="37" t="str">
        <f>INDEX(Product!$D:$D,MATCH($A60,Product!$A:$A,0))</f>
        <v>Gạc lưới chống dính</v>
      </c>
      <c r="D60" s="23" t="s">
        <v>2471</v>
      </c>
      <c r="E60" s="37" t="str">
        <f>INDEX('Attribute Definition'!$B:$B,MATCH($D60,'Attribute Definition'!$A:$A,0))</f>
        <v>Dạng sản phẩm</v>
      </c>
      <c r="F60" s="38" t="s">
        <v>2657</v>
      </c>
      <c r="G60" s="39" t="str" cm="1">
        <f t="array" ref="G60">_xlfn.TEXTJOIN("; ",TRUE,_xlfn.UNIQUE(_xlfn._xlws.FILTER('Product Variant Attribute'!$F$2:$F$3000,('Product Variant Attribute'!$B$2:$B$3000=$A60)*('Product Variant Attribute'!$D$2:$D$3000=$D60),"")))</f>
        <v>Miếng dán / gạc</v>
      </c>
      <c r="H60" s="39"/>
      <c r="I60" s="39"/>
      <c r="J60" s="39" t="str" cm="1">
        <f t="array" ref="J60">IF($I60="","",_xlfn.TEXTJOIN("; ",TRUE,_xlfn.UNIQUE(_xlfn._xlws.FILTER($A$2:$A$3000,($C$2:$C$3000=$C60)*($E$2:$E$3000=$E60)*($G$2:$G$3000&lt;&gt;$G60)*($G$2:$G$3000&lt;&gt;""),""))))</f>
        <v/>
      </c>
    </row>
    <row r="61" spans="1:10" x14ac:dyDescent="0.25">
      <c r="A61" s="23" t="s">
        <v>586</v>
      </c>
      <c r="B61" s="37" t="str">
        <f>INDEX(Product!$B:$B,MATCH($A61,Product!$A:$A,0))</f>
        <v>[VH Pharma] Gel trị vết thương hở - Healit (5g)</v>
      </c>
      <c r="C61" s="37" t="str">
        <f>INDEX(Product!$D:$D,MATCH($A61,Product!$A:$A,0))</f>
        <v>Gel bôi vết thương</v>
      </c>
      <c r="D61" s="23" t="s">
        <v>2356</v>
      </c>
      <c r="E61" s="37" t="str">
        <f>INDEX('Attribute Definition'!$B:$B,MATCH($D61,'Attribute Definition'!$A:$A,0))</f>
        <v>Khối lượng tịnh</v>
      </c>
      <c r="F61" s="38" t="s">
        <v>2657</v>
      </c>
      <c r="G61" s="39" t="str" cm="1">
        <f t="array" ref="G61">_xlfn.TEXTJOIN("; ",TRUE,_xlfn.UNIQUE(_xlfn._xlws.FILTER('Product Variant Attribute'!$F$2:$F$3000,('Product Variant Attribute'!$B$2:$B$3000=$A61)*('Product Variant Attribute'!$D$2:$D$3000=$D61),"")))</f>
        <v>5g</v>
      </c>
      <c r="H61" s="39"/>
      <c r="I61" s="39"/>
      <c r="J61" s="39" t="str" cm="1">
        <f t="array" ref="J61">IF($I61="","",_xlfn.TEXTJOIN("; ",TRUE,_xlfn.UNIQUE(_xlfn._xlws.FILTER($A$2:$A$3000,($C$2:$C$3000=$C61)*($E$2:$E$3000=$E61)*($G$2:$G$3000&lt;&gt;$G61)*($G$2:$G$3000&lt;&gt;""),""))))</f>
        <v/>
      </c>
    </row>
    <row r="62" spans="1:10" x14ac:dyDescent="0.25">
      <c r="A62" s="23" t="s">
        <v>586</v>
      </c>
      <c r="B62" s="37" t="str">
        <f>INDEX(Product!$B:$B,MATCH($A62,Product!$A:$A,0))</f>
        <v>[VH Pharma] Gel trị vết thương hở - Healit (5g)</v>
      </c>
      <c r="C62" s="37" t="str">
        <f>INDEX(Product!$D:$D,MATCH($A62,Product!$A:$A,0))</f>
        <v>Gel bôi vết thương</v>
      </c>
      <c r="D62" s="23" t="s">
        <v>2471</v>
      </c>
      <c r="E62" s="37" t="str">
        <f>INDEX('Attribute Definition'!$B:$B,MATCH($D62,'Attribute Definition'!$A:$A,0))</f>
        <v>Dạng sản phẩm</v>
      </c>
      <c r="F62" s="38" t="s">
        <v>2657</v>
      </c>
      <c r="G62" s="39" t="str" cm="1">
        <f t="array" ref="G62">_xlfn.TEXTJOIN("; ",TRUE,_xlfn.UNIQUE(_xlfn._xlws.FILTER('Product Variant Attribute'!$F$2:$F$3000,('Product Variant Attribute'!$B$2:$B$3000=$A62)*('Product Variant Attribute'!$D$2:$D$3000=$D62),"")))</f>
        <v>Gel / kem</v>
      </c>
      <c r="H62" s="39"/>
      <c r="I62" s="39"/>
      <c r="J62" s="39" t="str" cm="1">
        <f t="array" ref="J62">IF($I62="","",_xlfn.TEXTJOIN("; ",TRUE,_xlfn.UNIQUE(_xlfn._xlws.FILTER($A$2:$A$3000,($C$2:$C$3000=$C62)*($E$2:$E$3000=$E62)*($G$2:$G$3000&lt;&gt;$G62)*($G$2:$G$3000&lt;&gt;""),""))))</f>
        <v/>
      </c>
    </row>
    <row r="63" spans="1:10" x14ac:dyDescent="0.25">
      <c r="A63" s="23" t="s">
        <v>587</v>
      </c>
      <c r="B63" s="37" t="str">
        <f>INDEX(Product!$B:$B,MATCH($A63,Product!$A:$A,0))</f>
        <v>[Wonbiogen] Băng dán vết thương Hydrocolloid - Renoderm (10cmx10cm)</v>
      </c>
      <c r="C63" s="37" t="str">
        <f>INDEX(Product!$D:$D,MATCH($A63,Product!$A:$A,0))</f>
        <v>Băng dán hydrocolloid</v>
      </c>
      <c r="D63" s="23" t="s">
        <v>2342</v>
      </c>
      <c r="E63" s="37" t="str">
        <f>INDEX('Attribute Definition'!$B:$B,MATCH($D63,'Attribute Definition'!$A:$A,0))</f>
        <v>Kích thước</v>
      </c>
      <c r="F63" s="38" t="s">
        <v>2657</v>
      </c>
      <c r="G63" s="39" t="str" cm="1">
        <f t="array" ref="G63">_xlfn.TEXTJOIN("; ",TRUE,_xlfn.UNIQUE(_xlfn._xlws.FILTER('Product Variant Attribute'!$F$2:$F$3000,('Product Variant Attribute'!$B$2:$B$3000=$A63)*('Product Variant Attribute'!$D$2:$D$3000=$D63),"")))</f>
        <v>10cmx10cm</v>
      </c>
      <c r="H63" s="39"/>
      <c r="I63" s="39"/>
      <c r="J63" s="39" t="str" cm="1">
        <f t="array" ref="J63">IF($I63="","",_xlfn.TEXTJOIN("; ",TRUE,_xlfn.UNIQUE(_xlfn._xlws.FILTER($A$2:$A$3000,($C$2:$C$3000=$C63)*($E$2:$E$3000=$E63)*($G$2:$G$3000&lt;&gt;$G63)*($G$2:$G$3000&lt;&gt;""),""))))</f>
        <v/>
      </c>
    </row>
    <row r="64" spans="1:10" x14ac:dyDescent="0.25">
      <c r="A64" s="23" t="s">
        <v>587</v>
      </c>
      <c r="B64" s="37" t="str">
        <f>INDEX(Product!$B:$B,MATCH($A64,Product!$A:$A,0))</f>
        <v>[Wonbiogen] Băng dán vết thương Hydrocolloid - Renoderm (10cmx10cm)</v>
      </c>
      <c r="C64" s="37" t="str">
        <f>INDEX(Product!$D:$D,MATCH($A64,Product!$A:$A,0))</f>
        <v>Băng dán hydrocolloid</v>
      </c>
      <c r="D64" s="23" t="s">
        <v>2367</v>
      </c>
      <c r="E64" s="37" t="str">
        <f>INDEX('Attribute Definition'!$B:$B,MATCH($D64,'Attribute Definition'!$A:$A,0))</f>
        <v>Chất liệu</v>
      </c>
      <c r="F64" s="38" t="s">
        <v>2657</v>
      </c>
      <c r="G64" s="39" t="str" cm="1">
        <f t="array" ref="G64">_xlfn.TEXTJOIN("; ",TRUE,_xlfn.UNIQUE(_xlfn._xlws.FILTER('Product Variant Attribute'!$F$2:$F$3000,('Product Variant Attribute'!$B$2:$B$3000=$A64)*('Product Variant Attribute'!$D$2:$D$3000=$D64),"")))</f>
        <v>Hydrocolloid</v>
      </c>
      <c r="H64" s="39"/>
      <c r="I64" s="39"/>
      <c r="J64" s="39" t="str" cm="1">
        <f t="array" ref="J64">IF($I64="","",_xlfn.TEXTJOIN("; ",TRUE,_xlfn.UNIQUE(_xlfn._xlws.FILTER($A$2:$A$3000,($C$2:$C$3000=$C64)*($E$2:$E$3000=$E64)*($G$2:$G$3000&lt;&gt;$G64)*($G$2:$G$3000&lt;&gt;""),""))))</f>
        <v/>
      </c>
    </row>
    <row r="65" spans="1:10" x14ac:dyDescent="0.25">
      <c r="A65" s="23" t="s">
        <v>587</v>
      </c>
      <c r="B65" s="37" t="str">
        <f>INDEX(Product!$B:$B,MATCH($A65,Product!$A:$A,0))</f>
        <v>[Wonbiogen] Băng dán vết thương Hydrocolloid - Renoderm (10cmx10cm)</v>
      </c>
      <c r="C65" s="37" t="str">
        <f>INDEX(Product!$D:$D,MATCH($A65,Product!$A:$A,0))</f>
        <v>Băng dán hydrocolloid</v>
      </c>
      <c r="D65" s="23" t="s">
        <v>2381</v>
      </c>
      <c r="E65" s="37" t="str">
        <f>INDEX('Attribute Definition'!$B:$B,MATCH($D65,'Attribute Definition'!$A:$A,0))</f>
        <v>Chống nước</v>
      </c>
      <c r="F65" s="38" t="s">
        <v>2657</v>
      </c>
      <c r="G65" s="39" t="str" cm="1">
        <f t="array" ref="G65">_xlfn.TEXTJOIN("; ",TRUE,_xlfn.UNIQUE(_xlfn._xlws.FILTER('Product Variant Attribute'!$F$2:$F$3000,('Product Variant Attribute'!$B$2:$B$3000=$A65)*('Product Variant Attribute'!$D$2:$D$3000=$D65),"")))</f>
        <v>Có</v>
      </c>
      <c r="H65" s="39"/>
      <c r="I65" s="39"/>
      <c r="J65" s="39" t="str" cm="1">
        <f t="array" ref="J65">IF($I65="","",_xlfn.TEXTJOIN("; ",TRUE,_xlfn.UNIQUE(_xlfn._xlws.FILTER($A$2:$A$3000,($C$2:$C$3000=$C65)*($E$2:$E$3000=$E65)*($G$2:$G$3000&lt;&gt;$G65)*($G$2:$G$3000&lt;&gt;""),""))))</f>
        <v/>
      </c>
    </row>
    <row r="66" spans="1:10" x14ac:dyDescent="0.25">
      <c r="A66" s="23" t="s">
        <v>587</v>
      </c>
      <c r="B66" s="37" t="str">
        <f>INDEX(Product!$B:$B,MATCH($A66,Product!$A:$A,0))</f>
        <v>[Wonbiogen] Băng dán vết thương Hydrocolloid - Renoderm (10cmx10cm)</v>
      </c>
      <c r="C66" s="37" t="str">
        <f>INDEX(Product!$D:$D,MATCH($A66,Product!$A:$A,0))</f>
        <v>Băng dán hydrocolloid</v>
      </c>
      <c r="D66" s="23" t="s">
        <v>2471</v>
      </c>
      <c r="E66" s="37" t="str">
        <f>INDEX('Attribute Definition'!$B:$B,MATCH($D66,'Attribute Definition'!$A:$A,0))</f>
        <v>Dạng sản phẩm</v>
      </c>
      <c r="F66" s="38" t="s">
        <v>2657</v>
      </c>
      <c r="G66" s="39" t="str" cm="1">
        <f t="array" ref="G66">_xlfn.TEXTJOIN("; ",TRUE,_xlfn.UNIQUE(_xlfn._xlws.FILTER('Product Variant Attribute'!$F$2:$F$3000,('Product Variant Attribute'!$B$2:$B$3000=$A66)*('Product Variant Attribute'!$D$2:$D$3000=$D66),"")))</f>
        <v>Miếng dán / gạc</v>
      </c>
      <c r="H66" s="39"/>
      <c r="I66" s="39"/>
      <c r="J66" s="39" t="str" cm="1">
        <f t="array" ref="J66">IF($I66="","",_xlfn.TEXTJOIN("; ",TRUE,_xlfn.UNIQUE(_xlfn._xlws.FILTER($A$2:$A$3000,($C$2:$C$3000=$C66)*($E$2:$E$3000=$E66)*($G$2:$G$3000&lt;&gt;$G66)*($G$2:$G$3000&lt;&gt;""),""))))</f>
        <v/>
      </c>
    </row>
    <row r="67" spans="1:10" x14ac:dyDescent="0.25">
      <c r="A67" s="23" t="s">
        <v>588</v>
      </c>
      <c r="B67" s="37" t="str">
        <f>INDEX(Product!$B:$B,MATCH($A67,Product!$A:$A,0))</f>
        <v>[Wonbiogen] Băng gạc xốp không dính vết thương - Therasorb Algi Plus Adhesive (7.5cmx7.5cm)</v>
      </c>
      <c r="C67" s="37" t="str">
        <f>INDEX(Product!$D:$D,MATCH($A67,Product!$A:$A,0))</f>
        <v>Gạc xốp hút dịch</v>
      </c>
      <c r="D67" s="23" t="s">
        <v>2342</v>
      </c>
      <c r="E67" s="37" t="str">
        <f>INDEX('Attribute Definition'!$B:$B,MATCH($D67,'Attribute Definition'!$A:$A,0))</f>
        <v>Kích thước</v>
      </c>
      <c r="F67" s="38" t="s">
        <v>2657</v>
      </c>
      <c r="G67" s="39" t="str" cm="1">
        <f t="array" ref="G67">_xlfn.TEXTJOIN("; ",TRUE,_xlfn.UNIQUE(_xlfn._xlws.FILTER('Product Variant Attribute'!$F$2:$F$3000,('Product Variant Attribute'!$B$2:$B$3000=$A67)*('Product Variant Attribute'!$D$2:$D$3000=$D67),"")))</f>
        <v>7.5cmx7.5cm</v>
      </c>
      <c r="H67" s="39"/>
      <c r="I67" s="39"/>
      <c r="J67" s="39" t="str" cm="1">
        <f t="array" ref="J67">IF($I67="","",_xlfn.TEXTJOIN("; ",TRUE,_xlfn.UNIQUE(_xlfn._xlws.FILTER($A$2:$A$3000,($C$2:$C$3000=$C67)*($E$2:$E$3000=$E67)*($G$2:$G$3000&lt;&gt;$G67)*($G$2:$G$3000&lt;&gt;""),""))))</f>
        <v/>
      </c>
    </row>
    <row r="68" spans="1:10" ht="45" x14ac:dyDescent="0.25">
      <c r="A68" s="23" t="s">
        <v>588</v>
      </c>
      <c r="B68" s="37" t="str">
        <f>INDEX(Product!$B:$B,MATCH($A68,Product!$A:$A,0))</f>
        <v>[Wonbiogen] Băng gạc xốp không dính vết thương - Therasorb Algi Plus Adhesive (7.5cmx7.5cm)</v>
      </c>
      <c r="C68" s="37" t="str">
        <f>INDEX(Product!$D:$D,MATCH($A68,Product!$A:$A,0))</f>
        <v>Gạc xốp hút dịch</v>
      </c>
      <c r="D68" s="23" t="s">
        <v>2367</v>
      </c>
      <c r="E68" s="37" t="str">
        <f>INDEX('Attribute Definition'!$B:$B,MATCH($D68,'Attribute Definition'!$A:$A,0))</f>
        <v>Chất liệu</v>
      </c>
      <c r="F68" s="38" t="s">
        <v>2657</v>
      </c>
      <c r="G68" s="39" t="str" cm="1">
        <f t="array" ref="G68">_xlfn.TEXTJOIN("; ",TRUE,_xlfn.UNIQUE(_xlfn._xlws.FILTER('Product Variant Attribute'!$F$2:$F$3000,('Product Variant Attribute'!$B$2:$B$3000=$A68)*('Product Variant Attribute'!$D$2:$D$3000=$D68),"")))</f>
        <v>Alginate</v>
      </c>
      <c r="H68" s="39"/>
      <c r="I68" s="39" t="s">
        <v>2712</v>
      </c>
      <c r="J68" s="39" t="str" cm="1">
        <f t="array" ref="J68">IF($I68="","",_xlfn.TEXTJOIN("; ",TRUE,_xlfn.UNIQUE(_xlfn._xlws.FILTER($A$2:$A$3000,($C$2:$C$3000=$C68)*($E$2:$E$3000=$E68)*($G$2:$G$3000&lt;&gt;$G68)*($G$2:$G$3000&lt;&gt;""),""))))</f>
        <v>PRODUCT-00018; PRODUCT-00033</v>
      </c>
    </row>
    <row r="69" spans="1:10" ht="75" x14ac:dyDescent="0.25">
      <c r="A69" s="23" t="s">
        <v>588</v>
      </c>
      <c r="B69" s="37" t="str">
        <f>INDEX(Product!$B:$B,MATCH($A69,Product!$A:$A,0))</f>
        <v>[Wonbiogen] Băng gạc xốp không dính vết thương - Therasorb Algi Plus Adhesive (7.5cmx7.5cm)</v>
      </c>
      <c r="C69" s="37" t="str">
        <f>INDEX(Product!$D:$D,MATCH($A69,Product!$A:$A,0))</f>
        <v>Gạc xốp hút dịch</v>
      </c>
      <c r="D69" s="23" t="s">
        <v>2391</v>
      </c>
      <c r="E69" s="37" t="str">
        <f>INDEX('Attribute Definition'!$B:$B,MATCH($D69,'Attribute Definition'!$A:$A,0))</f>
        <v>Kiểu viền</v>
      </c>
      <c r="F69" s="38" t="s">
        <v>2657</v>
      </c>
      <c r="G69" s="39" t="str" cm="1">
        <f t="array" ref="G69">_xlfn.TEXTJOIN("; ",TRUE,_xlfn.UNIQUE(_xlfn._xlws.FILTER('Product Variant Attribute'!$F$2:$F$3000,('Product Variant Attribute'!$B$2:$B$3000=$A69)*('Product Variant Attribute'!$D$2:$D$3000=$D69),"")))</f>
        <v>Có viền dính</v>
      </c>
      <c r="H69" s="39"/>
      <c r="I69" s="39" t="s">
        <v>2713</v>
      </c>
      <c r="J69" s="39" t="str" cm="1">
        <f t="array" ref="J69">IF($I69="","",_xlfn.TEXTJOIN("; ",TRUE,_xlfn.UNIQUE(_xlfn._xlws.FILTER($A$2:$A$3000,($C$2:$C$3000=$C69)*($E$2:$E$3000=$E69)*($G$2:$G$3000&lt;&gt;$G69)*($G$2:$G$3000&lt;&gt;""),""))))</f>
        <v>PRODUCT-00018; PRODUCT-00028; PRODUCT-00033; PRODUCT-00266; PRODUCT-00267; PRODUCT-00268; PRODUCT-00269; PRODUCT-00270; PRODUCT-00271</v>
      </c>
    </row>
    <row r="70" spans="1:10" x14ac:dyDescent="0.25">
      <c r="A70" s="23" t="s">
        <v>588</v>
      </c>
      <c r="B70" s="37" t="str">
        <f>INDEX(Product!$B:$B,MATCH($A70,Product!$A:$A,0))</f>
        <v>[Wonbiogen] Băng gạc xốp không dính vết thương - Therasorb Algi Plus Adhesive (7.5cmx7.5cm)</v>
      </c>
      <c r="C70" s="37" t="str">
        <f>INDEX(Product!$D:$D,MATCH($A70,Product!$A:$A,0))</f>
        <v>Gạc xốp hút dịch</v>
      </c>
      <c r="D70" s="23" t="s">
        <v>2471</v>
      </c>
      <c r="E70" s="37" t="str">
        <f>INDEX('Attribute Definition'!$B:$B,MATCH($D70,'Attribute Definition'!$A:$A,0))</f>
        <v>Dạng sản phẩm</v>
      </c>
      <c r="F70" s="38" t="s">
        <v>2657</v>
      </c>
      <c r="G70" s="39" t="str" cm="1">
        <f t="array" ref="G70">_xlfn.TEXTJOIN("; ",TRUE,_xlfn.UNIQUE(_xlfn._xlws.FILTER('Product Variant Attribute'!$F$2:$F$3000,('Product Variant Attribute'!$B$2:$B$3000=$A70)*('Product Variant Attribute'!$D$2:$D$3000=$D70),"")))</f>
        <v>Miếng dán / gạc</v>
      </c>
      <c r="H70" s="39"/>
      <c r="I70" s="39"/>
      <c r="J70" s="39" t="str" cm="1">
        <f t="array" ref="J70">IF($I70="","",_xlfn.TEXTJOIN("; ",TRUE,_xlfn.UNIQUE(_xlfn._xlws.FILTER($A$2:$A$3000,($C$2:$C$3000=$C70)*($E$2:$E$3000=$E70)*($G$2:$G$3000&lt;&gt;$G70)*($G$2:$G$3000&lt;&gt;""),""))))</f>
        <v/>
      </c>
    </row>
    <row r="71" spans="1:10" x14ac:dyDescent="0.25">
      <c r="A71" s="23" t="s">
        <v>589</v>
      </c>
      <c r="B71" s="37" t="str">
        <f>INDEX(Product!$B:$B,MATCH($A71,Product!$A:$A,0))</f>
        <v>[Wonbiogen] Gạc xốp siêu thấm hút dịch tiết vết thương - Therasorb Algi Plus Hydrophilic (10cmx10cmx0.5cm)</v>
      </c>
      <c r="C71" s="37" t="str">
        <f>INDEX(Product!$D:$D,MATCH($A71,Product!$A:$A,0))</f>
        <v>Gạc xốp hút dịch</v>
      </c>
      <c r="D71" s="23" t="s">
        <v>2342</v>
      </c>
      <c r="E71" s="37" t="str">
        <f>INDEX('Attribute Definition'!$B:$B,MATCH($D71,'Attribute Definition'!$A:$A,0))</f>
        <v>Kích thước</v>
      </c>
      <c r="F71" s="38" t="s">
        <v>2657</v>
      </c>
      <c r="G71" s="39" t="str" cm="1">
        <f t="array" ref="G71">_xlfn.TEXTJOIN("; ",TRUE,_xlfn.UNIQUE(_xlfn._xlws.FILTER('Product Variant Attribute'!$F$2:$F$3000,('Product Variant Attribute'!$B$2:$B$3000=$A71)*('Product Variant Attribute'!$D$2:$D$3000=$D71),"")))</f>
        <v>10cmx10cmx0.5cm</v>
      </c>
      <c r="H71" s="39"/>
      <c r="I71" s="39"/>
      <c r="J71" s="39" t="str" cm="1">
        <f t="array" ref="J71">IF($I71="","",_xlfn.TEXTJOIN("; ",TRUE,_xlfn.UNIQUE(_xlfn._xlws.FILTER($A$2:$A$3000,($C$2:$C$3000=$C71)*($E$2:$E$3000=$E71)*($G$2:$G$3000&lt;&gt;$G71)*($G$2:$G$3000&lt;&gt;""),""))))</f>
        <v/>
      </c>
    </row>
    <row r="72" spans="1:10" ht="45" x14ac:dyDescent="0.25">
      <c r="A72" s="23" t="s">
        <v>589</v>
      </c>
      <c r="B72" s="37" t="str">
        <f>INDEX(Product!$B:$B,MATCH($A72,Product!$A:$A,0))</f>
        <v>[Wonbiogen] Gạc xốp siêu thấm hút dịch tiết vết thương - Therasorb Algi Plus Hydrophilic (10cmx10cmx0.5cm)</v>
      </c>
      <c r="C72" s="37" t="str">
        <f>INDEX(Product!$D:$D,MATCH($A72,Product!$A:$A,0))</f>
        <v>Gạc xốp hút dịch</v>
      </c>
      <c r="D72" s="23" t="s">
        <v>2367</v>
      </c>
      <c r="E72" s="37" t="str">
        <f>INDEX('Attribute Definition'!$B:$B,MATCH($D72,'Attribute Definition'!$A:$A,0))</f>
        <v>Chất liệu</v>
      </c>
      <c r="F72" s="38" t="s">
        <v>2657</v>
      </c>
      <c r="G72" s="39" t="str" cm="1">
        <f t="array" ref="G72">_xlfn.TEXTJOIN("; ",TRUE,_xlfn.UNIQUE(_xlfn._xlws.FILTER('Product Variant Attribute'!$F$2:$F$3000,('Product Variant Attribute'!$B$2:$B$3000=$A72)*('Product Variant Attribute'!$D$2:$D$3000=$D72),"")))</f>
        <v>Alginate</v>
      </c>
      <c r="H72" s="39"/>
      <c r="I72" s="39" t="s">
        <v>2712</v>
      </c>
      <c r="J72" s="39" t="str" cm="1">
        <f t="array" ref="J72">IF($I72="","",_xlfn.TEXTJOIN("; ",TRUE,_xlfn.UNIQUE(_xlfn._xlws.FILTER($A$2:$A$3000,($C$2:$C$3000=$C72)*($E$2:$E$3000=$E72)*($G$2:$G$3000&lt;&gt;$G72)*($G$2:$G$3000&lt;&gt;""),""))))</f>
        <v>PRODUCT-00018; PRODUCT-00033</v>
      </c>
    </row>
    <row r="73" spans="1:10" ht="45" x14ac:dyDescent="0.25">
      <c r="A73" s="23" t="s">
        <v>589</v>
      </c>
      <c r="B73" s="37" t="str">
        <f>INDEX(Product!$B:$B,MATCH($A73,Product!$A:$A,0))</f>
        <v>[Wonbiogen] Gạc xốp siêu thấm hút dịch tiết vết thương - Therasorb Algi Plus Hydrophilic (10cmx10cmx0.5cm)</v>
      </c>
      <c r="C73" s="37" t="str">
        <f>INDEX(Product!$D:$D,MATCH($A73,Product!$A:$A,0))</f>
        <v>Gạc xốp hút dịch</v>
      </c>
      <c r="D73" s="23" t="s">
        <v>2391</v>
      </c>
      <c r="E73" s="37" t="str">
        <f>INDEX('Attribute Definition'!$B:$B,MATCH($D73,'Attribute Definition'!$A:$A,0))</f>
        <v>Kiểu viền</v>
      </c>
      <c r="F73" s="38" t="s">
        <v>2657</v>
      </c>
      <c r="G73" s="39" t="str" cm="1">
        <f t="array" ref="G73">_xlfn.TEXTJOIN("; ",TRUE,_xlfn.UNIQUE(_xlfn._xlws.FILTER('Product Variant Attribute'!$F$2:$F$3000,('Product Variant Attribute'!$B$2:$B$3000=$A73)*('Product Variant Attribute'!$D$2:$D$3000=$D73),"")))</f>
        <v>Không viền dính</v>
      </c>
      <c r="H73" s="39"/>
      <c r="I73" s="39" t="s">
        <v>2714</v>
      </c>
      <c r="J73" s="39" t="str" cm="1">
        <f t="array" ref="J73">IF($I73="","",_xlfn.TEXTJOIN("; ",TRUE,_xlfn.UNIQUE(_xlfn._xlws.FILTER($A$2:$A$3000,($C$2:$C$3000=$C73)*($E$2:$E$3000=$E73)*($G$2:$G$3000&lt;&gt;$G73)*($G$2:$G$3000&lt;&gt;""),""))))</f>
        <v>PRODUCT-00018; PRODUCT-00027; PRODUCT-00033; PRODUCT-00264; PRODUCT-00265</v>
      </c>
    </row>
    <row r="74" spans="1:10" x14ac:dyDescent="0.25">
      <c r="A74" s="23" t="s">
        <v>589</v>
      </c>
      <c r="B74" s="37" t="str">
        <f>INDEX(Product!$B:$B,MATCH($A74,Product!$A:$A,0))</f>
        <v>[Wonbiogen] Gạc xốp siêu thấm hút dịch tiết vết thương - Therasorb Algi Plus Hydrophilic (10cmx10cmx0.5cm)</v>
      </c>
      <c r="C74" s="37" t="str">
        <f>INDEX(Product!$D:$D,MATCH($A74,Product!$A:$A,0))</f>
        <v>Gạc xốp hút dịch</v>
      </c>
      <c r="D74" s="23" t="s">
        <v>2471</v>
      </c>
      <c r="E74" s="37" t="str">
        <f>INDEX('Attribute Definition'!$B:$B,MATCH($D74,'Attribute Definition'!$A:$A,0))</f>
        <v>Dạng sản phẩm</v>
      </c>
      <c r="F74" s="38" t="s">
        <v>2657</v>
      </c>
      <c r="G74" s="39" t="str" cm="1">
        <f t="array" ref="G74">_xlfn.TEXTJOIN("; ",TRUE,_xlfn.UNIQUE(_xlfn._xlws.FILTER('Product Variant Attribute'!$F$2:$F$3000,('Product Variant Attribute'!$B$2:$B$3000=$A74)*('Product Variant Attribute'!$D$2:$D$3000=$D74),"")))</f>
        <v>Miếng dán / gạc</v>
      </c>
      <c r="H74" s="39"/>
      <c r="I74" s="39"/>
      <c r="J74" s="39" t="str" cm="1">
        <f t="array" ref="J74">IF($I74="","",_xlfn.TEXTJOIN("; ",TRUE,_xlfn.UNIQUE(_xlfn._xlws.FILTER($A$2:$A$3000,($C$2:$C$3000=$C74)*($E$2:$E$3000=$E74)*($G$2:$G$3000&lt;&gt;$G74)*($G$2:$G$3000&lt;&gt;""),""))))</f>
        <v/>
      </c>
    </row>
    <row r="75" spans="1:10" x14ac:dyDescent="0.25">
      <c r="A75" s="23" t="s">
        <v>590</v>
      </c>
      <c r="B75" s="37" t="str">
        <f>INDEX(Product!$B:$B,MATCH($A75,Product!$A:$A,0))</f>
        <v>[Wonbiogen] Gạc xốp tẩm bạc kháng khuẩn - Therasorb® Ag Plus (10cmx10cm)</v>
      </c>
      <c r="C75" s="37" t="str">
        <f>INDEX(Product!$D:$D,MATCH($A75,Product!$A:$A,0))</f>
        <v>Gạc xốp hút dịch</v>
      </c>
      <c r="D75" s="23" t="s">
        <v>2342</v>
      </c>
      <c r="E75" s="37" t="str">
        <f>INDEX('Attribute Definition'!$B:$B,MATCH($D75,'Attribute Definition'!$A:$A,0))</f>
        <v>Kích thước</v>
      </c>
      <c r="F75" s="38" t="s">
        <v>2657</v>
      </c>
      <c r="G75" s="39" t="str" cm="1">
        <f t="array" ref="G75">_xlfn.TEXTJOIN("; ",TRUE,_xlfn.UNIQUE(_xlfn._xlws.FILTER('Product Variant Attribute'!$F$2:$F$3000,('Product Variant Attribute'!$B$2:$B$3000=$A75)*('Product Variant Attribute'!$D$2:$D$3000=$D75),"")))</f>
        <v>10cmx10cm</v>
      </c>
      <c r="H75" s="39"/>
      <c r="I75" s="39"/>
      <c r="J75" s="39" t="str" cm="1">
        <f t="array" ref="J75">IF($I75="","",_xlfn.TEXTJOIN("; ",TRUE,_xlfn.UNIQUE(_xlfn._xlws.FILTER($A$2:$A$3000,($C$2:$C$3000=$C75)*($E$2:$E$3000=$E75)*($G$2:$G$3000&lt;&gt;$G75)*($G$2:$G$3000&lt;&gt;""),""))))</f>
        <v/>
      </c>
    </row>
    <row r="76" spans="1:10" ht="45" x14ac:dyDescent="0.25">
      <c r="A76" s="23" t="s">
        <v>590</v>
      </c>
      <c r="B76" s="37" t="str">
        <f>INDEX(Product!$B:$B,MATCH($A76,Product!$A:$A,0))</f>
        <v>[Wonbiogen] Gạc xốp tẩm bạc kháng khuẩn - Therasorb® Ag Plus (10cmx10cm)</v>
      </c>
      <c r="C76" s="37" t="str">
        <f>INDEX(Product!$D:$D,MATCH($A76,Product!$A:$A,0))</f>
        <v>Gạc xốp hút dịch</v>
      </c>
      <c r="D76" s="23" t="s">
        <v>2367</v>
      </c>
      <c r="E76" s="37" t="str">
        <f>INDEX('Attribute Definition'!$B:$B,MATCH($D76,'Attribute Definition'!$A:$A,0))</f>
        <v>Chất liệu</v>
      </c>
      <c r="F76" s="38" t="s">
        <v>2657</v>
      </c>
      <c r="G76" s="39" t="str" cm="1">
        <f t="array" ref="G76">_xlfn.TEXTJOIN("; ",TRUE,_xlfn.UNIQUE(_xlfn._xlws.FILTER('Product Variant Attribute'!$F$2:$F$3000,('Product Variant Attribute'!$B$2:$B$3000=$A76)*('Product Variant Attribute'!$D$2:$D$3000=$D76),"")))</f>
        <v>Alginate</v>
      </c>
      <c r="H76" s="39"/>
      <c r="I76" s="39" t="s">
        <v>2712</v>
      </c>
      <c r="J76" s="39" t="str" cm="1">
        <f t="array" ref="J76">IF($I76="","",_xlfn.TEXTJOIN("; ",TRUE,_xlfn.UNIQUE(_xlfn._xlws.FILTER($A$2:$A$3000,($C$2:$C$3000=$C76)*($E$2:$E$3000=$E76)*($G$2:$G$3000&lt;&gt;$G76)*($G$2:$G$3000&lt;&gt;""),""))))</f>
        <v>PRODUCT-00018; PRODUCT-00033</v>
      </c>
    </row>
    <row r="77" spans="1:10" x14ac:dyDescent="0.25">
      <c r="A77" s="23" t="s">
        <v>590</v>
      </c>
      <c r="B77" s="37" t="str">
        <f>INDEX(Product!$B:$B,MATCH($A77,Product!$A:$A,0))</f>
        <v>[Wonbiogen] Gạc xốp tẩm bạc kháng khuẩn - Therasorb® Ag Plus (10cmx10cm)</v>
      </c>
      <c r="C77" s="37" t="str">
        <f>INDEX(Product!$D:$D,MATCH($A77,Product!$A:$A,0))</f>
        <v>Gạc xốp hút dịch</v>
      </c>
      <c r="D77" s="23" t="s">
        <v>2386</v>
      </c>
      <c r="E77" s="37" t="str">
        <f>INDEX('Attribute Definition'!$B:$B,MATCH($D77,'Attribute Definition'!$A:$A,0))</f>
        <v>Thành phần kháng khuẩn</v>
      </c>
      <c r="F77" s="38" t="s">
        <v>2657</v>
      </c>
      <c r="G77" s="39" t="str" cm="1">
        <f t="array" ref="G77">_xlfn.TEXTJOIN("; ",TRUE,_xlfn.UNIQUE(_xlfn._xlws.FILTER('Product Variant Attribute'!$F$2:$F$3000,('Product Variant Attribute'!$B$2:$B$3000=$A77)*('Product Variant Attribute'!$D$2:$D$3000=$D77),"")))</f>
        <v>Bạc (Ag)</v>
      </c>
      <c r="H77" s="39"/>
      <c r="I77" s="39"/>
      <c r="J77" s="39" t="str" cm="1">
        <f t="array" ref="J77">IF($I77="","",_xlfn.TEXTJOIN("; ",TRUE,_xlfn.UNIQUE(_xlfn._xlws.FILTER($A$2:$A$3000,($C$2:$C$3000=$C77)*($E$2:$E$3000=$E77)*($G$2:$G$3000&lt;&gt;$G77)*($G$2:$G$3000&lt;&gt;""),""))))</f>
        <v/>
      </c>
    </row>
    <row r="78" spans="1:10" x14ac:dyDescent="0.25">
      <c r="A78" s="23" t="s">
        <v>590</v>
      </c>
      <c r="B78" s="37" t="str">
        <f>INDEX(Product!$B:$B,MATCH($A78,Product!$A:$A,0))</f>
        <v>[Wonbiogen] Gạc xốp tẩm bạc kháng khuẩn - Therasorb® Ag Plus (10cmx10cm)</v>
      </c>
      <c r="C78" s="37" t="str">
        <f>INDEX(Product!$D:$D,MATCH($A78,Product!$A:$A,0))</f>
        <v>Gạc xốp hút dịch</v>
      </c>
      <c r="D78" s="23" t="s">
        <v>2471</v>
      </c>
      <c r="E78" s="37" t="str">
        <f>INDEX('Attribute Definition'!$B:$B,MATCH($D78,'Attribute Definition'!$A:$A,0))</f>
        <v>Dạng sản phẩm</v>
      </c>
      <c r="F78" s="38" t="s">
        <v>2657</v>
      </c>
      <c r="G78" s="39" t="str" cm="1">
        <f t="array" ref="G78">_xlfn.TEXTJOIN("; ",TRUE,_xlfn.UNIQUE(_xlfn._xlws.FILTER('Product Variant Attribute'!$F$2:$F$3000,('Product Variant Attribute'!$B$2:$B$3000=$A78)*('Product Variant Attribute'!$D$2:$D$3000=$D78),"")))</f>
        <v>Miếng dán / gạc</v>
      </c>
      <c r="H78" s="39"/>
      <c r="I78" s="39"/>
      <c r="J78" s="39" t="str" cm="1">
        <f t="array" ref="J78">IF($I78="","",_xlfn.TEXTJOIN("; ",TRUE,_xlfn.UNIQUE(_xlfn._xlws.FILTER($A$2:$A$3000,($C$2:$C$3000=$C78)*($E$2:$E$3000=$E78)*($G$2:$G$3000&lt;&gt;$G78)*($G$2:$G$3000&lt;&gt;""),""))))</f>
        <v/>
      </c>
    </row>
    <row r="79" spans="1:10" x14ac:dyDescent="0.25">
      <c r="A79" s="23" t="s">
        <v>591</v>
      </c>
      <c r="B79" s="37" t="str">
        <f>INDEX(Product!$B:$B,MATCH($A79,Product!$A:$A,0))</f>
        <v>[Wonbiogen] Gel kháng khuẩn vết thương - SurgiGel</v>
      </c>
      <c r="C79" s="37" t="str">
        <f>INDEX(Product!$D:$D,MATCH($A79,Product!$A:$A,0))</f>
        <v>Gel bôi vết thương</v>
      </c>
      <c r="D79" s="23" t="s">
        <v>2386</v>
      </c>
      <c r="E79" s="37" t="str">
        <f>INDEX('Attribute Definition'!$B:$B,MATCH($D79,'Attribute Definition'!$A:$A,0))</f>
        <v>Thành phần kháng khuẩn</v>
      </c>
      <c r="F79" s="38" t="s">
        <v>2657</v>
      </c>
      <c r="G79" s="39" t="str" cm="1">
        <f t="array" ref="G79">_xlfn.TEXTJOIN("; ",TRUE,_xlfn.UNIQUE(_xlfn._xlws.FILTER('Product Variant Attribute'!$F$2:$F$3000,('Product Variant Attribute'!$B$2:$B$3000=$A79)*('Product Variant Attribute'!$D$2:$D$3000=$D79),"")))</f>
        <v>Bạc (Ag)</v>
      </c>
      <c r="H79" s="39"/>
      <c r="I79" s="39"/>
      <c r="J79" s="39" t="str" cm="1">
        <f t="array" ref="J79">IF($I79="","",_xlfn.TEXTJOIN("; ",TRUE,_xlfn.UNIQUE(_xlfn._xlws.FILTER($A$2:$A$3000,($C$2:$C$3000=$C79)*($E$2:$E$3000=$E79)*($G$2:$G$3000&lt;&gt;$G79)*($G$2:$G$3000&lt;&gt;""),""))))</f>
        <v/>
      </c>
    </row>
    <row r="80" spans="1:10" x14ac:dyDescent="0.25">
      <c r="A80" s="23" t="s">
        <v>591</v>
      </c>
      <c r="B80" s="37" t="str">
        <f>INDEX(Product!$B:$B,MATCH($A80,Product!$A:$A,0))</f>
        <v>[Wonbiogen] Gel kháng khuẩn vết thương - SurgiGel</v>
      </c>
      <c r="C80" s="37" t="str">
        <f>INDEX(Product!$D:$D,MATCH($A80,Product!$A:$A,0))</f>
        <v>Gel bôi vết thương</v>
      </c>
      <c r="D80" s="23" t="s">
        <v>2471</v>
      </c>
      <c r="E80" s="37" t="str">
        <f>INDEX('Attribute Definition'!$B:$B,MATCH($D80,'Attribute Definition'!$A:$A,0))</f>
        <v>Dạng sản phẩm</v>
      </c>
      <c r="F80" s="38" t="s">
        <v>2657</v>
      </c>
      <c r="G80" s="39" t="str" cm="1">
        <f t="array" ref="G80">_xlfn.TEXTJOIN("; ",TRUE,_xlfn.UNIQUE(_xlfn._xlws.FILTER('Product Variant Attribute'!$F$2:$F$3000,('Product Variant Attribute'!$B$2:$B$3000=$A80)*('Product Variant Attribute'!$D$2:$D$3000=$D80),"")))</f>
        <v>Gel / kem</v>
      </c>
      <c r="H80" s="39"/>
      <c r="I80" s="39"/>
      <c r="J80" s="39" t="str" cm="1">
        <f t="array" ref="J80">IF($I80="","",_xlfn.TEXTJOIN("; ",TRUE,_xlfn.UNIQUE(_xlfn._xlws.FILTER($A$2:$A$3000,($C$2:$C$3000=$C80)*($E$2:$E$3000=$E80)*($G$2:$G$3000&lt;&gt;$G80)*($G$2:$G$3000&lt;&gt;""),""))))</f>
        <v/>
      </c>
    </row>
    <row r="81" spans="1:10" x14ac:dyDescent="0.25">
      <c r="A81" s="23" t="s">
        <v>592</v>
      </c>
      <c r="B81" s="37" t="str">
        <f>INDEX(Product!$B:$B,MATCH($A81,Product!$A:$A,0))</f>
        <v>[Wonbiogen] Kem gel silicone trị sẹo - RemScar® Gel (15g)</v>
      </c>
      <c r="C81" s="37" t="str">
        <f>INDEX(Product!$D:$D,MATCH($A81,Product!$A:$A,0))</f>
        <v>Gel trị sẹo</v>
      </c>
      <c r="D81" s="23" t="s">
        <v>2356</v>
      </c>
      <c r="E81" s="37" t="str">
        <f>INDEX('Attribute Definition'!$B:$B,MATCH($D81,'Attribute Definition'!$A:$A,0))</f>
        <v>Khối lượng tịnh</v>
      </c>
      <c r="F81" s="38" t="s">
        <v>2657</v>
      </c>
      <c r="G81" s="39" t="str" cm="1">
        <f t="array" ref="G81">_xlfn.TEXTJOIN("; ",TRUE,_xlfn.UNIQUE(_xlfn._xlws.FILTER('Product Variant Attribute'!$F$2:$F$3000,('Product Variant Attribute'!$B$2:$B$3000=$A81)*('Product Variant Attribute'!$D$2:$D$3000=$D81),"")))</f>
        <v>15g</v>
      </c>
      <c r="H81" s="39"/>
      <c r="I81" s="39"/>
      <c r="J81" s="39" t="str" cm="1">
        <f t="array" ref="J81">IF($I81="","",_xlfn.TEXTJOIN("; ",TRUE,_xlfn.UNIQUE(_xlfn._xlws.FILTER($A$2:$A$3000,($C$2:$C$3000=$C81)*($E$2:$E$3000=$E81)*($G$2:$G$3000&lt;&gt;$G81)*($G$2:$G$3000&lt;&gt;""),""))))</f>
        <v/>
      </c>
    </row>
    <row r="82" spans="1:10" x14ac:dyDescent="0.25">
      <c r="A82" s="23" t="s">
        <v>592</v>
      </c>
      <c r="B82" s="37" t="str">
        <f>INDEX(Product!$B:$B,MATCH($A82,Product!$A:$A,0))</f>
        <v>[Wonbiogen] Kem gel silicone trị sẹo - RemScar® Gel (15g)</v>
      </c>
      <c r="C82" s="37" t="str">
        <f>INDEX(Product!$D:$D,MATCH($A82,Product!$A:$A,0))</f>
        <v>Gel trị sẹo</v>
      </c>
      <c r="D82" s="23" t="s">
        <v>2367</v>
      </c>
      <c r="E82" s="37" t="str">
        <f>INDEX('Attribute Definition'!$B:$B,MATCH($D82,'Attribute Definition'!$A:$A,0))</f>
        <v>Chất liệu</v>
      </c>
      <c r="F82" s="38" t="s">
        <v>2657</v>
      </c>
      <c r="G82" s="39" t="str" cm="1">
        <f t="array" ref="G82">_xlfn.TEXTJOIN("; ",TRUE,_xlfn.UNIQUE(_xlfn._xlws.FILTER('Product Variant Attribute'!$F$2:$F$3000,('Product Variant Attribute'!$B$2:$B$3000=$A82)*('Product Variant Attribute'!$D$2:$D$3000=$D82),"")))</f>
        <v>Silicone</v>
      </c>
      <c r="H82" s="39"/>
      <c r="I82" s="39"/>
      <c r="J82" s="39" t="str" cm="1">
        <f t="array" ref="J82">IF($I82="","",_xlfn.TEXTJOIN("; ",TRUE,_xlfn.UNIQUE(_xlfn._xlws.FILTER($A$2:$A$3000,($C$2:$C$3000=$C82)*($E$2:$E$3000=$E82)*($G$2:$G$3000&lt;&gt;$G82)*($G$2:$G$3000&lt;&gt;""),""))))</f>
        <v/>
      </c>
    </row>
    <row r="83" spans="1:10" x14ac:dyDescent="0.25">
      <c r="A83" s="23" t="s">
        <v>592</v>
      </c>
      <c r="B83" s="37" t="str">
        <f>INDEX(Product!$B:$B,MATCH($A83,Product!$A:$A,0))</f>
        <v>[Wonbiogen] Kem gel silicone trị sẹo - RemScar® Gel (15g)</v>
      </c>
      <c r="C83" s="37" t="str">
        <f>INDEX(Product!$D:$D,MATCH($A83,Product!$A:$A,0))</f>
        <v>Gel trị sẹo</v>
      </c>
      <c r="D83" s="23" t="s">
        <v>2471</v>
      </c>
      <c r="E83" s="37" t="str">
        <f>INDEX('Attribute Definition'!$B:$B,MATCH($D83,'Attribute Definition'!$A:$A,0))</f>
        <v>Dạng sản phẩm</v>
      </c>
      <c r="F83" s="38" t="s">
        <v>2657</v>
      </c>
      <c r="G83" s="39" t="str" cm="1">
        <f t="array" ref="G83">_xlfn.TEXTJOIN("; ",TRUE,_xlfn.UNIQUE(_xlfn._xlws.FILTER('Product Variant Attribute'!$F$2:$F$3000,('Product Variant Attribute'!$B$2:$B$3000=$A83)*('Product Variant Attribute'!$D$2:$D$3000=$D83),"")))</f>
        <v>Gel / kem</v>
      </c>
      <c r="H83" s="39"/>
      <c r="I83" s="39"/>
      <c r="J83" s="39" t="str" cm="1">
        <f t="array" ref="J83">IF($I83="","",_xlfn.TEXTJOIN("; ",TRUE,_xlfn.UNIQUE(_xlfn._xlws.FILTER($A$2:$A$3000,($C$2:$C$3000=$C83)*($E$2:$E$3000=$E83)*($G$2:$G$3000&lt;&gt;$G83)*($G$2:$G$3000&lt;&gt;""),""))))</f>
        <v/>
      </c>
    </row>
    <row r="84" spans="1:10" x14ac:dyDescent="0.25">
      <c r="A84" s="23" t="s">
        <v>593</v>
      </c>
      <c r="B84" s="37" t="str">
        <f>INDEX(Product!$B:$B,MATCH($A84,Product!$A:$A,0))</f>
        <v>[Wonbiogen] Miếng dán silicone trị sẹo lồi, sẹo thâm - RemScar® TR (12cmx15cm)</v>
      </c>
      <c r="C84" s="37" t="str">
        <f>INDEX(Product!$D:$D,MATCH($A84,Product!$A:$A,0))</f>
        <v>Miếng dán trị sẹo</v>
      </c>
      <c r="D84" s="23" t="s">
        <v>2342</v>
      </c>
      <c r="E84" s="37" t="str">
        <f>INDEX('Attribute Definition'!$B:$B,MATCH($D84,'Attribute Definition'!$A:$A,0))</f>
        <v>Kích thước</v>
      </c>
      <c r="F84" s="38" t="s">
        <v>2657</v>
      </c>
      <c r="G84" s="39" t="str" cm="1">
        <f t="array" ref="G84">_xlfn.TEXTJOIN("; ",TRUE,_xlfn.UNIQUE(_xlfn._xlws.FILTER('Product Variant Attribute'!$F$2:$F$3000,('Product Variant Attribute'!$B$2:$B$3000=$A84)*('Product Variant Attribute'!$D$2:$D$3000=$D84),"")))</f>
        <v>12cmx15cm</v>
      </c>
      <c r="H84" s="39"/>
      <c r="I84" s="39"/>
      <c r="J84" s="39" t="str" cm="1">
        <f t="array" ref="J84">IF($I84="","",_xlfn.TEXTJOIN("; ",TRUE,_xlfn.UNIQUE(_xlfn._xlws.FILTER($A$2:$A$3000,($C$2:$C$3000=$C84)*($E$2:$E$3000=$E84)*($G$2:$G$3000&lt;&gt;$G84)*($G$2:$G$3000&lt;&gt;""),""))))</f>
        <v/>
      </c>
    </row>
    <row r="85" spans="1:10" x14ac:dyDescent="0.25">
      <c r="A85" s="23" t="s">
        <v>593</v>
      </c>
      <c r="B85" s="37" t="str">
        <f>INDEX(Product!$B:$B,MATCH($A85,Product!$A:$A,0))</f>
        <v>[Wonbiogen] Miếng dán silicone trị sẹo lồi, sẹo thâm - RemScar® TR (12cmx15cm)</v>
      </c>
      <c r="C85" s="37" t="str">
        <f>INDEX(Product!$D:$D,MATCH($A85,Product!$A:$A,0))</f>
        <v>Miếng dán trị sẹo</v>
      </c>
      <c r="D85" s="23" t="s">
        <v>2367</v>
      </c>
      <c r="E85" s="37" t="str">
        <f>INDEX('Attribute Definition'!$B:$B,MATCH($D85,'Attribute Definition'!$A:$A,0))</f>
        <v>Chất liệu</v>
      </c>
      <c r="F85" s="38" t="s">
        <v>2657</v>
      </c>
      <c r="G85" s="39" t="str" cm="1">
        <f t="array" ref="G85">_xlfn.TEXTJOIN("; ",TRUE,_xlfn.UNIQUE(_xlfn._xlws.FILTER('Product Variant Attribute'!$F$2:$F$3000,('Product Variant Attribute'!$B$2:$B$3000=$A85)*('Product Variant Attribute'!$D$2:$D$3000=$D85),"")))</f>
        <v>Silicone</v>
      </c>
      <c r="H85" s="39"/>
      <c r="I85" s="39"/>
      <c r="J85" s="39" t="str" cm="1">
        <f t="array" ref="J85">IF($I85="","",_xlfn.TEXTJOIN("; ",TRUE,_xlfn.UNIQUE(_xlfn._xlws.FILTER($A$2:$A$3000,($C$2:$C$3000=$C85)*($E$2:$E$3000=$E85)*($G$2:$G$3000&lt;&gt;$G85)*($G$2:$G$3000&lt;&gt;""),""))))</f>
        <v/>
      </c>
    </row>
    <row r="86" spans="1:10" x14ac:dyDescent="0.25">
      <c r="A86" s="23" t="s">
        <v>593</v>
      </c>
      <c r="B86" s="37" t="str">
        <f>INDEX(Product!$B:$B,MATCH($A86,Product!$A:$A,0))</f>
        <v>[Wonbiogen] Miếng dán silicone trị sẹo lồi, sẹo thâm - RemScar® TR (12cmx15cm)</v>
      </c>
      <c r="C86" s="37" t="str">
        <f>INDEX(Product!$D:$D,MATCH($A86,Product!$A:$A,0))</f>
        <v>Miếng dán trị sẹo</v>
      </c>
      <c r="D86" s="23" t="s">
        <v>2471</v>
      </c>
      <c r="E86" s="37" t="str">
        <f>INDEX('Attribute Definition'!$B:$B,MATCH($D86,'Attribute Definition'!$A:$A,0))</f>
        <v>Dạng sản phẩm</v>
      </c>
      <c r="F86" s="38" t="s">
        <v>2657</v>
      </c>
      <c r="G86" s="39" t="str" cm="1">
        <f t="array" ref="G86">_xlfn.TEXTJOIN("; ",TRUE,_xlfn.UNIQUE(_xlfn._xlws.FILTER('Product Variant Attribute'!$F$2:$F$3000,('Product Variant Attribute'!$B$2:$B$3000=$A86)*('Product Variant Attribute'!$D$2:$D$3000=$D86),"")))</f>
        <v>Miếng dán / gạc</v>
      </c>
      <c r="H86" s="39"/>
      <c r="I86" s="39"/>
      <c r="J86" s="39" t="str" cm="1">
        <f t="array" ref="J86">IF($I86="","",_xlfn.TEXTJOIN("; ",TRUE,_xlfn.UNIQUE(_xlfn._xlws.FILTER($A$2:$A$3000,($C$2:$C$3000=$C86)*($E$2:$E$3000=$E86)*($G$2:$G$3000&lt;&gt;$G86)*($G$2:$G$3000&lt;&gt;""),""))))</f>
        <v/>
      </c>
    </row>
    <row r="87" spans="1:10" x14ac:dyDescent="0.25">
      <c r="A87" s="23" t="s">
        <v>594</v>
      </c>
      <c r="B87" s="37" t="str">
        <f>INDEX(Product!$B:$B,MATCH($A87,Product!$A:$A,0))</f>
        <v>[Yafho] Gạc xốp hút dịch chống loét có viền dính silicone (18cmx18cm)</v>
      </c>
      <c r="C87" s="37" t="str">
        <f>INDEX(Product!$D:$D,MATCH($A87,Product!$A:$A,0))</f>
        <v>Gạc xốp hút dịch</v>
      </c>
      <c r="D87" s="23" t="s">
        <v>2342</v>
      </c>
      <c r="E87" s="37" t="str">
        <f>INDEX('Attribute Definition'!$B:$B,MATCH($D87,'Attribute Definition'!$A:$A,0))</f>
        <v>Kích thước</v>
      </c>
      <c r="F87" s="38" t="s">
        <v>2657</v>
      </c>
      <c r="G87" s="39" t="str" cm="1">
        <f t="array" ref="G87">_xlfn.TEXTJOIN("; ",TRUE,_xlfn.UNIQUE(_xlfn._xlws.FILTER('Product Variant Attribute'!$F$2:$F$3000,('Product Variant Attribute'!$B$2:$B$3000=$A87)*('Product Variant Attribute'!$D$2:$D$3000=$D87),"")))</f>
        <v>18cmx18cm</v>
      </c>
      <c r="H87" s="39"/>
      <c r="I87" s="39"/>
      <c r="J87" s="39" t="str" cm="1">
        <f t="array" ref="J87">IF($I87="","",_xlfn.TEXTJOIN("; ",TRUE,_xlfn.UNIQUE(_xlfn._xlws.FILTER($A$2:$A$3000,($C$2:$C$3000=$C87)*($E$2:$E$3000=$E87)*($G$2:$G$3000&lt;&gt;$G87)*($G$2:$G$3000&lt;&gt;""),""))))</f>
        <v/>
      </c>
    </row>
    <row r="88" spans="1:10" ht="90" x14ac:dyDescent="0.25">
      <c r="A88" s="23" t="s">
        <v>594</v>
      </c>
      <c r="B88" s="37" t="str">
        <f>INDEX(Product!$B:$B,MATCH($A88,Product!$A:$A,0))</f>
        <v>[Yafho] Gạc xốp hút dịch chống loét có viền dính silicone (18cmx18cm)</v>
      </c>
      <c r="C88" s="37" t="str">
        <f>INDEX(Product!$D:$D,MATCH($A88,Product!$A:$A,0))</f>
        <v>Gạc xốp hút dịch</v>
      </c>
      <c r="D88" s="23" t="s">
        <v>2367</v>
      </c>
      <c r="E88" s="37" t="str">
        <f>INDEX('Attribute Definition'!$B:$B,MATCH($D88,'Attribute Definition'!$A:$A,0))</f>
        <v>Chất liệu</v>
      </c>
      <c r="F88" s="38" t="s">
        <v>2657</v>
      </c>
      <c r="G88" s="39" t="str" cm="1">
        <f t="array" ref="G88">_xlfn.TEXTJOIN("; ",TRUE,_xlfn.UNIQUE(_xlfn._xlws.FILTER('Product Variant Attribute'!$F$2:$F$3000,('Product Variant Attribute'!$B$2:$B$3000=$A88)*('Product Variant Attribute'!$D$2:$D$3000=$D88),"")))</f>
        <v>Silicone, Polyurethane (PU)</v>
      </c>
      <c r="H88" s="39"/>
      <c r="I88" s="39" t="s">
        <v>2708</v>
      </c>
      <c r="J88" s="39" t="str" cm="1">
        <f t="array" ref="J88">IF($I88="","",_xlfn.TEXTJOIN("; ",TRUE,_xlfn.UNIQUE(_xlfn._xlws.FILTER($A$2:$A$3000,($C$2:$C$3000=$C88)*($E$2:$E$3000=$E88)*($G$2:$G$3000&lt;&gt;$G88)*($G$2:$G$3000&lt;&gt;""),""))))</f>
        <v>PRODUCT-00027; PRODUCT-00028; PRODUCT-00029; PRODUCT-00264; PRODUCT-00265; PRODUCT-00266; PRODUCT-00267; PRODUCT-00268; PRODUCT-00269; PRODUCT-00270; PRODUCT-00271; PRODUCT-00272</v>
      </c>
    </row>
    <row r="89" spans="1:10" ht="75" x14ac:dyDescent="0.25">
      <c r="A89" s="23" t="s">
        <v>594</v>
      </c>
      <c r="B89" s="37" t="str">
        <f>INDEX(Product!$B:$B,MATCH($A89,Product!$A:$A,0))</f>
        <v>[Yafho] Gạc xốp hút dịch chống loét có viền dính silicone (18cmx18cm)</v>
      </c>
      <c r="C89" s="37" t="str">
        <f>INDEX(Product!$D:$D,MATCH($A89,Product!$A:$A,0))</f>
        <v>Gạc xốp hút dịch</v>
      </c>
      <c r="D89" s="23" t="s">
        <v>2391</v>
      </c>
      <c r="E89" s="37" t="str">
        <f>INDEX('Attribute Definition'!$B:$B,MATCH($D89,'Attribute Definition'!$A:$A,0))</f>
        <v>Kiểu viền</v>
      </c>
      <c r="F89" s="38" t="s">
        <v>2657</v>
      </c>
      <c r="G89" s="39" t="str" cm="1">
        <f t="array" ref="G89">_xlfn.TEXTJOIN("; ",TRUE,_xlfn.UNIQUE(_xlfn._xlws.FILTER('Product Variant Attribute'!$F$2:$F$3000,('Product Variant Attribute'!$B$2:$B$3000=$A89)*('Product Variant Attribute'!$D$2:$D$3000=$D89),"")))</f>
        <v>Viền dính silicone</v>
      </c>
      <c r="H89" s="39"/>
      <c r="I89" s="39" t="s">
        <v>2709</v>
      </c>
      <c r="J89" s="39" t="str" cm="1">
        <f t="array" ref="J89">IF($I89="","",_xlfn.TEXTJOIN("; ",TRUE,_xlfn.UNIQUE(_xlfn._xlws.FILTER($A$2:$A$3000,($C$2:$C$3000=$C89)*($E$2:$E$3000=$E89)*($G$2:$G$3000&lt;&gt;$G89)*($G$2:$G$3000&lt;&gt;""),""))))</f>
        <v>PRODUCT-00027; PRODUCT-00028; PRODUCT-00264; PRODUCT-00265; PRODUCT-00266; PRODUCT-00267; PRODUCT-00268; PRODUCT-00269; PRODUCT-00270; PRODUCT-00271</v>
      </c>
    </row>
    <row r="90" spans="1:10" x14ac:dyDescent="0.25">
      <c r="A90" s="23" t="s">
        <v>594</v>
      </c>
      <c r="B90" s="37" t="str">
        <f>INDEX(Product!$B:$B,MATCH($A90,Product!$A:$A,0))</f>
        <v>[Yafho] Gạc xốp hút dịch chống loét có viền dính silicone (18cmx18cm)</v>
      </c>
      <c r="C90" s="37" t="str">
        <f>INDEX(Product!$D:$D,MATCH($A90,Product!$A:$A,0))</f>
        <v>Gạc xốp hút dịch</v>
      </c>
      <c r="D90" s="23" t="s">
        <v>2471</v>
      </c>
      <c r="E90" s="37" t="str">
        <f>INDEX('Attribute Definition'!$B:$B,MATCH($D90,'Attribute Definition'!$A:$A,0))</f>
        <v>Dạng sản phẩm</v>
      </c>
      <c r="F90" s="38" t="s">
        <v>2657</v>
      </c>
      <c r="G90" s="39" t="str" cm="1">
        <f t="array" ref="G90">_xlfn.TEXTJOIN("; ",TRUE,_xlfn.UNIQUE(_xlfn._xlws.FILTER('Product Variant Attribute'!$F$2:$F$3000,('Product Variant Attribute'!$B$2:$B$3000=$A90)*('Product Variant Attribute'!$D$2:$D$3000=$D90),"")))</f>
        <v>Miếng dán / gạc</v>
      </c>
      <c r="H90" s="39"/>
      <c r="I90" s="39"/>
      <c r="J90" s="39" t="str" cm="1">
        <f t="array" ref="J90">IF($I90="","",_xlfn.TEXTJOIN("; ",TRUE,_xlfn.UNIQUE(_xlfn._xlws.FILTER($A$2:$A$3000,($C$2:$C$3000=$C90)*($E$2:$E$3000=$E90)*($G$2:$G$3000&lt;&gt;$G90)*($G$2:$G$3000&lt;&gt;""),""))))</f>
        <v/>
      </c>
    </row>
    <row r="91" spans="1:10" x14ac:dyDescent="0.25">
      <c r="A91" s="23" t="s">
        <v>595</v>
      </c>
      <c r="B91" s="37" t="str">
        <f>INDEX(Product!$B:$B,MATCH($A91,Product!$A:$A,0))</f>
        <v>[Young Chemical Vina] Băng gạc vô trùng - Young Wound Dressing (6cmx7cm)</v>
      </c>
      <c r="C91" s="37" t="str">
        <f>INDEX(Product!$D:$D,MATCH($A91,Product!$A:$A,0))</f>
        <v>Băng gạc vô trùng</v>
      </c>
      <c r="D91" s="23" t="s">
        <v>2342</v>
      </c>
      <c r="E91" s="37" t="str">
        <f>INDEX('Attribute Definition'!$B:$B,MATCH($D91,'Attribute Definition'!$A:$A,0))</f>
        <v>Kích thước</v>
      </c>
      <c r="F91" s="38" t="s">
        <v>2657</v>
      </c>
      <c r="G91" s="39" t="str" cm="1">
        <f t="array" ref="G91">_xlfn.TEXTJOIN("; ",TRUE,_xlfn.UNIQUE(_xlfn._xlws.FILTER('Product Variant Attribute'!$F$2:$F$3000,('Product Variant Attribute'!$B$2:$B$3000=$A91)*('Product Variant Attribute'!$D$2:$D$3000=$D91),"")))</f>
        <v>6cmx7cm</v>
      </c>
      <c r="H91" s="39"/>
      <c r="I91" s="39"/>
      <c r="J91" s="39" t="str" cm="1">
        <f t="array" ref="J91">IF($I91="","",_xlfn.TEXTJOIN("; ",TRUE,_xlfn.UNIQUE(_xlfn._xlws.FILTER($A$2:$A$3000,($C$2:$C$3000=$C91)*($E$2:$E$3000=$E91)*($G$2:$G$3000&lt;&gt;$G91)*($G$2:$G$3000&lt;&gt;""),""))))</f>
        <v/>
      </c>
    </row>
    <row r="92" spans="1:10" x14ac:dyDescent="0.25">
      <c r="A92" s="23" t="s">
        <v>595</v>
      </c>
      <c r="B92" s="37" t="str">
        <f>INDEX(Product!$B:$B,MATCH($A92,Product!$A:$A,0))</f>
        <v>[Young Chemical Vina] Băng gạc vô trùng - Young Wound Dressing (6cmx7cm)</v>
      </c>
      <c r="C92" s="37" t="str">
        <f>INDEX(Product!$D:$D,MATCH($A92,Product!$A:$A,0))</f>
        <v>Băng gạc vô trùng</v>
      </c>
      <c r="D92" s="23" t="s">
        <v>2374</v>
      </c>
      <c r="E92" s="37" t="str">
        <f>INDEX('Attribute Definition'!$B:$B,MATCH($D92,'Attribute Definition'!$A:$A,0))</f>
        <v>Vô trùng</v>
      </c>
      <c r="F92" s="38" t="s">
        <v>2657</v>
      </c>
      <c r="G92" s="39" t="str" cm="1">
        <f t="array" ref="G92">_xlfn.TEXTJOIN("; ",TRUE,_xlfn.UNIQUE(_xlfn._xlws.FILTER('Product Variant Attribute'!$F$2:$F$3000,('Product Variant Attribute'!$B$2:$B$3000=$A92)*('Product Variant Attribute'!$D$2:$D$3000=$D92),"")))</f>
        <v>Có</v>
      </c>
      <c r="H92" s="39"/>
      <c r="I92" s="39"/>
      <c r="J92" s="39" t="str" cm="1">
        <f t="array" ref="J92">IF($I92="","",_xlfn.TEXTJOIN("; ",TRUE,_xlfn.UNIQUE(_xlfn._xlws.FILTER($A$2:$A$3000,($C$2:$C$3000=$C92)*($E$2:$E$3000=$E92)*($G$2:$G$3000&lt;&gt;$G92)*($G$2:$G$3000&lt;&gt;""),""))))</f>
        <v/>
      </c>
    </row>
    <row r="93" spans="1:10" x14ac:dyDescent="0.25">
      <c r="A93" s="23" t="s">
        <v>595</v>
      </c>
      <c r="B93" s="37" t="str">
        <f>INDEX(Product!$B:$B,MATCH($A93,Product!$A:$A,0))</f>
        <v>[Young Chemical Vina] Băng gạc vô trùng - Young Wound Dressing (6cmx7cm)</v>
      </c>
      <c r="C93" s="37" t="str">
        <f>INDEX(Product!$D:$D,MATCH($A93,Product!$A:$A,0))</f>
        <v>Băng gạc vô trùng</v>
      </c>
      <c r="D93" s="23" t="s">
        <v>2471</v>
      </c>
      <c r="E93" s="37" t="str">
        <f>INDEX('Attribute Definition'!$B:$B,MATCH($D93,'Attribute Definition'!$A:$A,0))</f>
        <v>Dạng sản phẩm</v>
      </c>
      <c r="F93" s="38" t="s">
        <v>2657</v>
      </c>
      <c r="G93" s="39" t="str" cm="1">
        <f t="array" ref="G93">_xlfn.TEXTJOIN("; ",TRUE,_xlfn.UNIQUE(_xlfn._xlws.FILTER('Product Variant Attribute'!$F$2:$F$3000,('Product Variant Attribute'!$B$2:$B$3000=$A93)*('Product Variant Attribute'!$D$2:$D$3000=$D93),"")))</f>
        <v>Miếng dán / gạc</v>
      </c>
      <c r="H93" s="39"/>
      <c r="I93" s="39"/>
      <c r="J93" s="39" t="str" cm="1">
        <f t="array" ref="J93">IF($I93="","",_xlfn.TEXTJOIN("; ",TRUE,_xlfn.UNIQUE(_xlfn._xlws.FILTER($A$2:$A$3000,($C$2:$C$3000=$C93)*($E$2:$E$3000=$E93)*($G$2:$G$3000&lt;&gt;$G93)*($G$2:$G$3000&lt;&gt;""),""))))</f>
        <v/>
      </c>
    </row>
    <row r="94" spans="1:10" x14ac:dyDescent="0.25">
      <c r="A94" s="23" t="s">
        <v>596</v>
      </c>
      <c r="B94" s="37" t="str">
        <f>INDEX(Product!$B:$B,MATCH($A94,Product!$A:$A,0))</f>
        <v>[Young Chemical Vina] Băng gạc vô trùng không thấm nước - Sterile Adflex (With-Pad) (6cmx7cm)</v>
      </c>
      <c r="C94" s="37" t="str">
        <f>INDEX(Product!$D:$D,MATCH($A94,Product!$A:$A,0))</f>
        <v>Băng gạc vô trùng</v>
      </c>
      <c r="D94" s="23" t="s">
        <v>2342</v>
      </c>
      <c r="E94" s="37" t="str">
        <f>INDEX('Attribute Definition'!$B:$B,MATCH($D94,'Attribute Definition'!$A:$A,0))</f>
        <v>Kích thước</v>
      </c>
      <c r="F94" s="38" t="s">
        <v>2657</v>
      </c>
      <c r="G94" s="39" t="str" cm="1">
        <f t="array" ref="G94">_xlfn.TEXTJOIN("; ",TRUE,_xlfn.UNIQUE(_xlfn._xlws.FILTER('Product Variant Attribute'!$F$2:$F$3000,('Product Variant Attribute'!$B$2:$B$3000=$A94)*('Product Variant Attribute'!$D$2:$D$3000=$D94),"")))</f>
        <v>6cmx7cm</v>
      </c>
      <c r="H94" s="39"/>
      <c r="I94" s="39"/>
      <c r="J94" s="39" t="str" cm="1">
        <f t="array" ref="J94">IF($I94="","",_xlfn.TEXTJOIN("; ",TRUE,_xlfn.UNIQUE(_xlfn._xlws.FILTER($A$2:$A$3000,($C$2:$C$3000=$C94)*($E$2:$E$3000=$E94)*($G$2:$G$3000&lt;&gt;$G94)*($G$2:$G$3000&lt;&gt;""),""))))</f>
        <v/>
      </c>
    </row>
    <row r="95" spans="1:10" x14ac:dyDescent="0.25">
      <c r="A95" s="23" t="s">
        <v>596</v>
      </c>
      <c r="B95" s="37" t="str">
        <f>INDEX(Product!$B:$B,MATCH($A95,Product!$A:$A,0))</f>
        <v>[Young Chemical Vina] Băng gạc vô trùng không thấm nước - Sterile Adflex (With-Pad) (6cmx7cm)</v>
      </c>
      <c r="C95" s="37" t="str">
        <f>INDEX(Product!$D:$D,MATCH($A95,Product!$A:$A,0))</f>
        <v>Băng gạc vô trùng</v>
      </c>
      <c r="D95" s="23" t="s">
        <v>2374</v>
      </c>
      <c r="E95" s="37" t="str">
        <f>INDEX('Attribute Definition'!$B:$B,MATCH($D95,'Attribute Definition'!$A:$A,0))</f>
        <v>Vô trùng</v>
      </c>
      <c r="F95" s="38" t="s">
        <v>2657</v>
      </c>
      <c r="G95" s="39" t="str" cm="1">
        <f t="array" ref="G95">_xlfn.TEXTJOIN("; ",TRUE,_xlfn.UNIQUE(_xlfn._xlws.FILTER('Product Variant Attribute'!$F$2:$F$3000,('Product Variant Attribute'!$B$2:$B$3000=$A95)*('Product Variant Attribute'!$D$2:$D$3000=$D95),"")))</f>
        <v>Có</v>
      </c>
      <c r="H95" s="39"/>
      <c r="I95" s="39"/>
      <c r="J95" s="39" t="str" cm="1">
        <f t="array" ref="J95">IF($I95="","",_xlfn.TEXTJOIN("; ",TRUE,_xlfn.UNIQUE(_xlfn._xlws.FILTER($A$2:$A$3000,($C$2:$C$3000=$C95)*($E$2:$E$3000=$E95)*($G$2:$G$3000&lt;&gt;$G95)*($G$2:$G$3000&lt;&gt;""),""))))</f>
        <v/>
      </c>
    </row>
    <row r="96" spans="1:10" x14ac:dyDescent="0.25">
      <c r="A96" s="23" t="s">
        <v>596</v>
      </c>
      <c r="B96" s="37" t="str">
        <f>INDEX(Product!$B:$B,MATCH($A96,Product!$A:$A,0))</f>
        <v>[Young Chemical Vina] Băng gạc vô trùng không thấm nước - Sterile Adflex (With-Pad) (6cmx7cm)</v>
      </c>
      <c r="C96" s="37" t="str">
        <f>INDEX(Product!$D:$D,MATCH($A96,Product!$A:$A,0))</f>
        <v>Băng gạc vô trùng</v>
      </c>
      <c r="D96" s="23" t="s">
        <v>2381</v>
      </c>
      <c r="E96" s="37" t="str">
        <f>INDEX('Attribute Definition'!$B:$B,MATCH($D96,'Attribute Definition'!$A:$A,0))</f>
        <v>Chống nước</v>
      </c>
      <c r="F96" s="38" t="s">
        <v>2657</v>
      </c>
      <c r="G96" s="39" t="str" cm="1">
        <f t="array" ref="G96">_xlfn.TEXTJOIN("; ",TRUE,_xlfn.UNIQUE(_xlfn._xlws.FILTER('Product Variant Attribute'!$F$2:$F$3000,('Product Variant Attribute'!$B$2:$B$3000=$A96)*('Product Variant Attribute'!$D$2:$D$3000=$D96),"")))</f>
        <v>Có</v>
      </c>
      <c r="H96" s="39"/>
      <c r="I96" s="39"/>
      <c r="J96" s="39" t="str" cm="1">
        <f t="array" ref="J96">IF($I96="","",_xlfn.TEXTJOIN("; ",TRUE,_xlfn.UNIQUE(_xlfn._xlws.FILTER($A$2:$A$3000,($C$2:$C$3000=$C96)*($E$2:$E$3000=$E96)*($G$2:$G$3000&lt;&gt;$G96)*($G$2:$G$3000&lt;&gt;""),""))))</f>
        <v/>
      </c>
    </row>
    <row r="97" spans="1:10" x14ac:dyDescent="0.25">
      <c r="A97" s="23" t="s">
        <v>596</v>
      </c>
      <c r="B97" s="37" t="str">
        <f>INDEX(Product!$B:$B,MATCH($A97,Product!$A:$A,0))</f>
        <v>[Young Chemical Vina] Băng gạc vô trùng không thấm nước - Sterile Adflex (With-Pad) (6cmx7cm)</v>
      </c>
      <c r="C97" s="37" t="str">
        <f>INDEX(Product!$D:$D,MATCH($A97,Product!$A:$A,0))</f>
        <v>Băng gạc vô trùng</v>
      </c>
      <c r="D97" s="23" t="s">
        <v>2471</v>
      </c>
      <c r="E97" s="37" t="str">
        <f>INDEX('Attribute Definition'!$B:$B,MATCH($D97,'Attribute Definition'!$A:$A,0))</f>
        <v>Dạng sản phẩm</v>
      </c>
      <c r="F97" s="38" t="s">
        <v>2657</v>
      </c>
      <c r="G97" s="39" t="str" cm="1">
        <f t="array" ref="G97">_xlfn.TEXTJOIN("; ",TRUE,_xlfn.UNIQUE(_xlfn._xlws.FILTER('Product Variant Attribute'!$F$2:$F$3000,('Product Variant Attribute'!$B$2:$B$3000=$A97)*('Product Variant Attribute'!$D$2:$D$3000=$D97),"")))</f>
        <v>Miếng dán / gạc</v>
      </c>
      <c r="H97" s="39"/>
      <c r="I97" s="39"/>
      <c r="J97" s="39" t="str" cm="1">
        <f t="array" ref="J97">IF($I97="","",_xlfn.TEXTJOIN("; ",TRUE,_xlfn.UNIQUE(_xlfn._xlws.FILTER($A$2:$A$3000,($C$2:$C$3000=$C97)*($E$2:$E$3000=$E97)*($G$2:$G$3000&lt;&gt;$G97)*($G$2:$G$3000&lt;&gt;""),""))))</f>
        <v/>
      </c>
    </row>
    <row r="98" spans="1:10" x14ac:dyDescent="0.25">
      <c r="A98" s="23" t="s">
        <v>597</v>
      </c>
      <c r="B98" s="37" t="str">
        <f>INDEX(Product!$B:$B,MATCH($A98,Product!$A:$A,0))</f>
        <v>[Young Chemical Vina] Băng keo cá nhân hộp thiếc - Pororo</v>
      </c>
      <c r="C98" s="37" t="str">
        <f>INDEX(Product!$D:$D,MATCH($A98,Product!$A:$A,0))</f>
        <v>Băng keo cá nhân</v>
      </c>
      <c r="D98" s="23" t="s">
        <v>2386</v>
      </c>
      <c r="E98" s="37" t="str">
        <f>INDEX('Attribute Definition'!$B:$B,MATCH($D98,'Attribute Definition'!$A:$A,0))</f>
        <v>Thành phần kháng khuẩn</v>
      </c>
      <c r="F98" s="38" t="s">
        <v>2657</v>
      </c>
      <c r="G98" s="39" t="str" cm="1">
        <f t="array" ref="G98">_xlfn.TEXTJOIN("; ",TRUE,_xlfn.UNIQUE(_xlfn._xlws.FILTER('Product Variant Attribute'!$F$2:$F$3000,('Product Variant Attribute'!$B$2:$B$3000=$A98)*('Product Variant Attribute'!$D$2:$D$3000=$D98),"")))</f>
        <v>Benzalkonium Chloride</v>
      </c>
      <c r="H98" s="39"/>
      <c r="I98" s="39"/>
      <c r="J98" s="39" t="str" cm="1">
        <f t="array" ref="J98">IF($I98="","",_xlfn.TEXTJOIN("; ",TRUE,_xlfn.UNIQUE(_xlfn._xlws.FILTER($A$2:$A$3000,($C$2:$C$3000=$C98)*($E$2:$E$3000=$E98)*($G$2:$G$3000&lt;&gt;$G98)*($G$2:$G$3000&lt;&gt;""),""))))</f>
        <v/>
      </c>
    </row>
    <row r="99" spans="1:10" ht="30" x14ac:dyDescent="0.25">
      <c r="A99" s="23" t="s">
        <v>597</v>
      </c>
      <c r="B99" s="37" t="str">
        <f>INDEX(Product!$B:$B,MATCH($A99,Product!$A:$A,0))</f>
        <v>[Young Chemical Vina] Băng keo cá nhân hộp thiếc - Pororo</v>
      </c>
      <c r="C99" s="37" t="str">
        <f>INDEX(Product!$D:$D,MATCH($A99,Product!$A:$A,0))</f>
        <v>Băng keo cá nhân</v>
      </c>
      <c r="D99" s="23" t="s">
        <v>2464</v>
      </c>
      <c r="E99" s="37" t="str">
        <f>INDEX('Attribute Definition'!$B:$B,MATCH($D99,'Attribute Definition'!$A:$A,0))</f>
        <v>Màu sắc</v>
      </c>
      <c r="F99" s="38" t="s">
        <v>2485</v>
      </c>
      <c r="G99" s="39" t="str" cm="1">
        <f t="array" ref="G99">_xlfn.TEXTJOIN("; ",TRUE,_xlfn.UNIQUE(_xlfn._xlws.FILTER('Product Variant Attribute'!$F$2:$F$3000,('Product Variant Attribute'!$B$2:$B$3000=$A99)*('Product Variant Attribute'!$D$2:$D$3000=$D99),"")))</f>
        <v>Hồng; Vàng</v>
      </c>
      <c r="H99" s="39" t="s">
        <v>2667</v>
      </c>
      <c r="I99" s="39"/>
      <c r="J99" s="39" t="str" cm="1">
        <f t="array" ref="J99">IF($I99="","",_xlfn.TEXTJOIN("; ",TRUE,_xlfn.UNIQUE(_xlfn._xlws.FILTER($A$2:$A$3000,($C$2:$C$3000=$C99)*($E$2:$E$3000=$E99)*($G$2:$G$3000&lt;&gt;$G99)*($G$2:$G$3000&lt;&gt;""),""))))</f>
        <v/>
      </c>
    </row>
    <row r="100" spans="1:10" x14ac:dyDescent="0.25">
      <c r="A100" s="23" t="s">
        <v>597</v>
      </c>
      <c r="B100" s="37" t="str">
        <f>INDEX(Product!$B:$B,MATCH($A100,Product!$A:$A,0))</f>
        <v>[Young Chemical Vina] Băng keo cá nhân hộp thiếc - Pororo</v>
      </c>
      <c r="C100" s="37" t="str">
        <f>INDEX(Product!$D:$D,MATCH($A100,Product!$A:$A,0))</f>
        <v>Băng keo cá nhân</v>
      </c>
      <c r="D100" s="23" t="s">
        <v>2471</v>
      </c>
      <c r="E100" s="37" t="str">
        <f>INDEX('Attribute Definition'!$B:$B,MATCH($D100,'Attribute Definition'!$A:$A,0))</f>
        <v>Dạng sản phẩm</v>
      </c>
      <c r="F100" s="38" t="s">
        <v>2657</v>
      </c>
      <c r="G100" s="39" t="str" cm="1">
        <f t="array" ref="G100">_xlfn.TEXTJOIN("; ",TRUE,_xlfn.UNIQUE(_xlfn._xlws.FILTER('Product Variant Attribute'!$F$2:$F$3000,('Product Variant Attribute'!$B$2:$B$3000=$A100)*('Product Variant Attribute'!$D$2:$D$3000=$D100),"")))</f>
        <v>Băng keo cá nhân</v>
      </c>
      <c r="H100" s="39"/>
      <c r="I100" s="39"/>
      <c r="J100" s="39" t="str" cm="1">
        <f t="array" ref="J100">IF($I100="","",_xlfn.TEXTJOIN("; ",TRUE,_xlfn.UNIQUE(_xlfn._xlws.FILTER($A$2:$A$3000,($C$2:$C$3000=$C100)*($E$2:$E$3000=$E100)*($G$2:$G$3000&lt;&gt;$G100)*($G$2:$G$3000&lt;&gt;""),""))))</f>
        <v/>
      </c>
    </row>
    <row r="101" spans="1:10" x14ac:dyDescent="0.25">
      <c r="A101" s="23" t="s">
        <v>598</v>
      </c>
      <c r="B101" s="37" t="str">
        <f>INDEX(Product!$B:$B,MATCH($A101,Product!$A:$A,0))</f>
        <v>[Young Chemical Vina] Băng keo cá nhân in hình trẻ em - Pororo (72mmx18mm)</v>
      </c>
      <c r="C101" s="37" t="str">
        <f>INDEX(Product!$D:$D,MATCH($A101,Product!$A:$A,0))</f>
        <v>Băng keo cá nhân</v>
      </c>
      <c r="D101" s="23" t="s">
        <v>2342</v>
      </c>
      <c r="E101" s="37" t="str">
        <f>INDEX('Attribute Definition'!$B:$B,MATCH($D101,'Attribute Definition'!$A:$A,0))</f>
        <v>Kích thước</v>
      </c>
      <c r="F101" s="38" t="s">
        <v>2657</v>
      </c>
      <c r="G101" s="39" t="str" cm="1">
        <f t="array" ref="G101">_xlfn.TEXTJOIN("; ",TRUE,_xlfn.UNIQUE(_xlfn._xlws.FILTER('Product Variant Attribute'!$F$2:$F$3000,('Product Variant Attribute'!$B$2:$B$3000=$A101)*('Product Variant Attribute'!$D$2:$D$3000=$D101),"")))</f>
        <v>72mmx18mm</v>
      </c>
      <c r="H101" s="39"/>
      <c r="I101" s="39"/>
      <c r="J101" s="39" t="str" cm="1">
        <f t="array" ref="J101">IF($I101="","",_xlfn.TEXTJOIN("; ",TRUE,_xlfn.UNIQUE(_xlfn._xlws.FILTER($A$2:$A$3000,($C$2:$C$3000=$C101)*($E$2:$E$3000=$E101)*($G$2:$G$3000&lt;&gt;$G101)*($G$2:$G$3000&lt;&gt;""),""))))</f>
        <v/>
      </c>
    </row>
    <row r="102" spans="1:10" x14ac:dyDescent="0.25">
      <c r="A102" s="23" t="s">
        <v>598</v>
      </c>
      <c r="B102" s="37" t="str">
        <f>INDEX(Product!$B:$B,MATCH($A102,Product!$A:$A,0))</f>
        <v>[Young Chemical Vina] Băng keo cá nhân in hình trẻ em - Pororo (72mmx18mm)</v>
      </c>
      <c r="C102" s="37" t="str">
        <f>INDEX(Product!$D:$D,MATCH($A102,Product!$A:$A,0))</f>
        <v>Băng keo cá nhân</v>
      </c>
      <c r="D102" s="23" t="s">
        <v>2386</v>
      </c>
      <c r="E102" s="37" t="str">
        <f>INDEX('Attribute Definition'!$B:$B,MATCH($D102,'Attribute Definition'!$A:$A,0))</f>
        <v>Thành phần kháng khuẩn</v>
      </c>
      <c r="F102" s="38" t="s">
        <v>2657</v>
      </c>
      <c r="G102" s="39" t="str" cm="1">
        <f t="array" ref="G102">_xlfn.TEXTJOIN("; ",TRUE,_xlfn.UNIQUE(_xlfn._xlws.FILTER('Product Variant Attribute'!$F$2:$F$3000,('Product Variant Attribute'!$B$2:$B$3000=$A102)*('Product Variant Attribute'!$D$2:$D$3000=$D102),"")))</f>
        <v>Benzalkonium Chloride</v>
      </c>
      <c r="H102" s="39"/>
      <c r="I102" s="39"/>
      <c r="J102" s="39" t="str" cm="1">
        <f t="array" ref="J102">IF($I102="","",_xlfn.TEXTJOIN("; ",TRUE,_xlfn.UNIQUE(_xlfn._xlws.FILTER($A$2:$A$3000,($C$2:$C$3000=$C102)*($E$2:$E$3000=$E102)*($G$2:$G$3000&lt;&gt;$G102)*($G$2:$G$3000&lt;&gt;""),""))))</f>
        <v/>
      </c>
    </row>
    <row r="103" spans="1:10" x14ac:dyDescent="0.25">
      <c r="A103" s="23" t="s">
        <v>598</v>
      </c>
      <c r="B103" s="37" t="str">
        <f>INDEX(Product!$B:$B,MATCH($A103,Product!$A:$A,0))</f>
        <v>[Young Chemical Vina] Băng keo cá nhân in hình trẻ em - Pororo (72mmx18mm)</v>
      </c>
      <c r="C103" s="37" t="str">
        <f>INDEX(Product!$D:$D,MATCH($A103,Product!$A:$A,0))</f>
        <v>Băng keo cá nhân</v>
      </c>
      <c r="D103" s="23" t="s">
        <v>2449</v>
      </c>
      <c r="E103" s="37" t="str">
        <f>INDEX('Attribute Definition'!$B:$B,MATCH($D103,'Attribute Definition'!$A:$A,0))</f>
        <v>Đối tượng sử dụng</v>
      </c>
      <c r="F103" s="38" t="s">
        <v>2657</v>
      </c>
      <c r="G103" s="39" t="str" cm="1">
        <f t="array" ref="G103">_xlfn.TEXTJOIN("; ",TRUE,_xlfn.UNIQUE(_xlfn._xlws.FILTER('Product Variant Attribute'!$F$2:$F$3000,('Product Variant Attribute'!$B$2:$B$3000=$A103)*('Product Variant Attribute'!$D$2:$D$3000=$D103),"")))</f>
        <v>Trẻ em</v>
      </c>
      <c r="H103" s="39"/>
      <c r="I103" s="39"/>
      <c r="J103" s="39" t="str" cm="1">
        <f t="array" ref="J103">IF($I103="","",_xlfn.TEXTJOIN("; ",TRUE,_xlfn.UNIQUE(_xlfn._xlws.FILTER($A$2:$A$3000,($C$2:$C$3000=$C103)*($E$2:$E$3000=$E103)*($G$2:$G$3000&lt;&gt;$G103)*($G$2:$G$3000&lt;&gt;""),""))))</f>
        <v/>
      </c>
    </row>
    <row r="104" spans="1:10" x14ac:dyDescent="0.25">
      <c r="A104" s="23" t="s">
        <v>598</v>
      </c>
      <c r="B104" s="37" t="str">
        <f>INDEX(Product!$B:$B,MATCH($A104,Product!$A:$A,0))</f>
        <v>[Young Chemical Vina] Băng keo cá nhân in hình trẻ em - Pororo (72mmx18mm)</v>
      </c>
      <c r="C104" s="37" t="str">
        <f>INDEX(Product!$D:$D,MATCH($A104,Product!$A:$A,0))</f>
        <v>Băng keo cá nhân</v>
      </c>
      <c r="D104" s="23" t="s">
        <v>2464</v>
      </c>
      <c r="E104" s="37" t="str">
        <f>INDEX('Attribute Definition'!$B:$B,MATCH($D104,'Attribute Definition'!$A:$A,0))</f>
        <v>Màu sắc</v>
      </c>
      <c r="F104" s="38" t="s">
        <v>2657</v>
      </c>
      <c r="G104" s="39" t="str" cm="1">
        <f t="array" ref="G104">_xlfn.TEXTJOIN("; ",TRUE,_xlfn.UNIQUE(_xlfn._xlws.FILTER('Product Variant Attribute'!$F$2:$F$3000,('Product Variant Attribute'!$B$2:$B$3000=$A104)*('Product Variant Attribute'!$D$2:$D$3000=$D104),"")))</f>
        <v>In hình hoạt hình</v>
      </c>
      <c r="H104" s="39"/>
      <c r="I104" s="39"/>
      <c r="J104" s="39" t="str" cm="1">
        <f t="array" ref="J104">IF($I104="","",_xlfn.TEXTJOIN("; ",TRUE,_xlfn.UNIQUE(_xlfn._xlws.FILTER($A$2:$A$3000,($C$2:$C$3000=$C104)*($E$2:$E$3000=$E104)*($G$2:$G$3000&lt;&gt;$G104)*($G$2:$G$3000&lt;&gt;""),""))))</f>
        <v/>
      </c>
    </row>
    <row r="105" spans="1:10" x14ac:dyDescent="0.25">
      <c r="A105" s="23" t="s">
        <v>598</v>
      </c>
      <c r="B105" s="37" t="str">
        <f>INDEX(Product!$B:$B,MATCH($A105,Product!$A:$A,0))</f>
        <v>[Young Chemical Vina] Băng keo cá nhân in hình trẻ em - Pororo (72mmx18mm)</v>
      </c>
      <c r="C105" s="37" t="str">
        <f>INDEX(Product!$D:$D,MATCH($A105,Product!$A:$A,0))</f>
        <v>Băng keo cá nhân</v>
      </c>
      <c r="D105" s="23" t="s">
        <v>2471</v>
      </c>
      <c r="E105" s="37" t="str">
        <f>INDEX('Attribute Definition'!$B:$B,MATCH($D105,'Attribute Definition'!$A:$A,0))</f>
        <v>Dạng sản phẩm</v>
      </c>
      <c r="F105" s="38" t="s">
        <v>2657</v>
      </c>
      <c r="G105" s="39" t="str" cm="1">
        <f t="array" ref="G105">_xlfn.TEXTJOIN("; ",TRUE,_xlfn.UNIQUE(_xlfn._xlws.FILTER('Product Variant Attribute'!$F$2:$F$3000,('Product Variant Attribute'!$B$2:$B$3000=$A105)*('Product Variant Attribute'!$D$2:$D$3000=$D105),"")))</f>
        <v>Băng keo cá nhân</v>
      </c>
      <c r="H105" s="39"/>
      <c r="I105" s="39"/>
      <c r="J105" s="39" t="str" cm="1">
        <f t="array" ref="J105">IF($I105="","",_xlfn.TEXTJOIN("; ",TRUE,_xlfn.UNIQUE(_xlfn._xlws.FILTER($A$2:$A$3000,($C$2:$C$3000=$C105)*($E$2:$E$3000=$E105)*($G$2:$G$3000&lt;&gt;$G105)*($G$2:$G$3000&lt;&gt;""),""))))</f>
        <v/>
      </c>
    </row>
    <row r="106" spans="1:10" x14ac:dyDescent="0.25">
      <c r="A106" s="23" t="s">
        <v>599</v>
      </c>
      <c r="B106" s="37" t="str">
        <f>INDEX(Product!$B:$B,MATCH($A106,Product!$A:$A,0))</f>
        <v>[Young Chemical Vina] Băng keo cá nhân màu da - Ace-band ∅22mm</v>
      </c>
      <c r="C106" s="37" t="str">
        <f>INDEX(Product!$D:$D,MATCH($A106,Product!$A:$A,0))</f>
        <v>Băng keo cá nhân</v>
      </c>
      <c r="D106" s="23" t="s">
        <v>2342</v>
      </c>
      <c r="E106" s="37" t="str">
        <f>INDEX('Attribute Definition'!$B:$B,MATCH($D106,'Attribute Definition'!$A:$A,0))</f>
        <v>Kích thước</v>
      </c>
      <c r="F106" s="38" t="s">
        <v>2657</v>
      </c>
      <c r="G106" s="39" t="str" cm="1">
        <f t="array" ref="G106">_xlfn.TEXTJOIN("; ",TRUE,_xlfn.UNIQUE(_xlfn._xlws.FILTER('Product Variant Attribute'!$F$2:$F$3000,('Product Variant Attribute'!$B$2:$B$3000=$A106)*('Product Variant Attribute'!$D$2:$D$3000=$D106),"")))</f>
        <v>Ø22mm</v>
      </c>
      <c r="H106" s="39"/>
      <c r="I106" s="39"/>
      <c r="J106" s="39" t="str" cm="1">
        <f t="array" ref="J106">IF($I106="","",_xlfn.TEXTJOIN("; ",TRUE,_xlfn.UNIQUE(_xlfn._xlws.FILTER($A$2:$A$3000,($C$2:$C$3000=$C106)*($E$2:$E$3000=$E106)*($G$2:$G$3000&lt;&gt;$G106)*($G$2:$G$3000&lt;&gt;""),""))))</f>
        <v/>
      </c>
    </row>
    <row r="107" spans="1:10" x14ac:dyDescent="0.25">
      <c r="A107" s="23" t="s">
        <v>599</v>
      </c>
      <c r="B107" s="37" t="str">
        <f>INDEX(Product!$B:$B,MATCH($A107,Product!$A:$A,0))</f>
        <v>[Young Chemical Vina] Băng keo cá nhân màu da - Ace-band ∅22mm</v>
      </c>
      <c r="C107" s="37" t="str">
        <f>INDEX(Product!$D:$D,MATCH($A107,Product!$A:$A,0))</f>
        <v>Băng keo cá nhân</v>
      </c>
      <c r="D107" s="23" t="s">
        <v>2386</v>
      </c>
      <c r="E107" s="37" t="str">
        <f>INDEX('Attribute Definition'!$B:$B,MATCH($D107,'Attribute Definition'!$A:$A,0))</f>
        <v>Thành phần kháng khuẩn</v>
      </c>
      <c r="F107" s="38" t="s">
        <v>2657</v>
      </c>
      <c r="G107" s="39" t="str" cm="1">
        <f t="array" ref="G107">_xlfn.TEXTJOIN("; ",TRUE,_xlfn.UNIQUE(_xlfn._xlws.FILTER('Product Variant Attribute'!$F$2:$F$3000,('Product Variant Attribute'!$B$2:$B$3000=$A107)*('Product Variant Attribute'!$D$2:$D$3000=$D107),"")))</f>
        <v>Benzalkonium Chloride</v>
      </c>
      <c r="H107" s="39"/>
      <c r="I107" s="39"/>
      <c r="J107" s="39" t="str" cm="1">
        <f t="array" ref="J107">IF($I107="","",_xlfn.TEXTJOIN("; ",TRUE,_xlfn.UNIQUE(_xlfn._xlws.FILTER($A$2:$A$3000,($C$2:$C$3000=$C107)*($E$2:$E$3000=$E107)*($G$2:$G$3000&lt;&gt;$G107)*($G$2:$G$3000&lt;&gt;""),""))))</f>
        <v/>
      </c>
    </row>
    <row r="108" spans="1:10" x14ac:dyDescent="0.25">
      <c r="A108" s="23" t="s">
        <v>599</v>
      </c>
      <c r="B108" s="37" t="str">
        <f>INDEX(Product!$B:$B,MATCH($A108,Product!$A:$A,0))</f>
        <v>[Young Chemical Vina] Băng keo cá nhân màu da - Ace-band ∅22mm</v>
      </c>
      <c r="C108" s="37" t="str">
        <f>INDEX(Product!$D:$D,MATCH($A108,Product!$A:$A,0))</f>
        <v>Băng keo cá nhân</v>
      </c>
      <c r="D108" s="23" t="s">
        <v>2464</v>
      </c>
      <c r="E108" s="37" t="str">
        <f>INDEX('Attribute Definition'!$B:$B,MATCH($D108,'Attribute Definition'!$A:$A,0))</f>
        <v>Màu sắc</v>
      </c>
      <c r="F108" s="38" t="s">
        <v>2657</v>
      </c>
      <c r="G108" s="39" t="str" cm="1">
        <f t="array" ref="G108">_xlfn.TEXTJOIN("; ",TRUE,_xlfn.UNIQUE(_xlfn._xlws.FILTER('Product Variant Attribute'!$F$2:$F$3000,('Product Variant Attribute'!$B$2:$B$3000=$A108)*('Product Variant Attribute'!$D$2:$D$3000=$D108),"")))</f>
        <v>Màu da</v>
      </c>
      <c r="H108" s="39"/>
      <c r="I108" s="39"/>
      <c r="J108" s="39" t="str" cm="1">
        <f t="array" ref="J108">IF($I108="","",_xlfn.TEXTJOIN("; ",TRUE,_xlfn.UNIQUE(_xlfn._xlws.FILTER($A$2:$A$3000,($C$2:$C$3000=$C108)*($E$2:$E$3000=$E108)*($G$2:$G$3000&lt;&gt;$G108)*($G$2:$G$3000&lt;&gt;""),""))))</f>
        <v/>
      </c>
    </row>
    <row r="109" spans="1:10" x14ac:dyDescent="0.25">
      <c r="A109" s="23" t="s">
        <v>599</v>
      </c>
      <c r="B109" s="37" t="str">
        <f>INDEX(Product!$B:$B,MATCH($A109,Product!$A:$A,0))</f>
        <v>[Young Chemical Vina] Băng keo cá nhân màu da - Ace-band ∅22mm</v>
      </c>
      <c r="C109" s="37" t="str">
        <f>INDEX(Product!$D:$D,MATCH($A109,Product!$A:$A,0))</f>
        <v>Băng keo cá nhân</v>
      </c>
      <c r="D109" s="23" t="s">
        <v>2471</v>
      </c>
      <c r="E109" s="37" t="str">
        <f>INDEX('Attribute Definition'!$B:$B,MATCH($D109,'Attribute Definition'!$A:$A,0))</f>
        <v>Dạng sản phẩm</v>
      </c>
      <c r="F109" s="38" t="s">
        <v>2657</v>
      </c>
      <c r="G109" s="39" t="str" cm="1">
        <f t="array" ref="G109">_xlfn.TEXTJOIN("; ",TRUE,_xlfn.UNIQUE(_xlfn._xlws.FILTER('Product Variant Attribute'!$F$2:$F$3000,('Product Variant Attribute'!$B$2:$B$3000=$A109)*('Product Variant Attribute'!$D$2:$D$3000=$D109),"")))</f>
        <v>Băng keo cá nhân</v>
      </c>
      <c r="H109" s="39"/>
      <c r="I109" s="39"/>
      <c r="J109" s="39" t="str" cm="1">
        <f t="array" ref="J109">IF($I109="","",_xlfn.TEXTJOIN("; ",TRUE,_xlfn.UNIQUE(_xlfn._xlws.FILTER($A$2:$A$3000,($C$2:$C$3000=$C109)*($E$2:$E$3000=$E109)*($G$2:$G$3000&lt;&gt;$G109)*($G$2:$G$3000&lt;&gt;""),""))))</f>
        <v/>
      </c>
    </row>
    <row r="110" spans="1:10" x14ac:dyDescent="0.25">
      <c r="A110" s="23" t="s">
        <v>600</v>
      </c>
      <c r="B110" s="37" t="str">
        <f>INDEX(Product!$B:$B,MATCH($A110,Product!$A:$A,0))</f>
        <v>[Young Chemical Vina] Băng keo cá nhân màu da - Ace-band Sheer (72mmx18mm)</v>
      </c>
      <c r="C110" s="37" t="str">
        <f>INDEX(Product!$D:$D,MATCH($A110,Product!$A:$A,0))</f>
        <v>Băng keo cá nhân</v>
      </c>
      <c r="D110" s="23" t="s">
        <v>2342</v>
      </c>
      <c r="E110" s="37" t="str">
        <f>INDEX('Attribute Definition'!$B:$B,MATCH($D110,'Attribute Definition'!$A:$A,0))</f>
        <v>Kích thước</v>
      </c>
      <c r="F110" s="38" t="s">
        <v>2657</v>
      </c>
      <c r="G110" s="39" t="str" cm="1">
        <f t="array" ref="G110">_xlfn.TEXTJOIN("; ",TRUE,_xlfn.UNIQUE(_xlfn._xlws.FILTER('Product Variant Attribute'!$F$2:$F$3000,('Product Variant Attribute'!$B$2:$B$3000=$A110)*('Product Variant Attribute'!$D$2:$D$3000=$D110),"")))</f>
        <v>72mmx18mm</v>
      </c>
      <c r="H110" s="39"/>
      <c r="I110" s="39"/>
      <c r="J110" s="39" t="str" cm="1">
        <f t="array" ref="J110">IF($I110="","",_xlfn.TEXTJOIN("; ",TRUE,_xlfn.UNIQUE(_xlfn._xlws.FILTER($A$2:$A$3000,($C$2:$C$3000=$C110)*($E$2:$E$3000=$E110)*($G$2:$G$3000&lt;&gt;$G110)*($G$2:$G$3000&lt;&gt;""),""))))</f>
        <v/>
      </c>
    </row>
    <row r="111" spans="1:10" x14ac:dyDescent="0.25">
      <c r="A111" s="23" t="s">
        <v>600</v>
      </c>
      <c r="B111" s="37" t="str">
        <f>INDEX(Product!$B:$B,MATCH($A111,Product!$A:$A,0))</f>
        <v>[Young Chemical Vina] Băng keo cá nhân màu da - Ace-band Sheer (72mmx18mm)</v>
      </c>
      <c r="C111" s="37" t="str">
        <f>INDEX(Product!$D:$D,MATCH($A111,Product!$A:$A,0))</f>
        <v>Băng keo cá nhân</v>
      </c>
      <c r="D111" s="23" t="s">
        <v>2386</v>
      </c>
      <c r="E111" s="37" t="str">
        <f>INDEX('Attribute Definition'!$B:$B,MATCH($D111,'Attribute Definition'!$A:$A,0))</f>
        <v>Thành phần kháng khuẩn</v>
      </c>
      <c r="F111" s="38" t="s">
        <v>2657</v>
      </c>
      <c r="G111" s="39" t="str" cm="1">
        <f t="array" ref="G111">_xlfn.TEXTJOIN("; ",TRUE,_xlfn.UNIQUE(_xlfn._xlws.FILTER('Product Variant Attribute'!$F$2:$F$3000,('Product Variant Attribute'!$B$2:$B$3000=$A111)*('Product Variant Attribute'!$D$2:$D$3000=$D111),"")))</f>
        <v>Benzalkonium Chloride</v>
      </c>
      <c r="H111" s="39"/>
      <c r="I111" s="39"/>
      <c r="J111" s="39" t="str" cm="1">
        <f t="array" ref="J111">IF($I111="","",_xlfn.TEXTJOIN("; ",TRUE,_xlfn.UNIQUE(_xlfn._xlws.FILTER($A$2:$A$3000,($C$2:$C$3000=$C111)*($E$2:$E$3000=$E111)*($G$2:$G$3000&lt;&gt;$G111)*($G$2:$G$3000&lt;&gt;""),""))))</f>
        <v/>
      </c>
    </row>
    <row r="112" spans="1:10" x14ac:dyDescent="0.25">
      <c r="A112" s="23" t="s">
        <v>600</v>
      </c>
      <c r="B112" s="37" t="str">
        <f>INDEX(Product!$B:$B,MATCH($A112,Product!$A:$A,0))</f>
        <v>[Young Chemical Vina] Băng keo cá nhân màu da - Ace-band Sheer (72mmx18mm)</v>
      </c>
      <c r="C112" s="37" t="str">
        <f>INDEX(Product!$D:$D,MATCH($A112,Product!$A:$A,0))</f>
        <v>Băng keo cá nhân</v>
      </c>
      <c r="D112" s="23" t="s">
        <v>2464</v>
      </c>
      <c r="E112" s="37" t="str">
        <f>INDEX('Attribute Definition'!$B:$B,MATCH($D112,'Attribute Definition'!$A:$A,0))</f>
        <v>Màu sắc</v>
      </c>
      <c r="F112" s="38" t="s">
        <v>2657</v>
      </c>
      <c r="G112" s="39" t="str" cm="1">
        <f t="array" ref="G112">_xlfn.TEXTJOIN("; ",TRUE,_xlfn.UNIQUE(_xlfn._xlws.FILTER('Product Variant Attribute'!$F$2:$F$3000,('Product Variant Attribute'!$B$2:$B$3000=$A112)*('Product Variant Attribute'!$D$2:$D$3000=$D112),"")))</f>
        <v>Màu da</v>
      </c>
      <c r="H112" s="39"/>
      <c r="I112" s="39"/>
      <c r="J112" s="39" t="str" cm="1">
        <f t="array" ref="J112">IF($I112="","",_xlfn.TEXTJOIN("; ",TRUE,_xlfn.UNIQUE(_xlfn._xlws.FILTER($A$2:$A$3000,($C$2:$C$3000=$C112)*($E$2:$E$3000=$E112)*($G$2:$G$3000&lt;&gt;$G112)*($G$2:$G$3000&lt;&gt;""),""))))</f>
        <v/>
      </c>
    </row>
    <row r="113" spans="1:10" x14ac:dyDescent="0.25">
      <c r="A113" s="23" t="s">
        <v>600</v>
      </c>
      <c r="B113" s="37" t="str">
        <f>INDEX(Product!$B:$B,MATCH($A113,Product!$A:$A,0))</f>
        <v>[Young Chemical Vina] Băng keo cá nhân màu da - Ace-band Sheer (72mmx18mm)</v>
      </c>
      <c r="C113" s="37" t="str">
        <f>INDEX(Product!$D:$D,MATCH($A113,Product!$A:$A,0))</f>
        <v>Băng keo cá nhân</v>
      </c>
      <c r="D113" s="23" t="s">
        <v>2471</v>
      </c>
      <c r="E113" s="37" t="str">
        <f>INDEX('Attribute Definition'!$B:$B,MATCH($D113,'Attribute Definition'!$A:$A,0))</f>
        <v>Dạng sản phẩm</v>
      </c>
      <c r="F113" s="38" t="s">
        <v>2657</v>
      </c>
      <c r="G113" s="39" t="str" cm="1">
        <f t="array" ref="G113">_xlfn.TEXTJOIN("; ",TRUE,_xlfn.UNIQUE(_xlfn._xlws.FILTER('Product Variant Attribute'!$F$2:$F$3000,('Product Variant Attribute'!$B$2:$B$3000=$A113)*('Product Variant Attribute'!$D$2:$D$3000=$D113),"")))</f>
        <v>Băng keo cá nhân</v>
      </c>
      <c r="H113" s="39"/>
      <c r="I113" s="39"/>
      <c r="J113" s="39" t="str" cm="1">
        <f t="array" ref="J113">IF($I113="","",_xlfn.TEXTJOIN("; ",TRUE,_xlfn.UNIQUE(_xlfn._xlws.FILTER($A$2:$A$3000,($C$2:$C$3000=$C113)*($E$2:$E$3000=$E113)*($G$2:$G$3000&lt;&gt;$G113)*($G$2:$G$3000&lt;&gt;""),""))))</f>
        <v/>
      </c>
    </row>
    <row r="114" spans="1:10" x14ac:dyDescent="0.25">
      <c r="A114" s="23" t="s">
        <v>601</v>
      </c>
      <c r="B114" s="37" t="str">
        <f>INDEX(Product!$B:$B,MATCH($A114,Product!$A:$A,0))</f>
        <v>[Young Chemical Vina] Băng keo cá nhân trong suốt - Ace-band Transparent (72mmx18mm)</v>
      </c>
      <c r="C114" s="37" t="str">
        <f>INDEX(Product!$D:$D,MATCH($A114,Product!$A:$A,0))</f>
        <v>Băng keo cá nhân</v>
      </c>
      <c r="D114" s="23" t="s">
        <v>2342</v>
      </c>
      <c r="E114" s="37" t="str">
        <f>INDEX('Attribute Definition'!$B:$B,MATCH($D114,'Attribute Definition'!$A:$A,0))</f>
        <v>Kích thước</v>
      </c>
      <c r="F114" s="38" t="s">
        <v>2657</v>
      </c>
      <c r="G114" s="39" t="str" cm="1">
        <f t="array" ref="G114">_xlfn.TEXTJOIN("; ",TRUE,_xlfn.UNIQUE(_xlfn._xlws.FILTER('Product Variant Attribute'!$F$2:$F$3000,('Product Variant Attribute'!$B$2:$B$3000=$A114)*('Product Variant Attribute'!$D$2:$D$3000=$D114),"")))</f>
        <v>72mmx18mm</v>
      </c>
      <c r="H114" s="39"/>
      <c r="I114" s="39"/>
      <c r="J114" s="39" t="str" cm="1">
        <f t="array" ref="J114">IF($I114="","",_xlfn.TEXTJOIN("; ",TRUE,_xlfn.UNIQUE(_xlfn._xlws.FILTER($A$2:$A$3000,($C$2:$C$3000=$C114)*($E$2:$E$3000=$E114)*($G$2:$G$3000&lt;&gt;$G114)*($G$2:$G$3000&lt;&gt;""),""))))</f>
        <v/>
      </c>
    </row>
    <row r="115" spans="1:10" x14ac:dyDescent="0.25">
      <c r="A115" s="23" t="s">
        <v>601</v>
      </c>
      <c r="B115" s="37" t="str">
        <f>INDEX(Product!$B:$B,MATCH($A115,Product!$A:$A,0))</f>
        <v>[Young Chemical Vina] Băng keo cá nhân trong suốt - Ace-band Transparent (72mmx18mm)</v>
      </c>
      <c r="C115" s="37" t="str">
        <f>INDEX(Product!$D:$D,MATCH($A115,Product!$A:$A,0))</f>
        <v>Băng keo cá nhân</v>
      </c>
      <c r="D115" s="23" t="s">
        <v>2386</v>
      </c>
      <c r="E115" s="37" t="str">
        <f>INDEX('Attribute Definition'!$B:$B,MATCH($D115,'Attribute Definition'!$A:$A,0))</f>
        <v>Thành phần kháng khuẩn</v>
      </c>
      <c r="F115" s="38" t="s">
        <v>2657</v>
      </c>
      <c r="G115" s="39" t="str" cm="1">
        <f t="array" ref="G115">_xlfn.TEXTJOIN("; ",TRUE,_xlfn.UNIQUE(_xlfn._xlws.FILTER('Product Variant Attribute'!$F$2:$F$3000,('Product Variant Attribute'!$B$2:$B$3000=$A115)*('Product Variant Attribute'!$D$2:$D$3000=$D115),"")))</f>
        <v>Benzalkonium Chloride</v>
      </c>
      <c r="H115" s="39"/>
      <c r="I115" s="39"/>
      <c r="J115" s="39" t="str" cm="1">
        <f t="array" ref="J115">IF($I115="","",_xlfn.TEXTJOIN("; ",TRUE,_xlfn.UNIQUE(_xlfn._xlws.FILTER($A$2:$A$3000,($C$2:$C$3000=$C115)*($E$2:$E$3000=$E115)*($G$2:$G$3000&lt;&gt;$G115)*($G$2:$G$3000&lt;&gt;""),""))))</f>
        <v/>
      </c>
    </row>
    <row r="116" spans="1:10" x14ac:dyDescent="0.25">
      <c r="A116" s="23" t="s">
        <v>601</v>
      </c>
      <c r="B116" s="37" t="str">
        <f>INDEX(Product!$B:$B,MATCH($A116,Product!$A:$A,0))</f>
        <v>[Young Chemical Vina] Băng keo cá nhân trong suốt - Ace-band Transparent (72mmx18mm)</v>
      </c>
      <c r="C116" s="37" t="str">
        <f>INDEX(Product!$D:$D,MATCH($A116,Product!$A:$A,0))</f>
        <v>Băng keo cá nhân</v>
      </c>
      <c r="D116" s="23" t="s">
        <v>2464</v>
      </c>
      <c r="E116" s="37" t="str">
        <f>INDEX('Attribute Definition'!$B:$B,MATCH($D116,'Attribute Definition'!$A:$A,0))</f>
        <v>Màu sắc</v>
      </c>
      <c r="F116" s="38" t="s">
        <v>2657</v>
      </c>
      <c r="G116" s="39" t="str" cm="1">
        <f t="array" ref="G116">_xlfn.TEXTJOIN("; ",TRUE,_xlfn.UNIQUE(_xlfn._xlws.FILTER('Product Variant Attribute'!$F$2:$F$3000,('Product Variant Attribute'!$B$2:$B$3000=$A116)*('Product Variant Attribute'!$D$2:$D$3000=$D116),"")))</f>
        <v>Trong suốt</v>
      </c>
      <c r="H116" s="39"/>
      <c r="I116" s="39"/>
      <c r="J116" s="39" t="str" cm="1">
        <f t="array" ref="J116">IF($I116="","",_xlfn.TEXTJOIN("; ",TRUE,_xlfn.UNIQUE(_xlfn._xlws.FILTER($A$2:$A$3000,($C$2:$C$3000=$C116)*($E$2:$E$3000=$E116)*($G$2:$G$3000&lt;&gt;$G116)*($G$2:$G$3000&lt;&gt;""),""))))</f>
        <v/>
      </c>
    </row>
    <row r="117" spans="1:10" x14ac:dyDescent="0.25">
      <c r="A117" s="23" t="s">
        <v>601</v>
      </c>
      <c r="B117" s="37" t="str">
        <f>INDEX(Product!$B:$B,MATCH($A117,Product!$A:$A,0))</f>
        <v>[Young Chemical Vina] Băng keo cá nhân trong suốt - Ace-band Transparent (72mmx18mm)</v>
      </c>
      <c r="C117" s="37" t="str">
        <f>INDEX(Product!$D:$D,MATCH($A117,Product!$A:$A,0))</f>
        <v>Băng keo cá nhân</v>
      </c>
      <c r="D117" s="23" t="s">
        <v>2471</v>
      </c>
      <c r="E117" s="37" t="str">
        <f>INDEX('Attribute Definition'!$B:$B,MATCH($D117,'Attribute Definition'!$A:$A,0))</f>
        <v>Dạng sản phẩm</v>
      </c>
      <c r="F117" s="38" t="s">
        <v>2657</v>
      </c>
      <c r="G117" s="39" t="str" cm="1">
        <f t="array" ref="G117">_xlfn.TEXTJOIN("; ",TRUE,_xlfn.UNIQUE(_xlfn._xlws.FILTER('Product Variant Attribute'!$F$2:$F$3000,('Product Variant Attribute'!$B$2:$B$3000=$A117)*('Product Variant Attribute'!$D$2:$D$3000=$D117),"")))</f>
        <v>Băng keo cá nhân</v>
      </c>
      <c r="H117" s="39"/>
      <c r="I117" s="39"/>
      <c r="J117" s="39" t="str" cm="1">
        <f t="array" ref="J117">IF($I117="","",_xlfn.TEXTJOIN("; ",TRUE,_xlfn.UNIQUE(_xlfn._xlws.FILTER($A$2:$A$3000,($C$2:$C$3000=$C117)*($E$2:$E$3000=$E117)*($G$2:$G$3000&lt;&gt;$G117)*($G$2:$G$3000&lt;&gt;""),""))))</f>
        <v/>
      </c>
    </row>
    <row r="118" spans="1:10" x14ac:dyDescent="0.25">
      <c r="A118" s="23" t="s">
        <v>602</v>
      </c>
      <c r="B118" s="37" t="str">
        <f>INDEX(Product!$B:$B,MATCH($A118,Product!$A:$A,0))</f>
        <v>[Young Chemical Vina] Băng keo cá nhân vải - Ace-band (60mmx19mm)</v>
      </c>
      <c r="C118" s="37" t="str">
        <f>INDEX(Product!$D:$D,MATCH($A118,Product!$A:$A,0))</f>
        <v>Băng keo cá nhân</v>
      </c>
      <c r="D118" s="23" t="s">
        <v>2342</v>
      </c>
      <c r="E118" s="37" t="str">
        <f>INDEX('Attribute Definition'!$B:$B,MATCH($D118,'Attribute Definition'!$A:$A,0))</f>
        <v>Kích thước</v>
      </c>
      <c r="F118" s="38" t="s">
        <v>2657</v>
      </c>
      <c r="G118" s="39" t="str" cm="1">
        <f t="array" ref="G118">_xlfn.TEXTJOIN("; ",TRUE,_xlfn.UNIQUE(_xlfn._xlws.FILTER('Product Variant Attribute'!$F$2:$F$3000,('Product Variant Attribute'!$B$2:$B$3000=$A118)*('Product Variant Attribute'!$D$2:$D$3000=$D118),"")))</f>
        <v>60mmx19mm</v>
      </c>
      <c r="H118" s="39"/>
      <c r="I118" s="39"/>
      <c r="J118" s="39" t="str" cm="1">
        <f t="array" ref="J118">IF($I118="","",_xlfn.TEXTJOIN("; ",TRUE,_xlfn.UNIQUE(_xlfn._xlws.FILTER($A$2:$A$3000,($C$2:$C$3000=$C118)*($E$2:$E$3000=$E118)*($G$2:$G$3000&lt;&gt;$G118)*($G$2:$G$3000&lt;&gt;""),""))))</f>
        <v/>
      </c>
    </row>
    <row r="119" spans="1:10" x14ac:dyDescent="0.25">
      <c r="A119" s="23" t="s">
        <v>602</v>
      </c>
      <c r="B119" s="37" t="str">
        <f>INDEX(Product!$B:$B,MATCH($A119,Product!$A:$A,0))</f>
        <v>[Young Chemical Vina] Băng keo cá nhân vải - Ace-band (60mmx19mm)</v>
      </c>
      <c r="C119" s="37" t="str">
        <f>INDEX(Product!$D:$D,MATCH($A119,Product!$A:$A,0))</f>
        <v>Băng keo cá nhân</v>
      </c>
      <c r="D119" s="23" t="s">
        <v>2367</v>
      </c>
      <c r="E119" s="37" t="str">
        <f>INDEX('Attribute Definition'!$B:$B,MATCH($D119,'Attribute Definition'!$A:$A,0))</f>
        <v>Chất liệu</v>
      </c>
      <c r="F119" s="38" t="s">
        <v>2657</v>
      </c>
      <c r="G119" s="39" t="str" cm="1">
        <f t="array" ref="G119">_xlfn.TEXTJOIN("; ",TRUE,_xlfn.UNIQUE(_xlfn._xlws.FILTER('Product Variant Attribute'!$F$2:$F$3000,('Product Variant Attribute'!$B$2:$B$3000=$A119)*('Product Variant Attribute'!$D$2:$D$3000=$D119),"")))</f>
        <v>Vải</v>
      </c>
      <c r="H119" s="39"/>
      <c r="I119" s="39"/>
      <c r="J119" s="39" t="str" cm="1">
        <f t="array" ref="J119">IF($I119="","",_xlfn.TEXTJOIN("; ",TRUE,_xlfn.UNIQUE(_xlfn._xlws.FILTER($A$2:$A$3000,($C$2:$C$3000=$C119)*($E$2:$E$3000=$E119)*($G$2:$G$3000&lt;&gt;$G119)*($G$2:$G$3000&lt;&gt;""),""))))</f>
        <v/>
      </c>
    </row>
    <row r="120" spans="1:10" x14ac:dyDescent="0.25">
      <c r="A120" s="23" t="s">
        <v>602</v>
      </c>
      <c r="B120" s="37" t="str">
        <f>INDEX(Product!$B:$B,MATCH($A120,Product!$A:$A,0))</f>
        <v>[Young Chemical Vina] Băng keo cá nhân vải - Ace-band (60mmx19mm)</v>
      </c>
      <c r="C120" s="37" t="str">
        <f>INDEX(Product!$D:$D,MATCH($A120,Product!$A:$A,0))</f>
        <v>Băng keo cá nhân</v>
      </c>
      <c r="D120" s="23" t="s">
        <v>2386</v>
      </c>
      <c r="E120" s="37" t="str">
        <f>INDEX('Attribute Definition'!$B:$B,MATCH($D120,'Attribute Definition'!$A:$A,0))</f>
        <v>Thành phần kháng khuẩn</v>
      </c>
      <c r="F120" s="38" t="s">
        <v>2657</v>
      </c>
      <c r="G120" s="39" t="str" cm="1">
        <f t="array" ref="G120">_xlfn.TEXTJOIN("; ",TRUE,_xlfn.UNIQUE(_xlfn._xlws.FILTER('Product Variant Attribute'!$F$2:$F$3000,('Product Variant Attribute'!$B$2:$B$3000=$A120)*('Product Variant Attribute'!$D$2:$D$3000=$D120),"")))</f>
        <v>Benzalkonium Chloride</v>
      </c>
      <c r="H120" s="39"/>
      <c r="I120" s="39"/>
      <c r="J120" s="39" t="str" cm="1">
        <f t="array" ref="J120">IF($I120="","",_xlfn.TEXTJOIN("; ",TRUE,_xlfn.UNIQUE(_xlfn._xlws.FILTER($A$2:$A$3000,($C$2:$C$3000=$C120)*($E$2:$E$3000=$E120)*($G$2:$G$3000&lt;&gt;$G120)*($G$2:$G$3000&lt;&gt;""),""))))</f>
        <v/>
      </c>
    </row>
    <row r="121" spans="1:10" x14ac:dyDescent="0.25">
      <c r="A121" s="23" t="s">
        <v>602</v>
      </c>
      <c r="B121" s="37" t="str">
        <f>INDEX(Product!$B:$B,MATCH($A121,Product!$A:$A,0))</f>
        <v>[Young Chemical Vina] Băng keo cá nhân vải - Ace-band (60mmx19mm)</v>
      </c>
      <c r="C121" s="37" t="str">
        <f>INDEX(Product!$D:$D,MATCH($A121,Product!$A:$A,0))</f>
        <v>Băng keo cá nhân</v>
      </c>
      <c r="D121" s="23" t="s">
        <v>2471</v>
      </c>
      <c r="E121" s="37" t="str">
        <f>INDEX('Attribute Definition'!$B:$B,MATCH($D121,'Attribute Definition'!$A:$A,0))</f>
        <v>Dạng sản phẩm</v>
      </c>
      <c r="F121" s="38" t="s">
        <v>2657</v>
      </c>
      <c r="G121" s="39" t="str" cm="1">
        <f t="array" ref="G121">_xlfn.TEXTJOIN("; ",TRUE,_xlfn.UNIQUE(_xlfn._xlws.FILTER('Product Variant Attribute'!$F$2:$F$3000,('Product Variant Attribute'!$B$2:$B$3000=$A121)*('Product Variant Attribute'!$D$2:$D$3000=$D121),"")))</f>
        <v>Băng keo cá nhân</v>
      </c>
      <c r="H121" s="39"/>
      <c r="I121" s="39"/>
      <c r="J121" s="39" t="str" cm="1">
        <f t="array" ref="J121">IF($I121="","",_xlfn.TEXTJOIN("; ",TRUE,_xlfn.UNIQUE(_xlfn._xlws.FILTER($A$2:$A$3000,($C$2:$C$3000=$C121)*($E$2:$E$3000=$E121)*($G$2:$G$3000&lt;&gt;$G121)*($G$2:$G$3000&lt;&gt;""),""))))</f>
        <v/>
      </c>
    </row>
    <row r="122" spans="1:10" x14ac:dyDescent="0.25">
      <c r="A122" s="23" t="s">
        <v>603</v>
      </c>
      <c r="B122" s="37" t="str">
        <f>INDEX(Product!$B:$B,MATCH($A122,Product!$A:$A,0))</f>
        <v>[Young Chemical Vina] Băng keo cuộn co giãn - Fix Roll (5cmx10m)</v>
      </c>
      <c r="C122" s="37" t="str">
        <f>INDEX(Product!$D:$D,MATCH($A122,Product!$A:$A,0))</f>
        <v>Băng keo cuộn</v>
      </c>
      <c r="D122" s="23" t="s">
        <v>2342</v>
      </c>
      <c r="E122" s="37" t="str">
        <f>INDEX('Attribute Definition'!$B:$B,MATCH($D122,'Attribute Definition'!$A:$A,0))</f>
        <v>Kích thước</v>
      </c>
      <c r="F122" s="38" t="s">
        <v>2657</v>
      </c>
      <c r="G122" s="39" t="str" cm="1">
        <f t="array" ref="G122">_xlfn.TEXTJOIN("; ",TRUE,_xlfn.UNIQUE(_xlfn._xlws.FILTER('Product Variant Attribute'!$F$2:$F$3000,('Product Variant Attribute'!$B$2:$B$3000=$A122)*('Product Variant Attribute'!$D$2:$D$3000=$D122),"")))</f>
        <v>5cmx10m</v>
      </c>
      <c r="H122" s="39"/>
      <c r="I122" s="39"/>
      <c r="J122" s="39" t="str" cm="1">
        <f t="array" ref="J122">IF($I122="","",_xlfn.TEXTJOIN("; ",TRUE,_xlfn.UNIQUE(_xlfn._xlws.FILTER($A$2:$A$3000,($C$2:$C$3000=$C122)*($E$2:$E$3000=$E122)*($G$2:$G$3000&lt;&gt;$G122)*($G$2:$G$3000&lt;&gt;""),""))))</f>
        <v/>
      </c>
    </row>
    <row r="123" spans="1:10" ht="30" x14ac:dyDescent="0.25">
      <c r="A123" s="23" t="s">
        <v>603</v>
      </c>
      <c r="B123" s="37" t="str">
        <f>INDEX(Product!$B:$B,MATCH($A123,Product!$A:$A,0))</f>
        <v>[Young Chemical Vina] Băng keo cuộn co giãn - Fix Roll (5cmx10m)</v>
      </c>
      <c r="C123" s="37" t="str">
        <f>INDEX(Product!$D:$D,MATCH($A123,Product!$A:$A,0))</f>
        <v>Băng keo cuộn</v>
      </c>
      <c r="D123" s="23" t="s">
        <v>2367</v>
      </c>
      <c r="E123" s="37" t="str">
        <f>INDEX('Attribute Definition'!$B:$B,MATCH($D123,'Attribute Definition'!$A:$A,0))</f>
        <v>Chất liệu</v>
      </c>
      <c r="F123" s="38" t="s">
        <v>2657</v>
      </c>
      <c r="G123" s="39" t="str" cm="1">
        <f t="array" ref="G123">_xlfn.TEXTJOIN("; ",TRUE,_xlfn.UNIQUE(_xlfn._xlws.FILTER('Product Variant Attribute'!$F$2:$F$3000,('Product Variant Attribute'!$B$2:$B$3000=$A123)*('Product Variant Attribute'!$D$2:$D$3000=$D123),"")))</f>
        <v>Vải không dệt</v>
      </c>
      <c r="H123" s="39"/>
      <c r="I123" s="39" t="s">
        <v>2715</v>
      </c>
      <c r="J123" s="39" t="str" cm="1">
        <f t="array" ref="J123">IF($I123="","",_xlfn.TEXTJOIN("; ",TRUE,_xlfn.UNIQUE(_xlfn._xlws.FILTER($A$2:$A$3000,($C$2:$C$3000=$C123)*($E$2:$E$3000=$E123)*($G$2:$G$3000&lt;&gt;$G123)*($G$2:$G$3000&lt;&gt;""),""))))</f>
        <v>PRODUCT-00043; PRODUCT-00044; PRODUCT-00287; PRODUCT-00288</v>
      </c>
    </row>
    <row r="124" spans="1:10" x14ac:dyDescent="0.25">
      <c r="A124" s="23" t="s">
        <v>603</v>
      </c>
      <c r="B124" s="37" t="str">
        <f>INDEX(Product!$B:$B,MATCH($A124,Product!$A:$A,0))</f>
        <v>[Young Chemical Vina] Băng keo cuộn co giãn - Fix Roll (5cmx10m)</v>
      </c>
      <c r="C124" s="37" t="str">
        <f>INDEX(Product!$D:$D,MATCH($A124,Product!$A:$A,0))</f>
        <v>Băng keo cuộn</v>
      </c>
      <c r="D124" s="23" t="s">
        <v>2471</v>
      </c>
      <c r="E124" s="37" t="str">
        <f>INDEX('Attribute Definition'!$B:$B,MATCH($D124,'Attribute Definition'!$A:$A,0))</f>
        <v>Dạng sản phẩm</v>
      </c>
      <c r="F124" s="38" t="s">
        <v>2657</v>
      </c>
      <c r="G124" s="39" t="str" cm="1">
        <f t="array" ref="G124">_xlfn.TEXTJOIN("; ",TRUE,_xlfn.UNIQUE(_xlfn._xlws.FILTER('Product Variant Attribute'!$F$2:$F$3000,('Product Variant Attribute'!$B$2:$B$3000=$A124)*('Product Variant Attribute'!$D$2:$D$3000=$D124),"")))</f>
        <v>Băng keo cuộn</v>
      </c>
      <c r="H124" s="39"/>
      <c r="I124" s="39"/>
      <c r="J124" s="39" t="str" cm="1">
        <f t="array" ref="J124">IF($I124="","",_xlfn.TEXTJOIN("; ",TRUE,_xlfn.UNIQUE(_xlfn._xlws.FILTER($A$2:$A$3000,($C$2:$C$3000=$C124)*($E$2:$E$3000=$E124)*($G$2:$G$3000&lt;&gt;$G124)*($G$2:$G$3000&lt;&gt;""),""))))</f>
        <v/>
      </c>
    </row>
    <row r="125" spans="1:10" x14ac:dyDescent="0.25">
      <c r="A125" s="23" t="s">
        <v>604</v>
      </c>
      <c r="B125" s="37" t="str">
        <f>INDEX(Product!$B:$B,MATCH($A125,Product!$A:$A,0))</f>
        <v>[Young Chemical Vina] Băng keo cuộn giấy dành cho da nhạy cảm - Young Plaster-Paper (1.25cmx5m)</v>
      </c>
      <c r="C125" s="37" t="str">
        <f>INDEX(Product!$D:$D,MATCH($A125,Product!$A:$A,0))</f>
        <v>Băng keo cuộn</v>
      </c>
      <c r="D125" s="23" t="s">
        <v>2342</v>
      </c>
      <c r="E125" s="37" t="str">
        <f>INDEX('Attribute Definition'!$B:$B,MATCH($D125,'Attribute Definition'!$A:$A,0))</f>
        <v>Kích thước</v>
      </c>
      <c r="F125" s="38" t="s">
        <v>2657</v>
      </c>
      <c r="G125" s="39" t="str" cm="1">
        <f t="array" ref="G125">_xlfn.TEXTJOIN("; ",TRUE,_xlfn.UNIQUE(_xlfn._xlws.FILTER('Product Variant Attribute'!$F$2:$F$3000,('Product Variant Attribute'!$B$2:$B$3000=$A125)*('Product Variant Attribute'!$D$2:$D$3000=$D125),"")))</f>
        <v>1.25cmx5m</v>
      </c>
      <c r="H125" s="39"/>
      <c r="I125" s="39"/>
      <c r="J125" s="39" t="str" cm="1">
        <f t="array" ref="J125">IF($I125="","",_xlfn.TEXTJOIN("; ",TRUE,_xlfn.UNIQUE(_xlfn._xlws.FILTER($A$2:$A$3000,($C$2:$C$3000=$C125)*($E$2:$E$3000=$E125)*($G$2:$G$3000&lt;&gt;$G125)*($G$2:$G$3000&lt;&gt;""),""))))</f>
        <v/>
      </c>
    </row>
    <row r="126" spans="1:10" ht="45" x14ac:dyDescent="0.25">
      <c r="A126" s="23" t="s">
        <v>604</v>
      </c>
      <c r="B126" s="37" t="str">
        <f>INDEX(Product!$B:$B,MATCH($A126,Product!$A:$A,0))</f>
        <v>[Young Chemical Vina] Băng keo cuộn giấy dành cho da nhạy cảm - Young Plaster-Paper (1.25cmx5m)</v>
      </c>
      <c r="C126" s="37" t="str">
        <f>INDEX(Product!$D:$D,MATCH($A126,Product!$A:$A,0))</f>
        <v>Băng keo cuộn</v>
      </c>
      <c r="D126" s="23" t="s">
        <v>2367</v>
      </c>
      <c r="E126" s="37" t="str">
        <f>INDEX('Attribute Definition'!$B:$B,MATCH($D126,'Attribute Definition'!$A:$A,0))</f>
        <v>Chất liệu</v>
      </c>
      <c r="F126" s="38" t="s">
        <v>2657</v>
      </c>
      <c r="G126" s="39" t="str" cm="1">
        <f t="array" ref="G126">_xlfn.TEXTJOIN("; ",TRUE,_xlfn.UNIQUE(_xlfn._xlws.FILTER('Product Variant Attribute'!$F$2:$F$3000,('Product Variant Attribute'!$B$2:$B$3000=$A126)*('Product Variant Attribute'!$D$2:$D$3000=$D126),"")))</f>
        <v>Giấy</v>
      </c>
      <c r="H126" s="39"/>
      <c r="I126" s="39" t="s">
        <v>2716</v>
      </c>
      <c r="J126" s="39" t="str" cm="1">
        <f t="array" ref="J126">IF($I126="","",_xlfn.TEXTJOIN("; ",TRUE,_xlfn.UNIQUE(_xlfn._xlws.FILTER($A$2:$A$3000,($C$2:$C$3000=$C126)*($E$2:$E$3000=$E126)*($G$2:$G$3000&lt;&gt;$G126)*($G$2:$G$3000&lt;&gt;""),""))))</f>
        <v>PRODUCT-00042; PRODUCT-00044; PRODUCT-00284; PRODUCT-00285; PRODUCT-00286; PRODUCT-00288</v>
      </c>
    </row>
    <row r="127" spans="1:10" x14ac:dyDescent="0.25">
      <c r="A127" s="23" t="s">
        <v>604</v>
      </c>
      <c r="B127" s="37" t="str">
        <f>INDEX(Product!$B:$B,MATCH($A127,Product!$A:$A,0))</f>
        <v>[Young Chemical Vina] Băng keo cuộn giấy dành cho da nhạy cảm - Young Plaster-Paper (1.25cmx5m)</v>
      </c>
      <c r="C127" s="37" t="str">
        <f>INDEX(Product!$D:$D,MATCH($A127,Product!$A:$A,0))</f>
        <v>Băng keo cuộn</v>
      </c>
      <c r="D127" s="23" t="s">
        <v>2471</v>
      </c>
      <c r="E127" s="37" t="str">
        <f>INDEX('Attribute Definition'!$B:$B,MATCH($D127,'Attribute Definition'!$A:$A,0))</f>
        <v>Dạng sản phẩm</v>
      </c>
      <c r="F127" s="38" t="s">
        <v>2657</v>
      </c>
      <c r="G127" s="39" t="str" cm="1">
        <f t="array" ref="G127">_xlfn.TEXTJOIN("; ",TRUE,_xlfn.UNIQUE(_xlfn._xlws.FILTER('Product Variant Attribute'!$F$2:$F$3000,('Product Variant Attribute'!$B$2:$B$3000=$A127)*('Product Variant Attribute'!$D$2:$D$3000=$D127),"")))</f>
        <v>Băng keo cuộn</v>
      </c>
      <c r="H127" s="39"/>
      <c r="I127" s="39"/>
      <c r="J127" s="39" t="str" cm="1">
        <f t="array" ref="J127">IF($I127="","",_xlfn.TEXTJOIN("; ",TRUE,_xlfn.UNIQUE(_xlfn._xlws.FILTER($A$2:$A$3000,($C$2:$C$3000=$C127)*($E$2:$E$3000=$E127)*($G$2:$G$3000&lt;&gt;$G127)*($G$2:$G$3000&lt;&gt;""),""))))</f>
        <v/>
      </c>
    </row>
    <row r="128" spans="1:10" x14ac:dyDescent="0.25">
      <c r="A128" s="23" t="s">
        <v>605</v>
      </c>
      <c r="B128" s="37" t="str">
        <f>INDEX(Product!$B:$B,MATCH($A128,Product!$A:$A,0))</f>
        <v>[Young Chemical Vina] Băng keo cuộn lụa - Young Plaster-Silk (1.25cmx5m)</v>
      </c>
      <c r="C128" s="37" t="str">
        <f>INDEX(Product!$D:$D,MATCH($A128,Product!$A:$A,0))</f>
        <v>Băng keo cuộn</v>
      </c>
      <c r="D128" s="23" t="s">
        <v>2342</v>
      </c>
      <c r="E128" s="37" t="str">
        <f>INDEX('Attribute Definition'!$B:$B,MATCH($D128,'Attribute Definition'!$A:$A,0))</f>
        <v>Kích thước</v>
      </c>
      <c r="F128" s="38" t="s">
        <v>2657</v>
      </c>
      <c r="G128" s="39" t="str" cm="1">
        <f t="array" ref="G128">_xlfn.TEXTJOIN("; ",TRUE,_xlfn.UNIQUE(_xlfn._xlws.FILTER('Product Variant Attribute'!$F$2:$F$3000,('Product Variant Attribute'!$B$2:$B$3000=$A128)*('Product Variant Attribute'!$D$2:$D$3000=$D128),"")))</f>
        <v>1.25cmx5m</v>
      </c>
      <c r="H128" s="39"/>
      <c r="I128" s="39"/>
      <c r="J128" s="39" t="str" cm="1">
        <f t="array" ref="J128">IF($I128="","",_xlfn.TEXTJOIN("; ",TRUE,_xlfn.UNIQUE(_xlfn._xlws.FILTER($A$2:$A$3000,($C$2:$C$3000=$C128)*($E$2:$E$3000=$E128)*($G$2:$G$3000&lt;&gt;$G128)*($G$2:$G$3000&lt;&gt;""),""))))</f>
        <v/>
      </c>
    </row>
    <row r="129" spans="1:10" ht="45" x14ac:dyDescent="0.25">
      <c r="A129" s="23" t="s">
        <v>605</v>
      </c>
      <c r="B129" s="37" t="str">
        <f>INDEX(Product!$B:$B,MATCH($A129,Product!$A:$A,0))</f>
        <v>[Young Chemical Vina] Băng keo cuộn lụa - Young Plaster-Silk (1.25cmx5m)</v>
      </c>
      <c r="C129" s="37" t="str">
        <f>INDEX(Product!$D:$D,MATCH($A129,Product!$A:$A,0))</f>
        <v>Băng keo cuộn</v>
      </c>
      <c r="D129" s="23" t="s">
        <v>2367</v>
      </c>
      <c r="E129" s="37" t="str">
        <f>INDEX('Attribute Definition'!$B:$B,MATCH($D129,'Attribute Definition'!$A:$A,0))</f>
        <v>Chất liệu</v>
      </c>
      <c r="F129" s="38" t="s">
        <v>2657</v>
      </c>
      <c r="G129" s="39" t="str" cm="1">
        <f t="array" ref="G129">_xlfn.TEXTJOIN("; ",TRUE,_xlfn.UNIQUE(_xlfn._xlws.FILTER('Product Variant Attribute'!$F$2:$F$3000,('Product Variant Attribute'!$B$2:$B$3000=$A129)*('Product Variant Attribute'!$D$2:$D$3000=$D129),"")))</f>
        <v>Lụa</v>
      </c>
      <c r="H129" s="39"/>
      <c r="I129" s="39" t="s">
        <v>2717</v>
      </c>
      <c r="J129" s="39" t="str" cm="1">
        <f t="array" ref="J129">IF($I129="","",_xlfn.TEXTJOIN("; ",TRUE,_xlfn.UNIQUE(_xlfn._xlws.FILTER($A$2:$A$3000,($C$2:$C$3000=$C129)*($E$2:$E$3000=$E129)*($G$2:$G$3000&lt;&gt;$G129)*($G$2:$G$3000&lt;&gt;""),""))))</f>
        <v>PRODUCT-00042; PRODUCT-00043; PRODUCT-00284; PRODUCT-00285; PRODUCT-00286; PRODUCT-00287</v>
      </c>
    </row>
    <row r="130" spans="1:10" x14ac:dyDescent="0.25">
      <c r="A130" s="23" t="s">
        <v>605</v>
      </c>
      <c r="B130" s="37" t="str">
        <f>INDEX(Product!$B:$B,MATCH($A130,Product!$A:$A,0))</f>
        <v>[Young Chemical Vina] Băng keo cuộn lụa - Young Plaster-Silk (1.25cmx5m)</v>
      </c>
      <c r="C130" s="37" t="str">
        <f>INDEX(Product!$D:$D,MATCH($A130,Product!$A:$A,0))</f>
        <v>Băng keo cuộn</v>
      </c>
      <c r="D130" s="23" t="s">
        <v>2471</v>
      </c>
      <c r="E130" s="37" t="str">
        <f>INDEX('Attribute Definition'!$B:$B,MATCH($D130,'Attribute Definition'!$A:$A,0))</f>
        <v>Dạng sản phẩm</v>
      </c>
      <c r="F130" s="38" t="s">
        <v>2657</v>
      </c>
      <c r="G130" s="39" t="str" cm="1">
        <f t="array" ref="G130">_xlfn.TEXTJOIN("; ",TRUE,_xlfn.UNIQUE(_xlfn._xlws.FILTER('Product Variant Attribute'!$F$2:$F$3000,('Product Variant Attribute'!$B$2:$B$3000=$A130)*('Product Variant Attribute'!$D$2:$D$3000=$D130),"")))</f>
        <v>Băng keo cuộn</v>
      </c>
      <c r="H130" s="39"/>
      <c r="I130" s="39"/>
      <c r="J130" s="39" t="str" cm="1">
        <f t="array" ref="J130">IF($I130="","",_xlfn.TEXTJOIN("; ",TRUE,_xlfn.UNIQUE(_xlfn._xlws.FILTER($A$2:$A$3000,($C$2:$C$3000=$C130)*($E$2:$E$3000=$E130)*($G$2:$G$3000&lt;&gt;$G130)*($G$2:$G$3000&lt;&gt;""),""))))</f>
        <v/>
      </c>
    </row>
    <row r="131" spans="1:10" x14ac:dyDescent="0.25">
      <c r="A131" s="23" t="s">
        <v>606</v>
      </c>
      <c r="B131" s="37" t="str">
        <f>INDEX(Product!$B:$B,MATCH($A131,Product!$A:$A,0))</f>
        <v>[Young Chemical Vina] Băng vô trùng không gạc trong suốt không thấm nước - Sterile Adflex (Non-Pad) (10cmx12cm)</v>
      </c>
      <c r="C131" s="37" t="str">
        <f>INDEX(Product!$D:$D,MATCH($A131,Product!$A:$A,0))</f>
        <v>Băng gạc vô trùng</v>
      </c>
      <c r="D131" s="23" t="s">
        <v>2342</v>
      </c>
      <c r="E131" s="37" t="str">
        <f>INDEX('Attribute Definition'!$B:$B,MATCH($D131,'Attribute Definition'!$A:$A,0))</f>
        <v>Kích thước</v>
      </c>
      <c r="F131" s="38" t="s">
        <v>2657</v>
      </c>
      <c r="G131" s="39" t="str" cm="1">
        <f t="array" ref="G131">_xlfn.TEXTJOIN("; ",TRUE,_xlfn.UNIQUE(_xlfn._xlws.FILTER('Product Variant Attribute'!$F$2:$F$3000,('Product Variant Attribute'!$B$2:$B$3000=$A131)*('Product Variant Attribute'!$D$2:$D$3000=$D131),"")))</f>
        <v>10cmx12cm</v>
      </c>
      <c r="H131" s="39"/>
      <c r="I131" s="39"/>
      <c r="J131" s="39" t="str" cm="1">
        <f t="array" ref="J131">IF($I131="","",_xlfn.TEXTJOIN("; ",TRUE,_xlfn.UNIQUE(_xlfn._xlws.FILTER($A$2:$A$3000,($C$2:$C$3000=$C131)*($E$2:$E$3000=$E131)*($G$2:$G$3000&lt;&gt;$G131)*($G$2:$G$3000&lt;&gt;""),""))))</f>
        <v/>
      </c>
    </row>
    <row r="132" spans="1:10" x14ac:dyDescent="0.25">
      <c r="A132" s="23" t="s">
        <v>606</v>
      </c>
      <c r="B132" s="37" t="str">
        <f>INDEX(Product!$B:$B,MATCH($A132,Product!$A:$A,0))</f>
        <v>[Young Chemical Vina] Băng vô trùng không gạc trong suốt không thấm nước - Sterile Adflex (Non-Pad) (10cmx12cm)</v>
      </c>
      <c r="C132" s="37" t="str">
        <f>INDEX(Product!$D:$D,MATCH($A132,Product!$A:$A,0))</f>
        <v>Băng gạc vô trùng</v>
      </c>
      <c r="D132" s="23" t="s">
        <v>2374</v>
      </c>
      <c r="E132" s="37" t="str">
        <f>INDEX('Attribute Definition'!$B:$B,MATCH($D132,'Attribute Definition'!$A:$A,0))</f>
        <v>Vô trùng</v>
      </c>
      <c r="F132" s="38" t="s">
        <v>2657</v>
      </c>
      <c r="G132" s="39" t="str" cm="1">
        <f t="array" ref="G132">_xlfn.TEXTJOIN("; ",TRUE,_xlfn.UNIQUE(_xlfn._xlws.FILTER('Product Variant Attribute'!$F$2:$F$3000,('Product Variant Attribute'!$B$2:$B$3000=$A132)*('Product Variant Attribute'!$D$2:$D$3000=$D132),"")))</f>
        <v>Có</v>
      </c>
      <c r="H132" s="39"/>
      <c r="I132" s="39"/>
      <c r="J132" s="39" t="str" cm="1">
        <f t="array" ref="J132">IF($I132="","",_xlfn.TEXTJOIN("; ",TRUE,_xlfn.UNIQUE(_xlfn._xlws.FILTER($A$2:$A$3000,($C$2:$C$3000=$C132)*($E$2:$E$3000=$E132)*($G$2:$G$3000&lt;&gt;$G132)*($G$2:$G$3000&lt;&gt;""),""))))</f>
        <v/>
      </c>
    </row>
    <row r="133" spans="1:10" x14ac:dyDescent="0.25">
      <c r="A133" s="23" t="s">
        <v>606</v>
      </c>
      <c r="B133" s="37" t="str">
        <f>INDEX(Product!$B:$B,MATCH($A133,Product!$A:$A,0))</f>
        <v>[Young Chemical Vina] Băng vô trùng không gạc trong suốt không thấm nước - Sterile Adflex (Non-Pad) (10cmx12cm)</v>
      </c>
      <c r="C133" s="37" t="str">
        <f>INDEX(Product!$D:$D,MATCH($A133,Product!$A:$A,0))</f>
        <v>Băng gạc vô trùng</v>
      </c>
      <c r="D133" s="23" t="s">
        <v>2381</v>
      </c>
      <c r="E133" s="37" t="str">
        <f>INDEX('Attribute Definition'!$B:$B,MATCH($D133,'Attribute Definition'!$A:$A,0))</f>
        <v>Chống nước</v>
      </c>
      <c r="F133" s="38" t="s">
        <v>2657</v>
      </c>
      <c r="G133" s="39" t="str" cm="1">
        <f t="array" ref="G133">_xlfn.TEXTJOIN("; ",TRUE,_xlfn.UNIQUE(_xlfn._xlws.FILTER('Product Variant Attribute'!$F$2:$F$3000,('Product Variant Attribute'!$B$2:$B$3000=$A133)*('Product Variant Attribute'!$D$2:$D$3000=$D133),"")))</f>
        <v>Có</v>
      </c>
      <c r="H133" s="39"/>
      <c r="I133" s="39"/>
      <c r="J133" s="39" t="str" cm="1">
        <f t="array" ref="J133">IF($I133="","",_xlfn.TEXTJOIN("; ",TRUE,_xlfn.UNIQUE(_xlfn._xlws.FILTER($A$2:$A$3000,($C$2:$C$3000=$C133)*($E$2:$E$3000=$E133)*($G$2:$G$3000&lt;&gt;$G133)*($G$2:$G$3000&lt;&gt;""),""))))</f>
        <v/>
      </c>
    </row>
    <row r="134" spans="1:10" x14ac:dyDescent="0.25">
      <c r="A134" s="23" t="s">
        <v>606</v>
      </c>
      <c r="B134" s="37" t="str">
        <f>INDEX(Product!$B:$B,MATCH($A134,Product!$A:$A,0))</f>
        <v>[Young Chemical Vina] Băng vô trùng không gạc trong suốt không thấm nước - Sterile Adflex (Non-Pad) (10cmx12cm)</v>
      </c>
      <c r="C134" s="37" t="str">
        <f>INDEX(Product!$D:$D,MATCH($A134,Product!$A:$A,0))</f>
        <v>Băng gạc vô trùng</v>
      </c>
      <c r="D134" s="23" t="s">
        <v>2464</v>
      </c>
      <c r="E134" s="37" t="str">
        <f>INDEX('Attribute Definition'!$B:$B,MATCH($D134,'Attribute Definition'!$A:$A,0))</f>
        <v>Màu sắc</v>
      </c>
      <c r="F134" s="38" t="s">
        <v>2657</v>
      </c>
      <c r="G134" s="39" t="str" cm="1">
        <f t="array" ref="G134">_xlfn.TEXTJOIN("; ",TRUE,_xlfn.UNIQUE(_xlfn._xlws.FILTER('Product Variant Attribute'!$F$2:$F$3000,('Product Variant Attribute'!$B$2:$B$3000=$A134)*('Product Variant Attribute'!$D$2:$D$3000=$D134),"")))</f>
        <v>Trong suốt</v>
      </c>
      <c r="H134" s="39"/>
      <c r="I134" s="39"/>
      <c r="J134" s="39" t="str" cm="1">
        <f t="array" ref="J134">IF($I134="","",_xlfn.TEXTJOIN("; ",TRUE,_xlfn.UNIQUE(_xlfn._xlws.FILTER($A$2:$A$3000,($C$2:$C$3000=$C134)*($E$2:$E$3000=$E134)*($G$2:$G$3000&lt;&gt;$G134)*($G$2:$G$3000&lt;&gt;""),""))))</f>
        <v/>
      </c>
    </row>
    <row r="135" spans="1:10" x14ac:dyDescent="0.25">
      <c r="A135" s="23" t="s">
        <v>606</v>
      </c>
      <c r="B135" s="37" t="str">
        <f>INDEX(Product!$B:$B,MATCH($A135,Product!$A:$A,0))</f>
        <v>[Young Chemical Vina] Băng vô trùng không gạc trong suốt không thấm nước - Sterile Adflex (Non-Pad) (10cmx12cm)</v>
      </c>
      <c r="C135" s="37" t="str">
        <f>INDEX(Product!$D:$D,MATCH($A135,Product!$A:$A,0))</f>
        <v>Băng gạc vô trùng</v>
      </c>
      <c r="D135" s="23" t="s">
        <v>2471</v>
      </c>
      <c r="E135" s="37" t="str">
        <f>INDEX('Attribute Definition'!$B:$B,MATCH($D135,'Attribute Definition'!$A:$A,0))</f>
        <v>Dạng sản phẩm</v>
      </c>
      <c r="F135" s="38" t="s">
        <v>2657</v>
      </c>
      <c r="G135" s="39" t="str" cm="1">
        <f t="array" ref="G135">_xlfn.TEXTJOIN("; ",TRUE,_xlfn.UNIQUE(_xlfn._xlws.FILTER('Product Variant Attribute'!$F$2:$F$3000,('Product Variant Attribute'!$B$2:$B$3000=$A135)*('Product Variant Attribute'!$D$2:$D$3000=$D135),"")))</f>
        <v>Miếng dán / gạc</v>
      </c>
      <c r="H135" s="39"/>
      <c r="I135" s="39"/>
      <c r="J135" s="39" t="str" cm="1">
        <f t="array" ref="J135">IF($I135="","",_xlfn.TEXTJOIN("; ",TRUE,_xlfn.UNIQUE(_xlfn._xlws.FILTER($A$2:$A$3000,($C$2:$C$3000=$C135)*($E$2:$E$3000=$E135)*($G$2:$G$3000&lt;&gt;$G135)*($G$2:$G$3000&lt;&gt;""),""))))</f>
        <v/>
      </c>
    </row>
    <row r="136" spans="1:10" x14ac:dyDescent="0.25">
      <c r="A136" s="23" t="s">
        <v>607</v>
      </c>
      <c r="B136" s="37" t="str">
        <f>INDEX(Product!$B:$B,MATCH($A136,Product!$A:$A,0))</f>
        <v>[Young Chemical Vina] Miếng dán hydrocolloid hỗ trợ làm lành vết thương - Somaderm-L (7.5cmx7.5cm)</v>
      </c>
      <c r="C136" s="37" t="str">
        <f>INDEX(Product!$D:$D,MATCH($A136,Product!$A:$A,0))</f>
        <v>Băng dán hydrocolloid</v>
      </c>
      <c r="D136" s="23" t="s">
        <v>2342</v>
      </c>
      <c r="E136" s="37" t="str">
        <f>INDEX('Attribute Definition'!$B:$B,MATCH($D136,'Attribute Definition'!$A:$A,0))</f>
        <v>Kích thước</v>
      </c>
      <c r="F136" s="38" t="s">
        <v>2657</v>
      </c>
      <c r="G136" s="39" t="str" cm="1">
        <f t="array" ref="G136">_xlfn.TEXTJOIN("; ",TRUE,_xlfn.UNIQUE(_xlfn._xlws.FILTER('Product Variant Attribute'!$F$2:$F$3000,('Product Variant Attribute'!$B$2:$B$3000=$A136)*('Product Variant Attribute'!$D$2:$D$3000=$D136),"")))</f>
        <v>7.5cmx7.5cm</v>
      </c>
      <c r="H136" s="39"/>
      <c r="I136" s="39"/>
      <c r="J136" s="39" t="str" cm="1">
        <f t="array" ref="J136">IF($I136="","",_xlfn.TEXTJOIN("; ",TRUE,_xlfn.UNIQUE(_xlfn._xlws.FILTER($A$2:$A$3000,($C$2:$C$3000=$C136)*($E$2:$E$3000=$E136)*($G$2:$G$3000&lt;&gt;$G136)*($G$2:$G$3000&lt;&gt;""),""))))</f>
        <v/>
      </c>
    </row>
    <row r="137" spans="1:10" x14ac:dyDescent="0.25">
      <c r="A137" s="23" t="s">
        <v>607</v>
      </c>
      <c r="B137" s="37" t="str">
        <f>INDEX(Product!$B:$B,MATCH($A137,Product!$A:$A,0))</f>
        <v>[Young Chemical Vina] Miếng dán hydrocolloid hỗ trợ làm lành vết thương - Somaderm-L (7.5cmx7.5cm)</v>
      </c>
      <c r="C137" s="37" t="str">
        <f>INDEX(Product!$D:$D,MATCH($A137,Product!$A:$A,0))</f>
        <v>Băng dán hydrocolloid</v>
      </c>
      <c r="D137" s="23" t="s">
        <v>2367</v>
      </c>
      <c r="E137" s="37" t="str">
        <f>INDEX('Attribute Definition'!$B:$B,MATCH($D137,'Attribute Definition'!$A:$A,0))</f>
        <v>Chất liệu</v>
      </c>
      <c r="F137" s="38" t="s">
        <v>2657</v>
      </c>
      <c r="G137" s="39" t="str" cm="1">
        <f t="array" ref="G137">_xlfn.TEXTJOIN("; ",TRUE,_xlfn.UNIQUE(_xlfn._xlws.FILTER('Product Variant Attribute'!$F$2:$F$3000,('Product Variant Attribute'!$B$2:$B$3000=$A137)*('Product Variant Attribute'!$D$2:$D$3000=$D137),"")))</f>
        <v>Hydrocolloid</v>
      </c>
      <c r="H137" s="39"/>
      <c r="I137" s="39"/>
      <c r="J137" s="39" t="str" cm="1">
        <f t="array" ref="J137">IF($I137="","",_xlfn.TEXTJOIN("; ",TRUE,_xlfn.UNIQUE(_xlfn._xlws.FILTER($A$2:$A$3000,($C$2:$C$3000=$C137)*($E$2:$E$3000=$E137)*($G$2:$G$3000&lt;&gt;$G137)*($G$2:$G$3000&lt;&gt;""),""))))</f>
        <v/>
      </c>
    </row>
    <row r="138" spans="1:10" x14ac:dyDescent="0.25">
      <c r="A138" s="23" t="s">
        <v>607</v>
      </c>
      <c r="B138" s="37" t="str">
        <f>INDEX(Product!$B:$B,MATCH($A138,Product!$A:$A,0))</f>
        <v>[Young Chemical Vina] Miếng dán hydrocolloid hỗ trợ làm lành vết thương - Somaderm-L (7.5cmx7.5cm)</v>
      </c>
      <c r="C138" s="37" t="str">
        <f>INDEX(Product!$D:$D,MATCH($A138,Product!$A:$A,0))</f>
        <v>Băng dán hydrocolloid</v>
      </c>
      <c r="D138" s="23" t="s">
        <v>2381</v>
      </c>
      <c r="E138" s="37" t="str">
        <f>INDEX('Attribute Definition'!$B:$B,MATCH($D138,'Attribute Definition'!$A:$A,0))</f>
        <v>Chống nước</v>
      </c>
      <c r="F138" s="38" t="s">
        <v>2657</v>
      </c>
      <c r="G138" s="39" t="str" cm="1">
        <f t="array" ref="G138">_xlfn.TEXTJOIN("; ",TRUE,_xlfn.UNIQUE(_xlfn._xlws.FILTER('Product Variant Attribute'!$F$2:$F$3000,('Product Variant Attribute'!$B$2:$B$3000=$A138)*('Product Variant Attribute'!$D$2:$D$3000=$D138),"")))</f>
        <v>Có</v>
      </c>
      <c r="H138" s="39"/>
      <c r="I138" s="39"/>
      <c r="J138" s="39" t="str" cm="1">
        <f t="array" ref="J138">IF($I138="","",_xlfn.TEXTJOIN("; ",TRUE,_xlfn.UNIQUE(_xlfn._xlws.FILTER($A$2:$A$3000,($C$2:$C$3000=$C138)*($E$2:$E$3000=$E138)*($G$2:$G$3000&lt;&gt;$G138)*($G$2:$G$3000&lt;&gt;""),""))))</f>
        <v/>
      </c>
    </row>
    <row r="139" spans="1:10" x14ac:dyDescent="0.25">
      <c r="A139" s="23" t="s">
        <v>607</v>
      </c>
      <c r="B139" s="37" t="str">
        <f>INDEX(Product!$B:$B,MATCH($A139,Product!$A:$A,0))</f>
        <v>[Young Chemical Vina] Miếng dán hydrocolloid hỗ trợ làm lành vết thương - Somaderm-L (7.5cmx7.5cm)</v>
      </c>
      <c r="C139" s="37" t="str">
        <f>INDEX(Product!$D:$D,MATCH($A139,Product!$A:$A,0))</f>
        <v>Băng dán hydrocolloid</v>
      </c>
      <c r="D139" s="23" t="s">
        <v>2471</v>
      </c>
      <c r="E139" s="37" t="str">
        <f>INDEX('Attribute Definition'!$B:$B,MATCH($D139,'Attribute Definition'!$A:$A,0))</f>
        <v>Dạng sản phẩm</v>
      </c>
      <c r="F139" s="38" t="s">
        <v>2657</v>
      </c>
      <c r="G139" s="39" t="str" cm="1">
        <f t="array" ref="G139">_xlfn.TEXTJOIN("; ",TRUE,_xlfn.UNIQUE(_xlfn._xlws.FILTER('Product Variant Attribute'!$F$2:$F$3000,('Product Variant Attribute'!$B$2:$B$3000=$A139)*('Product Variant Attribute'!$D$2:$D$3000=$D139),"")))</f>
        <v>Miếng dán / gạc</v>
      </c>
      <c r="H139" s="39"/>
      <c r="I139" s="39"/>
      <c r="J139" s="39" t="str" cm="1">
        <f t="array" ref="J139">IF($I139="","",_xlfn.TEXTJOIN("; ",TRUE,_xlfn.UNIQUE(_xlfn._xlws.FILTER($A$2:$A$3000,($C$2:$C$3000=$C139)*($E$2:$E$3000=$E139)*($G$2:$G$3000&lt;&gt;$G139)*($G$2:$G$3000&lt;&gt;""),""))))</f>
        <v/>
      </c>
    </row>
    <row r="140" spans="1:10" x14ac:dyDescent="0.25">
      <c r="A140" s="23" t="s">
        <v>608</v>
      </c>
      <c r="B140" s="37" t="str">
        <f>INDEX(Product!$B:$B,MATCH($A140,Product!$A:$A,0))</f>
        <v>Bộ gạc xốp phủ vết thương điều trị áp lực âm kèm chức năng rửa - MJ-03</v>
      </c>
      <c r="C140" s="37" t="str">
        <f>INDEX(Product!$D:$D,MATCH($A140,Product!$A:$A,0))</f>
        <v>Bộ gạc áp lực âm (VAC)</v>
      </c>
      <c r="D140" s="23" t="s">
        <v>2471</v>
      </c>
      <c r="E140" s="37" t="str">
        <f>INDEX('Attribute Definition'!$B:$B,MATCH($D140,'Attribute Definition'!$A:$A,0))</f>
        <v>Dạng sản phẩm</v>
      </c>
      <c r="F140" s="38" t="s">
        <v>2657</v>
      </c>
      <c r="G140" s="39" t="str" cm="1">
        <f t="array" ref="G140">_xlfn.TEXTJOIN("; ",TRUE,_xlfn.UNIQUE(_xlfn._xlws.FILTER('Product Variant Attribute'!$F$2:$F$3000,('Product Variant Attribute'!$B$2:$B$3000=$A140)*('Product Variant Attribute'!$D$2:$D$3000=$D140),"")))</f>
        <v>Bộ dụng cụ</v>
      </c>
      <c r="H140" s="39"/>
      <c r="I140" s="39"/>
      <c r="J140" s="39" t="str" cm="1">
        <f t="array" ref="J140">IF($I140="","",_xlfn.TEXTJOIN("; ",TRUE,_xlfn.UNIQUE(_xlfn._xlws.FILTER($A$2:$A$3000,($C$2:$C$3000=$C140)*($E$2:$E$3000=$E140)*($G$2:$G$3000&lt;&gt;$G140)*($G$2:$G$3000&lt;&gt;""),""))))</f>
        <v/>
      </c>
    </row>
    <row r="141" spans="1:10" x14ac:dyDescent="0.25">
      <c r="A141" s="23" t="s">
        <v>609</v>
      </c>
      <c r="B141" s="37" t="str">
        <f>INDEX(Product!$B:$B,MATCH($A141,Product!$A:$A,0))</f>
        <v>Máy hút dịch áp lực âm VAC - MJ-100</v>
      </c>
      <c r="C141" s="37" t="str">
        <f>INDEX(Product!$D:$D,MATCH($A141,Product!$A:$A,0))</f>
        <v>Máy hút áp lực âm (VAC)</v>
      </c>
      <c r="D141" s="23" t="s">
        <v>2471</v>
      </c>
      <c r="E141" s="37" t="str">
        <f>INDEX('Attribute Definition'!$B:$B,MATCH($D141,'Attribute Definition'!$A:$A,0))</f>
        <v>Dạng sản phẩm</v>
      </c>
      <c r="F141" s="38" t="s">
        <v>2657</v>
      </c>
      <c r="G141" s="39" t="str" cm="1">
        <f t="array" ref="G141">_xlfn.TEXTJOIN("; ",TRUE,_xlfn.UNIQUE(_xlfn._xlws.FILTER('Product Variant Attribute'!$F$2:$F$3000,('Product Variant Attribute'!$B$2:$B$3000=$A141)*('Product Variant Attribute'!$D$2:$D$3000=$D141),"")))</f>
        <v>Máy / thiết bị điện tử</v>
      </c>
      <c r="H141" s="39"/>
      <c r="I141" s="39"/>
      <c r="J141" s="39" t="str" cm="1">
        <f t="array" ref="J141">IF($I141="","",_xlfn.TEXTJOIN("; ",TRUE,_xlfn.UNIQUE(_xlfn._xlws.FILTER($A$2:$A$3000,($C$2:$C$3000=$C141)*($E$2:$E$3000=$E141)*($G$2:$G$3000&lt;&gt;$G141)*($G$2:$G$3000&lt;&gt;""),""))))</f>
        <v/>
      </c>
    </row>
    <row r="142" spans="1:10" x14ac:dyDescent="0.25">
      <c r="A142" s="23" t="s">
        <v>610</v>
      </c>
      <c r="B142" s="37" t="str">
        <f>INDEX(Product!$B:$B,MATCH($A142,Product!$A:$A,0))</f>
        <v>Miếng dán ép sẹo silicone (10cmx1.7cm)</v>
      </c>
      <c r="C142" s="37" t="str">
        <f>INDEX(Product!$D:$D,MATCH($A142,Product!$A:$A,0))</f>
        <v>Miếng dán trị sẹo</v>
      </c>
      <c r="D142" s="23" t="s">
        <v>2342</v>
      </c>
      <c r="E142" s="37" t="str">
        <f>INDEX('Attribute Definition'!$B:$B,MATCH($D142,'Attribute Definition'!$A:$A,0))</f>
        <v>Kích thước</v>
      </c>
      <c r="F142" s="38" t="s">
        <v>2657</v>
      </c>
      <c r="G142" s="39" t="str" cm="1">
        <f t="array" ref="G142">_xlfn.TEXTJOIN("; ",TRUE,_xlfn.UNIQUE(_xlfn._xlws.FILTER('Product Variant Attribute'!$F$2:$F$3000,('Product Variant Attribute'!$B$2:$B$3000=$A142)*('Product Variant Attribute'!$D$2:$D$3000=$D142),"")))</f>
        <v>10cmx1.7cm</v>
      </c>
      <c r="H142" s="39"/>
      <c r="I142" s="39"/>
      <c r="J142" s="39" t="str" cm="1">
        <f t="array" ref="J142">IF($I142="","",_xlfn.TEXTJOIN("; ",TRUE,_xlfn.UNIQUE(_xlfn._xlws.FILTER($A$2:$A$3000,($C$2:$C$3000=$C142)*($E$2:$E$3000=$E142)*($G$2:$G$3000&lt;&gt;$G142)*($G$2:$G$3000&lt;&gt;""),""))))</f>
        <v/>
      </c>
    </row>
    <row r="143" spans="1:10" x14ac:dyDescent="0.25">
      <c r="A143" s="23" t="s">
        <v>610</v>
      </c>
      <c r="B143" s="37" t="str">
        <f>INDEX(Product!$B:$B,MATCH($A143,Product!$A:$A,0))</f>
        <v>Miếng dán ép sẹo silicone (10cmx1.7cm)</v>
      </c>
      <c r="C143" s="37" t="str">
        <f>INDEX(Product!$D:$D,MATCH($A143,Product!$A:$A,0))</f>
        <v>Miếng dán trị sẹo</v>
      </c>
      <c r="D143" s="23" t="s">
        <v>2367</v>
      </c>
      <c r="E143" s="37" t="str">
        <f>INDEX('Attribute Definition'!$B:$B,MATCH($D143,'Attribute Definition'!$A:$A,0))</f>
        <v>Chất liệu</v>
      </c>
      <c r="F143" s="38" t="s">
        <v>2657</v>
      </c>
      <c r="G143" s="39" t="str" cm="1">
        <f t="array" ref="G143">_xlfn.TEXTJOIN("; ",TRUE,_xlfn.UNIQUE(_xlfn._xlws.FILTER('Product Variant Attribute'!$F$2:$F$3000,('Product Variant Attribute'!$B$2:$B$3000=$A143)*('Product Variant Attribute'!$D$2:$D$3000=$D143),"")))</f>
        <v>Silicone</v>
      </c>
      <c r="H143" s="39"/>
      <c r="I143" s="39"/>
      <c r="J143" s="39" t="str" cm="1">
        <f t="array" ref="J143">IF($I143="","",_xlfn.TEXTJOIN("; ",TRUE,_xlfn.UNIQUE(_xlfn._xlws.FILTER($A$2:$A$3000,($C$2:$C$3000=$C143)*($E$2:$E$3000=$E143)*($G$2:$G$3000&lt;&gt;$G143)*($G$2:$G$3000&lt;&gt;""),""))))</f>
        <v/>
      </c>
    </row>
    <row r="144" spans="1:10" x14ac:dyDescent="0.25">
      <c r="A144" s="23" t="s">
        <v>610</v>
      </c>
      <c r="B144" s="37" t="str">
        <f>INDEX(Product!$B:$B,MATCH($A144,Product!$A:$A,0))</f>
        <v>Miếng dán ép sẹo silicone (10cmx1.7cm)</v>
      </c>
      <c r="C144" s="37" t="str">
        <f>INDEX(Product!$D:$D,MATCH($A144,Product!$A:$A,0))</f>
        <v>Miếng dán trị sẹo</v>
      </c>
      <c r="D144" s="23" t="s">
        <v>2471</v>
      </c>
      <c r="E144" s="37" t="str">
        <f>INDEX('Attribute Definition'!$B:$B,MATCH($D144,'Attribute Definition'!$A:$A,0))</f>
        <v>Dạng sản phẩm</v>
      </c>
      <c r="F144" s="38" t="s">
        <v>2657</v>
      </c>
      <c r="G144" s="39" t="str" cm="1">
        <f t="array" ref="G144">_xlfn.TEXTJOIN("; ",TRUE,_xlfn.UNIQUE(_xlfn._xlws.FILTER('Product Variant Attribute'!$F$2:$F$3000,('Product Variant Attribute'!$B$2:$B$3000=$A144)*('Product Variant Attribute'!$D$2:$D$3000=$D144),"")))</f>
        <v>Miếng dán / gạc</v>
      </c>
      <c r="H144" s="39"/>
      <c r="I144" s="39"/>
      <c r="J144" s="39" t="str" cm="1">
        <f t="array" ref="J144">IF($I144="","",_xlfn.TEXTJOIN("; ",TRUE,_xlfn.UNIQUE(_xlfn._xlws.FILTER($A$2:$A$3000,($C$2:$C$3000=$C144)*($E$2:$E$3000=$E144)*($G$2:$G$3000&lt;&gt;$G144)*($G$2:$G$3000&lt;&gt;""),""))))</f>
        <v/>
      </c>
    </row>
    <row r="145" spans="1:10" x14ac:dyDescent="0.25">
      <c r="A145" s="23" t="s">
        <v>611</v>
      </c>
      <c r="B145" s="37" t="str">
        <f>INDEX(Product!$B:$B,MATCH($A145,Product!$A:$A,0))</f>
        <v>[Aveflor] Bình xịt lạnh giảm đau - Chillit (250ml)</v>
      </c>
      <c r="C145" s="37" t="str">
        <f>INDEX(Product!$D:$D,MATCH($A145,Product!$A:$A,0))</f>
        <v>Xịt lạnh giảm đau</v>
      </c>
      <c r="D145" s="23" t="s">
        <v>2349</v>
      </c>
      <c r="E145" s="37" t="str">
        <f>INDEX('Attribute Definition'!$B:$B,MATCH($D145,'Attribute Definition'!$A:$A,0))</f>
        <v>Dung tích</v>
      </c>
      <c r="F145" s="38" t="s">
        <v>2657</v>
      </c>
      <c r="G145" s="39" t="str" cm="1">
        <f t="array" ref="G145">_xlfn.TEXTJOIN("; ",TRUE,_xlfn.UNIQUE(_xlfn._xlws.FILTER('Product Variant Attribute'!$F$2:$F$3000,('Product Variant Attribute'!$B$2:$B$3000=$A145)*('Product Variant Attribute'!$D$2:$D$3000=$D145),"")))</f>
        <v>250ml</v>
      </c>
      <c r="H145" s="39"/>
      <c r="I145" s="39"/>
      <c r="J145" s="39" t="str" cm="1">
        <f t="array" ref="J145">IF($I145="","",_xlfn.TEXTJOIN("; ",TRUE,_xlfn.UNIQUE(_xlfn._xlws.FILTER($A$2:$A$3000,($C$2:$C$3000=$C145)*($E$2:$E$3000=$E145)*($G$2:$G$3000&lt;&gt;$G145)*($G$2:$G$3000&lt;&gt;""),""))))</f>
        <v/>
      </c>
    </row>
    <row r="146" spans="1:10" x14ac:dyDescent="0.25">
      <c r="A146" s="23" t="s">
        <v>611</v>
      </c>
      <c r="B146" s="37" t="str">
        <f>INDEX(Product!$B:$B,MATCH($A146,Product!$A:$A,0))</f>
        <v>[Aveflor] Bình xịt lạnh giảm đau - Chillit (250ml)</v>
      </c>
      <c r="C146" s="37" t="str">
        <f>INDEX(Product!$D:$D,MATCH($A146,Product!$A:$A,0))</f>
        <v>Xịt lạnh giảm đau</v>
      </c>
      <c r="D146" s="23" t="s">
        <v>2471</v>
      </c>
      <c r="E146" s="37" t="str">
        <f>INDEX('Attribute Definition'!$B:$B,MATCH($D146,'Attribute Definition'!$A:$A,0))</f>
        <v>Dạng sản phẩm</v>
      </c>
      <c r="F146" s="38" t="s">
        <v>2657</v>
      </c>
      <c r="G146" s="39" t="str" cm="1">
        <f t="array" ref="G146">_xlfn.TEXTJOIN("; ",TRUE,_xlfn.UNIQUE(_xlfn._xlws.FILTER('Product Variant Attribute'!$F$2:$F$3000,('Product Variant Attribute'!$B$2:$B$3000=$A146)*('Product Variant Attribute'!$D$2:$D$3000=$D146),"")))</f>
        <v>Xịt</v>
      </c>
      <c r="H146" s="39"/>
      <c r="I146" s="39"/>
      <c r="J146" s="39" t="str" cm="1">
        <f t="array" ref="J146">IF($I146="","",_xlfn.TEXTJOIN("; ",TRUE,_xlfn.UNIQUE(_xlfn._xlws.FILTER($A$2:$A$3000,($C$2:$C$3000=$C146)*($E$2:$E$3000=$E146)*($G$2:$G$3000&lt;&gt;$G146)*($G$2:$G$3000&lt;&gt;""),""))))</f>
        <v/>
      </c>
    </row>
    <row r="147" spans="1:10" x14ac:dyDescent="0.25">
      <c r="A147" s="23" t="s">
        <v>612</v>
      </c>
      <c r="B147" s="37" t="str">
        <f>INDEX(Product!$B:$B,MATCH($A147,Product!$A:$A,0))</f>
        <v>[CODY Health] Băng thun bảo vệ đầu gối</v>
      </c>
      <c r="C147" s="37" t="str">
        <f>INDEX(Product!$D:$D,MATCH($A147,Product!$A:$A,0))</f>
        <v>Đai hỗ trợ đầu gối</v>
      </c>
      <c r="D147" s="23" t="s">
        <v>2439</v>
      </c>
      <c r="E147" s="37" t="str">
        <f>INDEX('Attribute Definition'!$B:$B,MATCH($D147,'Attribute Definition'!$A:$A,0))</f>
        <v>Vị trí sử dụng trên cơ thể</v>
      </c>
      <c r="F147" s="38" t="s">
        <v>2657</v>
      </c>
      <c r="G147" s="39" t="str" cm="1">
        <f t="array" ref="G147">_xlfn.TEXTJOIN("; ",TRUE,_xlfn.UNIQUE(_xlfn._xlws.FILTER('Product Variant Attribute'!$F$2:$F$3000,('Product Variant Attribute'!$B$2:$B$3000=$A147)*('Product Variant Attribute'!$D$2:$D$3000=$D147),"")))</f>
        <v>Đầu gối</v>
      </c>
      <c r="H147" s="39"/>
      <c r="I147" s="39"/>
      <c r="J147" s="39" t="str" cm="1">
        <f t="array" ref="J147">IF($I147="","",_xlfn.TEXTJOIN("; ",TRUE,_xlfn.UNIQUE(_xlfn._xlws.FILTER($A$2:$A$3000,($C$2:$C$3000=$C147)*($E$2:$E$3000=$E147)*($G$2:$G$3000&lt;&gt;$G147)*($G$2:$G$3000&lt;&gt;""),""))))</f>
        <v/>
      </c>
    </row>
    <row r="148" spans="1:10" ht="30" x14ac:dyDescent="0.25">
      <c r="A148" s="23" t="s">
        <v>612</v>
      </c>
      <c r="B148" s="37" t="str">
        <f>INDEX(Product!$B:$B,MATCH($A148,Product!$A:$A,0))</f>
        <v>[CODY Health] Băng thun bảo vệ đầu gối</v>
      </c>
      <c r="C148" s="37" t="str">
        <f>INDEX(Product!$D:$D,MATCH($A148,Product!$A:$A,0))</f>
        <v>Đai hỗ trợ đầu gối</v>
      </c>
      <c r="D148" s="23" t="s">
        <v>2471</v>
      </c>
      <c r="E148" s="37" t="str">
        <f>INDEX('Attribute Definition'!$B:$B,MATCH($D148,'Attribute Definition'!$A:$A,0))</f>
        <v>Dạng sản phẩm</v>
      </c>
      <c r="F148" s="38" t="s">
        <v>2657</v>
      </c>
      <c r="G148" s="39" t="str" cm="1">
        <f t="array" ref="G148">_xlfn.TEXTJOIN("; ",TRUE,_xlfn.UNIQUE(_xlfn._xlws.FILTER('Product Variant Attribute'!$F$2:$F$3000,('Product Variant Attribute'!$B$2:$B$3000=$A148)*('Product Variant Attribute'!$D$2:$D$3000=$D148),"")))</f>
        <v>Miếng dán / gạc</v>
      </c>
      <c r="H148" s="39"/>
      <c r="I148" s="39" t="s">
        <v>2718</v>
      </c>
      <c r="J148" s="39" t="str" cm="1">
        <f t="array" ref="J148">IF($I148="","",_xlfn.TEXTJOIN("; ",TRUE,_xlfn.UNIQUE(_xlfn._xlws.FILTER($A$2:$A$3000,($C$2:$C$3000=$C148)*($E$2:$E$3000=$E148)*($G$2:$G$3000&lt;&gt;$G148)*($G$2:$G$3000&lt;&gt;""),""))))</f>
        <v>PRODUCT-00052; PRODUCT-00062</v>
      </c>
    </row>
    <row r="149" spans="1:10" x14ac:dyDescent="0.25">
      <c r="A149" s="23" t="s">
        <v>613</v>
      </c>
      <c r="B149" s="37" t="str">
        <f>INDEX(Product!$B:$B,MATCH($A149,Product!$A:$A,0))</f>
        <v>[CODY Health] Đai đầu gối tập luyện thể thao</v>
      </c>
      <c r="C149" s="37" t="str">
        <f>INDEX(Product!$D:$D,MATCH($A149,Product!$A:$A,0))</f>
        <v>Đai hỗ trợ đầu gối</v>
      </c>
      <c r="D149" s="23" t="s">
        <v>2439</v>
      </c>
      <c r="E149" s="37" t="str">
        <f>INDEX('Attribute Definition'!$B:$B,MATCH($D149,'Attribute Definition'!$A:$A,0))</f>
        <v>Vị trí sử dụng trên cơ thể</v>
      </c>
      <c r="F149" s="38" t="s">
        <v>2657</v>
      </c>
      <c r="G149" s="39" t="str" cm="1">
        <f t="array" ref="G149">_xlfn.TEXTJOIN("; ",TRUE,_xlfn.UNIQUE(_xlfn._xlws.FILTER('Product Variant Attribute'!$F$2:$F$3000,('Product Variant Attribute'!$B$2:$B$3000=$A149)*('Product Variant Attribute'!$D$2:$D$3000=$D149),"")))</f>
        <v>Đầu gối</v>
      </c>
      <c r="H149" s="39"/>
      <c r="I149" s="39"/>
      <c r="J149" s="39" t="str" cm="1">
        <f t="array" ref="J149">IF($I149="","",_xlfn.TEXTJOIN("; ",TRUE,_xlfn.UNIQUE(_xlfn._xlws.FILTER($A$2:$A$3000,($C$2:$C$3000=$C149)*($E$2:$E$3000=$E149)*($G$2:$G$3000&lt;&gt;$G149)*($G$2:$G$3000&lt;&gt;""),""))))</f>
        <v/>
      </c>
    </row>
    <row r="150" spans="1:10" ht="30" x14ac:dyDescent="0.25">
      <c r="A150" s="23" t="s">
        <v>613</v>
      </c>
      <c r="B150" s="37" t="str">
        <f>INDEX(Product!$B:$B,MATCH($A150,Product!$A:$A,0))</f>
        <v>[CODY Health] Đai đầu gối tập luyện thể thao</v>
      </c>
      <c r="C150" s="37" t="str">
        <f>INDEX(Product!$D:$D,MATCH($A150,Product!$A:$A,0))</f>
        <v>Đai hỗ trợ đầu gối</v>
      </c>
      <c r="D150" s="23" t="s">
        <v>2471</v>
      </c>
      <c r="E150" s="37" t="str">
        <f>INDEX('Attribute Definition'!$B:$B,MATCH($D150,'Attribute Definition'!$A:$A,0))</f>
        <v>Dạng sản phẩm</v>
      </c>
      <c r="F150" s="38" t="s">
        <v>2657</v>
      </c>
      <c r="G150" s="39" t="str" cm="1">
        <f t="array" ref="G150">_xlfn.TEXTJOIN("; ",TRUE,_xlfn.UNIQUE(_xlfn._xlws.FILTER('Product Variant Attribute'!$F$2:$F$3000,('Product Variant Attribute'!$B$2:$B$3000=$A150)*('Product Variant Attribute'!$D$2:$D$3000=$D150),"")))</f>
        <v>Đai / băng thun</v>
      </c>
      <c r="H150" s="39"/>
      <c r="I150" s="39" t="s">
        <v>2719</v>
      </c>
      <c r="J150" s="39" t="str" cm="1">
        <f t="array" ref="J150">IF($I150="","",_xlfn.TEXTJOIN("; ",TRUE,_xlfn.UNIQUE(_xlfn._xlws.FILTER($A$2:$A$3000,($C$2:$C$3000=$C150)*($E$2:$E$3000=$E150)*($G$2:$G$3000&lt;&gt;$G150)*($G$2:$G$3000&lt;&gt;""),""))))</f>
        <v>PRODUCT-00051</v>
      </c>
    </row>
    <row r="151" spans="1:10" x14ac:dyDescent="0.25">
      <c r="A151" s="23" t="s">
        <v>614</v>
      </c>
      <c r="B151" s="37" t="str">
        <f>INDEX(Product!$B:$B,MATCH($A151,Product!$A:$A,0))</f>
        <v>[CODY Health] Đai lưng cố định cột sống</v>
      </c>
      <c r="C151" s="37" t="str">
        <f>INDEX(Product!$D:$D,MATCH($A151,Product!$A:$A,0))</f>
        <v>Đai lưng cột sống</v>
      </c>
      <c r="D151" s="23" t="s">
        <v>2439</v>
      </c>
      <c r="E151" s="37" t="str">
        <f>INDEX('Attribute Definition'!$B:$B,MATCH($D151,'Attribute Definition'!$A:$A,0))</f>
        <v>Vị trí sử dụng trên cơ thể</v>
      </c>
      <c r="F151" s="38" t="s">
        <v>2657</v>
      </c>
      <c r="G151" s="39" t="str" cm="1">
        <f t="array" ref="G151">_xlfn.TEXTJOIN("; ",TRUE,_xlfn.UNIQUE(_xlfn._xlws.FILTER('Product Variant Attribute'!$F$2:$F$3000,('Product Variant Attribute'!$B$2:$B$3000=$A151)*('Product Variant Attribute'!$D$2:$D$3000=$D151),"")))</f>
        <v>Lưng - cột sống</v>
      </c>
      <c r="H151" s="39"/>
      <c r="I151" s="39"/>
      <c r="J151" s="39" t="str" cm="1">
        <f t="array" ref="J151">IF($I151="","",_xlfn.TEXTJOIN("; ",TRUE,_xlfn.UNIQUE(_xlfn._xlws.FILTER($A$2:$A$3000,($C$2:$C$3000=$C151)*($E$2:$E$3000=$E151)*($G$2:$G$3000&lt;&gt;$G151)*($G$2:$G$3000&lt;&gt;""),""))))</f>
        <v/>
      </c>
    </row>
    <row r="152" spans="1:10" x14ac:dyDescent="0.25">
      <c r="A152" s="23" t="s">
        <v>614</v>
      </c>
      <c r="B152" s="37" t="str">
        <f>INDEX(Product!$B:$B,MATCH($A152,Product!$A:$A,0))</f>
        <v>[CODY Health] Đai lưng cố định cột sống</v>
      </c>
      <c r="C152" s="37" t="str">
        <f>INDEX(Product!$D:$D,MATCH($A152,Product!$A:$A,0))</f>
        <v>Đai lưng cột sống</v>
      </c>
      <c r="D152" s="23" t="s">
        <v>2471</v>
      </c>
      <c r="E152" s="37" t="str">
        <f>INDEX('Attribute Definition'!$B:$B,MATCH($D152,'Attribute Definition'!$A:$A,0))</f>
        <v>Dạng sản phẩm</v>
      </c>
      <c r="F152" s="38" t="s">
        <v>2657</v>
      </c>
      <c r="G152" s="39" t="str" cm="1">
        <f t="array" ref="G152">_xlfn.TEXTJOIN("; ",TRUE,_xlfn.UNIQUE(_xlfn._xlws.FILTER('Product Variant Attribute'!$F$2:$F$3000,('Product Variant Attribute'!$B$2:$B$3000=$A152)*('Product Variant Attribute'!$D$2:$D$3000=$D152),"")))</f>
        <v>Đai / băng thun</v>
      </c>
      <c r="H152" s="39"/>
      <c r="I152" s="39"/>
      <c r="J152" s="39" t="str" cm="1">
        <f t="array" ref="J152">IF($I152="","",_xlfn.TEXTJOIN("; ",TRUE,_xlfn.UNIQUE(_xlfn._xlws.FILTER($A$2:$A$3000,($C$2:$C$3000=$C152)*($E$2:$E$3000=$E152)*($G$2:$G$3000&lt;&gt;$G152)*($G$2:$G$3000&lt;&gt;""),""))))</f>
        <v/>
      </c>
    </row>
    <row r="153" spans="1:10" ht="45" x14ac:dyDescent="0.25">
      <c r="A153" s="23" t="s">
        <v>614</v>
      </c>
      <c r="B153" s="37" t="str">
        <f>INDEX(Product!$B:$B,MATCH($A153,Product!$A:$A,0))</f>
        <v>[CODY Health] Đai lưng cố định cột sống</v>
      </c>
      <c r="C153" s="37" t="str">
        <f>INDEX(Product!$D:$D,MATCH($A153,Product!$A:$A,0))</f>
        <v>Đai lưng cột sống</v>
      </c>
      <c r="D153" s="23" t="s">
        <v>2656</v>
      </c>
      <c r="E153" s="37" t="str">
        <f>INDEX('Attribute Definition'!$B:$B,MATCH($D153,'Attribute Definition'!$A:$A,0))</f>
        <v>Kích cỡ</v>
      </c>
      <c r="F153" s="38" t="s">
        <v>2485</v>
      </c>
      <c r="G153" s="39" t="str" cm="1">
        <f t="array" ref="G153">_xlfn.TEXTJOIN("; ",TRUE,_xlfn.UNIQUE(_xlfn._xlws.FILTER('Product Variant Attribute'!$F$2:$F$3000,('Product Variant Attribute'!$B$2:$B$3000=$A153)*('Product Variant Attribute'!$D$2:$D$3000=$D153),"")))</f>
        <v>S; M; L; XL</v>
      </c>
      <c r="H153" s="39" t="s">
        <v>2668</v>
      </c>
      <c r="I153" s="39"/>
      <c r="J153" s="39" t="str" cm="1">
        <f t="array" ref="J153">IF($I153="","",_xlfn.TEXTJOIN("; ",TRUE,_xlfn.UNIQUE(_xlfn._xlws.FILTER($A$2:$A$3000,($C$2:$C$3000=$C153)*($E$2:$E$3000=$E153)*($G$2:$G$3000&lt;&gt;$G153)*($G$2:$G$3000&lt;&gt;""),""))))</f>
        <v/>
      </c>
    </row>
    <row r="154" spans="1:10" x14ac:dyDescent="0.25">
      <c r="A154" s="23" t="s">
        <v>615</v>
      </c>
      <c r="B154" s="37" t="str">
        <f>INDEX(Product!$B:$B,MATCH($A154,Product!$A:$A,0))</f>
        <v>[CODY Health] Vớ đùi y khoa giãn tĩnh mạch có silicone chống trượt</v>
      </c>
      <c r="C154" s="37" t="str">
        <f>INDEX(Product!$D:$D,MATCH($A154,Product!$A:$A,0))</f>
        <v>Vớ y khoa giãn tĩnh mạch</v>
      </c>
      <c r="D154" s="23" t="s">
        <v>2367</v>
      </c>
      <c r="E154" s="37" t="str">
        <f>INDEX('Attribute Definition'!$B:$B,MATCH($D154,'Attribute Definition'!$A:$A,0))</f>
        <v>Chất liệu</v>
      </c>
      <c r="F154" s="38" t="s">
        <v>2657</v>
      </c>
      <c r="G154" s="39" t="str" cm="1">
        <f t="array" ref="G154">_xlfn.TEXTJOIN("; ",TRUE,_xlfn.UNIQUE(_xlfn._xlws.FILTER('Product Variant Attribute'!$F$2:$F$3000,('Product Variant Attribute'!$B$2:$B$3000=$A154)*('Product Variant Attribute'!$D$2:$D$3000=$D154),"")))</f>
        <v>Silicone</v>
      </c>
      <c r="H154" s="39"/>
      <c r="I154" s="39"/>
      <c r="J154" s="39" t="str" cm="1">
        <f t="array" ref="J154">IF($I154="","",_xlfn.TEXTJOIN("; ",TRUE,_xlfn.UNIQUE(_xlfn._xlws.FILTER($A$2:$A$3000,($C$2:$C$3000=$C154)*($E$2:$E$3000=$E154)*($G$2:$G$3000&lt;&gt;$G154)*($G$2:$G$3000&lt;&gt;""),""))))</f>
        <v/>
      </c>
    </row>
    <row r="155" spans="1:10" ht="30" x14ac:dyDescent="0.25">
      <c r="A155" s="23" t="s">
        <v>615</v>
      </c>
      <c r="B155" s="37" t="str">
        <f>INDEX(Product!$B:$B,MATCH($A155,Product!$A:$A,0))</f>
        <v>[CODY Health] Vớ đùi y khoa giãn tĩnh mạch có silicone chống trượt</v>
      </c>
      <c r="C155" s="37" t="str">
        <f>INDEX(Product!$D:$D,MATCH($A155,Product!$A:$A,0))</f>
        <v>Vớ y khoa giãn tĩnh mạch</v>
      </c>
      <c r="D155" s="23" t="s">
        <v>2439</v>
      </c>
      <c r="E155" s="37" t="str">
        <f>INDEX('Attribute Definition'!$B:$B,MATCH($D155,'Attribute Definition'!$A:$A,0))</f>
        <v>Vị trí sử dụng trên cơ thể</v>
      </c>
      <c r="F155" s="38" t="s">
        <v>2657</v>
      </c>
      <c r="G155" s="39" t="str" cm="1">
        <f t="array" ref="G155">_xlfn.TEXTJOIN("; ",TRUE,_xlfn.UNIQUE(_xlfn._xlws.FILTER('Product Variant Attribute'!$F$2:$F$3000,('Product Variant Attribute'!$B$2:$B$3000=$A155)*('Product Variant Attribute'!$D$2:$D$3000=$D155),"")))</f>
        <v>Đùi</v>
      </c>
      <c r="H155" s="39"/>
      <c r="I155" s="39" t="s">
        <v>2720</v>
      </c>
      <c r="J155" s="39" t="str" cm="1">
        <f t="array" ref="J155">IF($I155="","",_xlfn.TEXTJOIN("; ",TRUE,_xlfn.UNIQUE(_xlfn._xlws.FILTER($A$2:$A$3000,($C$2:$C$3000=$C155)*($E$2:$E$3000=$E155)*($G$2:$G$3000&lt;&gt;$G155)*($G$2:$G$3000&lt;&gt;""),""))))</f>
        <v>PRODUCT-00055; PRODUCT-00056; PRODUCT-00063; PRODUCT-00298</v>
      </c>
    </row>
    <row r="156" spans="1:10" x14ac:dyDescent="0.25">
      <c r="A156" s="23" t="s">
        <v>615</v>
      </c>
      <c r="B156" s="37" t="str">
        <f>INDEX(Product!$B:$B,MATCH($A156,Product!$A:$A,0))</f>
        <v>[CODY Health] Vớ đùi y khoa giãn tĩnh mạch có silicone chống trượt</v>
      </c>
      <c r="C156" s="37" t="str">
        <f>INDEX(Product!$D:$D,MATCH($A156,Product!$A:$A,0))</f>
        <v>Vớ y khoa giãn tĩnh mạch</v>
      </c>
      <c r="D156" s="23" t="s">
        <v>2471</v>
      </c>
      <c r="E156" s="37" t="str">
        <f>INDEX('Attribute Definition'!$B:$B,MATCH($D156,'Attribute Definition'!$A:$A,0))</f>
        <v>Dạng sản phẩm</v>
      </c>
      <c r="F156" s="38" t="s">
        <v>2657</v>
      </c>
      <c r="G156" s="39" t="str" cm="1">
        <f t="array" ref="G156">_xlfn.TEXTJOIN("; ",TRUE,_xlfn.UNIQUE(_xlfn._xlws.FILTER('Product Variant Attribute'!$F$2:$F$3000,('Product Variant Attribute'!$B$2:$B$3000=$A156)*('Product Variant Attribute'!$D$2:$D$3000=$D156),"")))</f>
        <v>Vớ</v>
      </c>
      <c r="H156" s="39"/>
      <c r="I156" s="39"/>
      <c r="J156" s="39" t="str" cm="1">
        <f t="array" ref="J156">IF($I156="","",_xlfn.TEXTJOIN("; ",TRUE,_xlfn.UNIQUE(_xlfn._xlws.FILTER($A$2:$A$3000,($C$2:$C$3000=$C156)*($E$2:$E$3000=$E156)*($G$2:$G$3000&lt;&gt;$G156)*($G$2:$G$3000&lt;&gt;""),""))))</f>
        <v/>
      </c>
    </row>
    <row r="157" spans="1:10" ht="60" x14ac:dyDescent="0.25">
      <c r="A157" s="23" t="s">
        <v>615</v>
      </c>
      <c r="B157" s="37" t="str">
        <f>INDEX(Product!$B:$B,MATCH($A157,Product!$A:$A,0))</f>
        <v>[CODY Health] Vớ đùi y khoa giãn tĩnh mạch có silicone chống trượt</v>
      </c>
      <c r="C157" s="37" t="str">
        <f>INDEX(Product!$D:$D,MATCH($A157,Product!$A:$A,0))</f>
        <v>Vớ y khoa giãn tĩnh mạch</v>
      </c>
      <c r="D157" s="23" t="s">
        <v>2656</v>
      </c>
      <c r="E157" s="37" t="str">
        <f>INDEX('Attribute Definition'!$B:$B,MATCH($D157,'Attribute Definition'!$A:$A,0))</f>
        <v>Kích cỡ</v>
      </c>
      <c r="F157" s="38" t="s">
        <v>2485</v>
      </c>
      <c r="G157" s="39" t="str" cm="1">
        <f t="array" ref="G157">_xlfn.TEXTJOIN("; ",TRUE,_xlfn.UNIQUE(_xlfn._xlws.FILTER('Product Variant Attribute'!$F$2:$F$3000,('Product Variant Attribute'!$B$2:$B$3000=$A157)*('Product Variant Attribute'!$D$2:$D$3000=$D157),"")))</f>
        <v>S; M; L</v>
      </c>
      <c r="H157" s="39" t="s">
        <v>2669</v>
      </c>
      <c r="I157" s="39"/>
      <c r="J157" s="39" t="str" cm="1">
        <f t="array" ref="J157">IF($I157="","",_xlfn.TEXTJOIN("; ",TRUE,_xlfn.UNIQUE(_xlfn._xlws.FILTER($A$2:$A$3000,($C$2:$C$3000=$C157)*($E$2:$E$3000=$E157)*($G$2:$G$3000&lt;&gt;$G157)*($G$2:$G$3000&lt;&gt;""),""))))</f>
        <v/>
      </c>
    </row>
    <row r="158" spans="1:10" ht="45" x14ac:dyDescent="0.25">
      <c r="A158" s="23" t="s">
        <v>616</v>
      </c>
      <c r="B158" s="37" t="str">
        <f>INDEX(Product!$B:$B,MATCH($A158,Product!$A:$A,0))</f>
        <v>[CODY Health] Vớ gối y khoa giãn tĩnh mạch</v>
      </c>
      <c r="C158" s="37" t="str">
        <f>INDEX(Product!$D:$D,MATCH($A158,Product!$A:$A,0))</f>
        <v>Vớ y khoa giãn tĩnh mạch</v>
      </c>
      <c r="D158" s="23" t="s">
        <v>2439</v>
      </c>
      <c r="E158" s="37" t="str">
        <f>INDEX('Attribute Definition'!$B:$B,MATCH($D158,'Attribute Definition'!$A:$A,0))</f>
        <v>Vị trí sử dụng trên cơ thể</v>
      </c>
      <c r="F158" s="38" t="s">
        <v>2657</v>
      </c>
      <c r="G158" s="39" t="str" cm="1">
        <f t="array" ref="G158">_xlfn.TEXTJOIN("; ",TRUE,_xlfn.UNIQUE(_xlfn._xlws.FILTER('Product Variant Attribute'!$F$2:$F$3000,('Product Variant Attribute'!$B$2:$B$3000=$A158)*('Product Variant Attribute'!$D$2:$D$3000=$D158),"")))</f>
        <v>Gối (dưới gối)</v>
      </c>
      <c r="H158" s="39"/>
      <c r="I158" s="39" t="s">
        <v>2721</v>
      </c>
      <c r="J158" s="39" t="str" cm="1">
        <f t="array" ref="J158">IF($I158="","",_xlfn.TEXTJOIN("; ",TRUE,_xlfn.UNIQUE(_xlfn._xlws.FILTER($A$2:$A$3000,($C$2:$C$3000=$C158)*($E$2:$E$3000=$E158)*($G$2:$G$3000&lt;&gt;$G158)*($G$2:$G$3000&lt;&gt;""),""))))</f>
        <v>PRODUCT-00054; PRODUCT-00063; PRODUCT-00296; PRODUCT-00299</v>
      </c>
    </row>
    <row r="159" spans="1:10" x14ac:dyDescent="0.25">
      <c r="A159" s="23" t="s">
        <v>616</v>
      </c>
      <c r="B159" s="37" t="str">
        <f>INDEX(Product!$B:$B,MATCH($A159,Product!$A:$A,0))</f>
        <v>[CODY Health] Vớ gối y khoa giãn tĩnh mạch</v>
      </c>
      <c r="C159" s="37" t="str">
        <f>INDEX(Product!$D:$D,MATCH($A159,Product!$A:$A,0))</f>
        <v>Vớ y khoa giãn tĩnh mạch</v>
      </c>
      <c r="D159" s="23" t="s">
        <v>2471</v>
      </c>
      <c r="E159" s="37" t="str">
        <f>INDEX('Attribute Definition'!$B:$B,MATCH($D159,'Attribute Definition'!$A:$A,0))</f>
        <v>Dạng sản phẩm</v>
      </c>
      <c r="F159" s="38" t="s">
        <v>2657</v>
      </c>
      <c r="G159" s="39" t="str" cm="1">
        <f t="array" ref="G159">_xlfn.TEXTJOIN("; ",TRUE,_xlfn.UNIQUE(_xlfn._xlws.FILTER('Product Variant Attribute'!$F$2:$F$3000,('Product Variant Attribute'!$B$2:$B$3000=$A159)*('Product Variant Attribute'!$D$2:$D$3000=$D159),"")))</f>
        <v>Vớ</v>
      </c>
      <c r="H159" s="39"/>
      <c r="I159" s="39"/>
      <c r="J159" s="39" t="str" cm="1">
        <f t="array" ref="J159">IF($I159="","",_xlfn.TEXTJOIN("; ",TRUE,_xlfn.UNIQUE(_xlfn._xlws.FILTER($A$2:$A$3000,($C$2:$C$3000=$C159)*($E$2:$E$3000=$E159)*($G$2:$G$3000&lt;&gt;$G159)*($G$2:$G$3000&lt;&gt;""),""))))</f>
        <v/>
      </c>
    </row>
    <row r="160" spans="1:10" ht="45" x14ac:dyDescent="0.25">
      <c r="A160" s="23" t="s">
        <v>616</v>
      </c>
      <c r="B160" s="37" t="str">
        <f>INDEX(Product!$B:$B,MATCH($A160,Product!$A:$A,0))</f>
        <v>[CODY Health] Vớ gối y khoa giãn tĩnh mạch</v>
      </c>
      <c r="C160" s="37" t="str">
        <f>INDEX(Product!$D:$D,MATCH($A160,Product!$A:$A,0))</f>
        <v>Vớ y khoa giãn tĩnh mạch</v>
      </c>
      <c r="D160" s="23" t="s">
        <v>2656</v>
      </c>
      <c r="E160" s="37" t="str">
        <f>INDEX('Attribute Definition'!$B:$B,MATCH($D160,'Attribute Definition'!$A:$A,0))</f>
        <v>Kích cỡ</v>
      </c>
      <c r="F160" s="38" t="s">
        <v>2485</v>
      </c>
      <c r="G160" s="39" t="str" cm="1">
        <f t="array" ref="G160">_xlfn.TEXTJOIN("; ",TRUE,_xlfn.UNIQUE(_xlfn._xlws.FILTER('Product Variant Attribute'!$F$2:$F$3000,('Product Variant Attribute'!$B$2:$B$3000=$A160)*('Product Variant Attribute'!$D$2:$D$3000=$D160),"")))</f>
        <v>S; M; L</v>
      </c>
      <c r="H160" s="39" t="s">
        <v>2670</v>
      </c>
      <c r="I160" s="39"/>
      <c r="J160" s="39" t="str" cm="1">
        <f t="array" ref="J160">IF($I160="","",_xlfn.TEXTJOIN("; ",TRUE,_xlfn.UNIQUE(_xlfn._xlws.FILTER($A$2:$A$3000,($C$2:$C$3000=$C160)*($E$2:$E$3000=$E160)*($G$2:$G$3000&lt;&gt;$G160)*($G$2:$G$3000&lt;&gt;""),""))))</f>
        <v/>
      </c>
    </row>
    <row r="161" spans="1:10" ht="45" x14ac:dyDescent="0.25">
      <c r="A161" s="23" t="s">
        <v>617</v>
      </c>
      <c r="B161" s="37" t="str">
        <f>INDEX(Product!$B:$B,MATCH($A161,Product!$A:$A,0))</f>
        <v>[CODY Health] Vớ y khoa giãn tĩnh mạch (Vớ gối)</v>
      </c>
      <c r="C161" s="37" t="str">
        <f>INDEX(Product!$D:$D,MATCH($A161,Product!$A:$A,0))</f>
        <v>Vớ y khoa giãn tĩnh mạch</v>
      </c>
      <c r="D161" s="23" t="s">
        <v>2439</v>
      </c>
      <c r="E161" s="37" t="str">
        <f>INDEX('Attribute Definition'!$B:$B,MATCH($D161,'Attribute Definition'!$A:$A,0))</f>
        <v>Vị trí sử dụng trên cơ thể</v>
      </c>
      <c r="F161" s="38" t="s">
        <v>2657</v>
      </c>
      <c r="G161" s="39" t="str" cm="1">
        <f t="array" ref="G161">_xlfn.TEXTJOIN("; ",TRUE,_xlfn.UNIQUE(_xlfn._xlws.FILTER('Product Variant Attribute'!$F$2:$F$3000,('Product Variant Attribute'!$B$2:$B$3000=$A161)*('Product Variant Attribute'!$D$2:$D$3000=$D161),"")))</f>
        <v>Gối (dưới gối)</v>
      </c>
      <c r="H161" s="39"/>
      <c r="I161" s="39" t="s">
        <v>2721</v>
      </c>
      <c r="J161" s="39" t="str" cm="1">
        <f t="array" ref="J161">IF($I161="","",_xlfn.TEXTJOIN("; ",TRUE,_xlfn.UNIQUE(_xlfn._xlws.FILTER($A$2:$A$3000,($C$2:$C$3000=$C161)*($E$2:$E$3000=$E161)*($G$2:$G$3000&lt;&gt;$G161)*($G$2:$G$3000&lt;&gt;""),""))))</f>
        <v>PRODUCT-00054; PRODUCT-00063; PRODUCT-00296; PRODUCT-00299</v>
      </c>
    </row>
    <row r="162" spans="1:10" x14ac:dyDescent="0.25">
      <c r="A162" s="23" t="s">
        <v>617</v>
      </c>
      <c r="B162" s="37" t="str">
        <f>INDEX(Product!$B:$B,MATCH($A162,Product!$A:$A,0))</f>
        <v>[CODY Health] Vớ y khoa giãn tĩnh mạch (Vớ gối)</v>
      </c>
      <c r="C162" s="37" t="str">
        <f>INDEX(Product!$D:$D,MATCH($A162,Product!$A:$A,0))</f>
        <v>Vớ y khoa giãn tĩnh mạch</v>
      </c>
      <c r="D162" s="23" t="s">
        <v>2471</v>
      </c>
      <c r="E162" s="37" t="str">
        <f>INDEX('Attribute Definition'!$B:$B,MATCH($D162,'Attribute Definition'!$A:$A,0))</f>
        <v>Dạng sản phẩm</v>
      </c>
      <c r="F162" s="38" t="s">
        <v>2657</v>
      </c>
      <c r="G162" s="39" t="str" cm="1">
        <f t="array" ref="G162">_xlfn.TEXTJOIN("; ",TRUE,_xlfn.UNIQUE(_xlfn._xlws.FILTER('Product Variant Attribute'!$F$2:$F$3000,('Product Variant Attribute'!$B$2:$B$3000=$A162)*('Product Variant Attribute'!$D$2:$D$3000=$D162),"")))</f>
        <v>Vớ</v>
      </c>
      <c r="H162" s="39"/>
      <c r="I162" s="39"/>
      <c r="J162" s="39" t="str" cm="1">
        <f t="array" ref="J162">IF($I162="","",_xlfn.TEXTJOIN("; ",TRUE,_xlfn.UNIQUE(_xlfn._xlws.FILTER($A$2:$A$3000,($C$2:$C$3000=$C162)*($E$2:$E$3000=$E162)*($G$2:$G$3000&lt;&gt;$G162)*($G$2:$G$3000&lt;&gt;""),""))))</f>
        <v/>
      </c>
    </row>
    <row r="163" spans="1:10" ht="45" x14ac:dyDescent="0.25">
      <c r="A163" s="23" t="s">
        <v>617</v>
      </c>
      <c r="B163" s="37" t="str">
        <f>INDEX(Product!$B:$B,MATCH($A163,Product!$A:$A,0))</f>
        <v>[CODY Health] Vớ y khoa giãn tĩnh mạch (Vớ gối)</v>
      </c>
      <c r="C163" s="37" t="str">
        <f>INDEX(Product!$D:$D,MATCH($A163,Product!$A:$A,0))</f>
        <v>Vớ y khoa giãn tĩnh mạch</v>
      </c>
      <c r="D163" s="23" t="s">
        <v>2656</v>
      </c>
      <c r="E163" s="37" t="str">
        <f>INDEX('Attribute Definition'!$B:$B,MATCH($D163,'Attribute Definition'!$A:$A,0))</f>
        <v>Kích cỡ</v>
      </c>
      <c r="F163" s="38" t="s">
        <v>2485</v>
      </c>
      <c r="G163" s="39" t="str" cm="1">
        <f t="array" ref="G163">_xlfn.TEXTJOIN("; ",TRUE,_xlfn.UNIQUE(_xlfn._xlws.FILTER('Product Variant Attribute'!$F$2:$F$3000,('Product Variant Attribute'!$B$2:$B$3000=$A163)*('Product Variant Attribute'!$D$2:$D$3000=$D163),"")))</f>
        <v>S; M; L</v>
      </c>
      <c r="H163" s="39" t="s">
        <v>2671</v>
      </c>
      <c r="I163" s="39"/>
      <c r="J163" s="39" t="str" cm="1">
        <f t="array" ref="J163">IF($I163="","",_xlfn.TEXTJOIN("; ",TRUE,_xlfn.UNIQUE(_xlfn._xlws.FILTER($A$2:$A$3000,($C$2:$C$3000=$C163)*($E$2:$E$3000=$E163)*($G$2:$G$3000&lt;&gt;$G163)*($G$2:$G$3000&lt;&gt;""),""))))</f>
        <v/>
      </c>
    </row>
    <row r="164" spans="1:10" x14ac:dyDescent="0.25">
      <c r="A164" s="23" t="s">
        <v>618</v>
      </c>
      <c r="B164" s="37" t="str">
        <f>INDEX(Product!$B:$B,MATCH($A164,Product!$A:$A,0))</f>
        <v>[Hapaku] Đai chườm thảo dược bàn chân làm nóng bằng điện</v>
      </c>
      <c r="C164" s="37" t="str">
        <f>INDEX(Product!$D:$D,MATCH($A164,Product!$A:$A,0))</f>
        <v>Đai chườm thảo dược</v>
      </c>
      <c r="D164" s="23" t="s">
        <v>2367</v>
      </c>
      <c r="E164" s="37" t="str">
        <f>INDEX('Attribute Definition'!$B:$B,MATCH($D164,'Attribute Definition'!$A:$A,0))</f>
        <v>Chất liệu</v>
      </c>
      <c r="F164" s="38" t="s">
        <v>2657</v>
      </c>
      <c r="G164" s="39" t="str" cm="1">
        <f t="array" ref="G164">_xlfn.TEXTJOIN("; ",TRUE,_xlfn.UNIQUE(_xlfn._xlws.FILTER('Product Variant Attribute'!$F$2:$F$3000,('Product Variant Attribute'!$B$2:$B$3000=$A164)*('Product Variant Attribute'!$D$2:$D$3000=$D164),"")))</f>
        <v>Thảo dược</v>
      </c>
      <c r="H164" s="39"/>
      <c r="I164" s="39"/>
      <c r="J164" s="39" t="str" cm="1">
        <f t="array" ref="J164">IF($I164="","",_xlfn.TEXTJOIN("; ",TRUE,_xlfn.UNIQUE(_xlfn._xlws.FILTER($A$2:$A$3000,($C$2:$C$3000=$C164)*($E$2:$E$3000=$E164)*($G$2:$G$3000&lt;&gt;$G164)*($G$2:$G$3000&lt;&gt;""),""))))</f>
        <v/>
      </c>
    </row>
    <row r="165" spans="1:10" x14ac:dyDescent="0.25">
      <c r="A165" s="23" t="s">
        <v>618</v>
      </c>
      <c r="B165" s="37" t="str">
        <f>INDEX(Product!$B:$B,MATCH($A165,Product!$A:$A,0))</f>
        <v>[Hapaku] Đai chườm thảo dược bàn chân làm nóng bằng điện</v>
      </c>
      <c r="C165" s="37" t="str">
        <f>INDEX(Product!$D:$D,MATCH($A165,Product!$A:$A,0))</f>
        <v>Đai chườm thảo dược</v>
      </c>
      <c r="D165" s="23" t="s">
        <v>2434</v>
      </c>
      <c r="E165" s="37" t="str">
        <f>INDEX('Attribute Definition'!$B:$B,MATCH($D165,'Attribute Definition'!$A:$A,0))</f>
        <v>Nguồn điện</v>
      </c>
      <c r="F165" s="38" t="s">
        <v>2657</v>
      </c>
      <c r="G165" s="39" t="str" cm="1">
        <f t="array" ref="G165">_xlfn.TEXTJOIN("; ",TRUE,_xlfn.UNIQUE(_xlfn._xlws.FILTER('Product Variant Attribute'!$F$2:$F$3000,('Product Variant Attribute'!$B$2:$B$3000=$A165)*('Product Variant Attribute'!$D$2:$D$3000=$D165),"")))</f>
        <v>Điện (cắm nguồn)</v>
      </c>
      <c r="H165" s="39"/>
      <c r="I165" s="39"/>
      <c r="J165" s="39" t="str" cm="1">
        <f t="array" ref="J165">IF($I165="","",_xlfn.TEXTJOIN("; ",TRUE,_xlfn.UNIQUE(_xlfn._xlws.FILTER($A$2:$A$3000,($C$2:$C$3000=$C165)*($E$2:$E$3000=$E165)*($G$2:$G$3000&lt;&gt;$G165)*($G$2:$G$3000&lt;&gt;""),""))))</f>
        <v/>
      </c>
    </row>
    <row r="166" spans="1:10" x14ac:dyDescent="0.25">
      <c r="A166" s="23" t="s">
        <v>618</v>
      </c>
      <c r="B166" s="37" t="str">
        <f>INDEX(Product!$B:$B,MATCH($A166,Product!$A:$A,0))</f>
        <v>[Hapaku] Đai chườm thảo dược bàn chân làm nóng bằng điện</v>
      </c>
      <c r="C166" s="37" t="str">
        <f>INDEX(Product!$D:$D,MATCH($A166,Product!$A:$A,0))</f>
        <v>Đai chườm thảo dược</v>
      </c>
      <c r="D166" s="23" t="s">
        <v>2439</v>
      </c>
      <c r="E166" s="37" t="str">
        <f>INDEX('Attribute Definition'!$B:$B,MATCH($D166,'Attribute Definition'!$A:$A,0))</f>
        <v>Vị trí sử dụng trên cơ thể</v>
      </c>
      <c r="F166" s="38" t="s">
        <v>2657</v>
      </c>
      <c r="G166" s="39" t="str" cm="1">
        <f t="array" ref="G166">_xlfn.TEXTJOIN("; ",TRUE,_xlfn.UNIQUE(_xlfn._xlws.FILTER('Product Variant Attribute'!$F$2:$F$3000,('Product Variant Attribute'!$B$2:$B$3000=$A166)*('Product Variant Attribute'!$D$2:$D$3000=$D166),"")))</f>
        <v>Bàn chân</v>
      </c>
      <c r="H166" s="39"/>
      <c r="I166" s="39"/>
      <c r="J166" s="39" t="str" cm="1">
        <f t="array" ref="J166">IF($I166="","",_xlfn.TEXTJOIN("; ",TRUE,_xlfn.UNIQUE(_xlfn._xlws.FILTER($A$2:$A$3000,($C$2:$C$3000=$C166)*($E$2:$E$3000=$E166)*($G$2:$G$3000&lt;&gt;$G166)*($G$2:$G$3000&lt;&gt;""),""))))</f>
        <v/>
      </c>
    </row>
    <row r="167" spans="1:10" x14ac:dyDescent="0.25">
      <c r="A167" s="23" t="s">
        <v>618</v>
      </c>
      <c r="B167" s="37" t="str">
        <f>INDEX(Product!$B:$B,MATCH($A167,Product!$A:$A,0))</f>
        <v>[Hapaku] Đai chườm thảo dược bàn chân làm nóng bằng điện</v>
      </c>
      <c r="C167" s="37" t="str">
        <f>INDEX(Product!$D:$D,MATCH($A167,Product!$A:$A,0))</f>
        <v>Đai chườm thảo dược</v>
      </c>
      <c r="D167" s="23" t="s">
        <v>2471</v>
      </c>
      <c r="E167" s="37" t="str">
        <f>INDEX('Attribute Definition'!$B:$B,MATCH($D167,'Attribute Definition'!$A:$A,0))</f>
        <v>Dạng sản phẩm</v>
      </c>
      <c r="F167" s="38" t="s">
        <v>2657</v>
      </c>
      <c r="G167" s="39" t="str" cm="1">
        <f t="array" ref="G167">_xlfn.TEXTJOIN("; ",TRUE,_xlfn.UNIQUE(_xlfn._xlws.FILTER('Product Variant Attribute'!$F$2:$F$3000,('Product Variant Attribute'!$B$2:$B$3000=$A167)*('Product Variant Attribute'!$D$2:$D$3000=$D167),"")))</f>
        <v>Đai / băng thun</v>
      </c>
      <c r="H167" s="39"/>
      <c r="I167" s="39"/>
      <c r="J167" s="39" t="str" cm="1">
        <f t="array" ref="J167">IF($I167="","",_xlfn.TEXTJOIN("; ",TRUE,_xlfn.UNIQUE(_xlfn._xlws.FILTER($A$2:$A$3000,($C$2:$C$3000=$C167)*($E$2:$E$3000=$E167)*($G$2:$G$3000&lt;&gt;$G167)*($G$2:$G$3000&lt;&gt;""),""))))</f>
        <v/>
      </c>
    </row>
    <row r="168" spans="1:10" x14ac:dyDescent="0.25">
      <c r="A168" s="23" t="s">
        <v>619</v>
      </c>
      <c r="B168" s="37" t="str">
        <f>INDEX(Product!$B:$B,MATCH($A168,Product!$A:$A,0))</f>
        <v>[Hapaku] Đai chườm thảo dược cổ gáy làm nóng bằng điện (50cmx11cm)</v>
      </c>
      <c r="C168" s="37" t="str">
        <f>INDEX(Product!$D:$D,MATCH($A168,Product!$A:$A,0))</f>
        <v>Đai chườm thảo dược</v>
      </c>
      <c r="D168" s="23" t="s">
        <v>2342</v>
      </c>
      <c r="E168" s="37" t="str">
        <f>INDEX('Attribute Definition'!$B:$B,MATCH($D168,'Attribute Definition'!$A:$A,0))</f>
        <v>Kích thước</v>
      </c>
      <c r="F168" s="38" t="s">
        <v>2657</v>
      </c>
      <c r="G168" s="39" t="str" cm="1">
        <f t="array" ref="G168">_xlfn.TEXTJOIN("; ",TRUE,_xlfn.UNIQUE(_xlfn._xlws.FILTER('Product Variant Attribute'!$F$2:$F$3000,('Product Variant Attribute'!$B$2:$B$3000=$A168)*('Product Variant Attribute'!$D$2:$D$3000=$D168),"")))</f>
        <v>50cmx11cm</v>
      </c>
      <c r="H168" s="39"/>
      <c r="I168" s="39"/>
      <c r="J168" s="39" t="str" cm="1">
        <f t="array" ref="J168">IF($I168="","",_xlfn.TEXTJOIN("; ",TRUE,_xlfn.UNIQUE(_xlfn._xlws.FILTER($A$2:$A$3000,($C$2:$C$3000=$C168)*($E$2:$E$3000=$E168)*($G$2:$G$3000&lt;&gt;$G168)*($G$2:$G$3000&lt;&gt;""),""))))</f>
        <v/>
      </c>
    </row>
    <row r="169" spans="1:10" x14ac:dyDescent="0.25">
      <c r="A169" s="23" t="s">
        <v>619</v>
      </c>
      <c r="B169" s="37" t="str">
        <f>INDEX(Product!$B:$B,MATCH($A169,Product!$A:$A,0))</f>
        <v>[Hapaku] Đai chườm thảo dược cổ gáy làm nóng bằng điện (50cmx11cm)</v>
      </c>
      <c r="C169" s="37" t="str">
        <f>INDEX(Product!$D:$D,MATCH($A169,Product!$A:$A,0))</f>
        <v>Đai chườm thảo dược</v>
      </c>
      <c r="D169" s="23" t="s">
        <v>2367</v>
      </c>
      <c r="E169" s="37" t="str">
        <f>INDEX('Attribute Definition'!$B:$B,MATCH($D169,'Attribute Definition'!$A:$A,0))</f>
        <v>Chất liệu</v>
      </c>
      <c r="F169" s="38" t="s">
        <v>2657</v>
      </c>
      <c r="G169" s="39" t="str" cm="1">
        <f t="array" ref="G169">_xlfn.TEXTJOIN("; ",TRUE,_xlfn.UNIQUE(_xlfn._xlws.FILTER('Product Variant Attribute'!$F$2:$F$3000,('Product Variant Attribute'!$B$2:$B$3000=$A169)*('Product Variant Attribute'!$D$2:$D$3000=$D169),"")))</f>
        <v>Thảo dược</v>
      </c>
      <c r="H169" s="39"/>
      <c r="I169" s="39"/>
      <c r="J169" s="39" t="str" cm="1">
        <f t="array" ref="J169">IF($I169="","",_xlfn.TEXTJOIN("; ",TRUE,_xlfn.UNIQUE(_xlfn._xlws.FILTER($A$2:$A$3000,($C$2:$C$3000=$C169)*($E$2:$E$3000=$E169)*($G$2:$G$3000&lt;&gt;$G169)*($G$2:$G$3000&lt;&gt;""),""))))</f>
        <v/>
      </c>
    </row>
    <row r="170" spans="1:10" x14ac:dyDescent="0.25">
      <c r="A170" s="23" t="s">
        <v>619</v>
      </c>
      <c r="B170" s="37" t="str">
        <f>INDEX(Product!$B:$B,MATCH($A170,Product!$A:$A,0))</f>
        <v>[Hapaku] Đai chườm thảo dược cổ gáy làm nóng bằng điện (50cmx11cm)</v>
      </c>
      <c r="C170" s="37" t="str">
        <f>INDEX(Product!$D:$D,MATCH($A170,Product!$A:$A,0))</f>
        <v>Đai chườm thảo dược</v>
      </c>
      <c r="D170" s="23" t="s">
        <v>2434</v>
      </c>
      <c r="E170" s="37" t="str">
        <f>INDEX('Attribute Definition'!$B:$B,MATCH($D170,'Attribute Definition'!$A:$A,0))</f>
        <v>Nguồn điện</v>
      </c>
      <c r="F170" s="38" t="s">
        <v>2657</v>
      </c>
      <c r="G170" s="39" t="str" cm="1">
        <f t="array" ref="G170">_xlfn.TEXTJOIN("; ",TRUE,_xlfn.UNIQUE(_xlfn._xlws.FILTER('Product Variant Attribute'!$F$2:$F$3000,('Product Variant Attribute'!$B$2:$B$3000=$A170)*('Product Variant Attribute'!$D$2:$D$3000=$D170),"")))</f>
        <v>Điện (cắm nguồn)</v>
      </c>
      <c r="H170" s="39"/>
      <c r="I170" s="39"/>
      <c r="J170" s="39" t="str" cm="1">
        <f t="array" ref="J170">IF($I170="","",_xlfn.TEXTJOIN("; ",TRUE,_xlfn.UNIQUE(_xlfn._xlws.FILTER($A$2:$A$3000,($C$2:$C$3000=$C170)*($E$2:$E$3000=$E170)*($G$2:$G$3000&lt;&gt;$G170)*($G$2:$G$3000&lt;&gt;""),""))))</f>
        <v/>
      </c>
    </row>
    <row r="171" spans="1:10" x14ac:dyDescent="0.25">
      <c r="A171" s="23" t="s">
        <v>619</v>
      </c>
      <c r="B171" s="37" t="str">
        <f>INDEX(Product!$B:$B,MATCH($A171,Product!$A:$A,0))</f>
        <v>[Hapaku] Đai chườm thảo dược cổ gáy làm nóng bằng điện (50cmx11cm)</v>
      </c>
      <c r="C171" s="37" t="str">
        <f>INDEX(Product!$D:$D,MATCH($A171,Product!$A:$A,0))</f>
        <v>Đai chườm thảo dược</v>
      </c>
      <c r="D171" s="23" t="s">
        <v>2439</v>
      </c>
      <c r="E171" s="37" t="str">
        <f>INDEX('Attribute Definition'!$B:$B,MATCH($D171,'Attribute Definition'!$A:$A,0))</f>
        <v>Vị trí sử dụng trên cơ thể</v>
      </c>
      <c r="F171" s="38" t="s">
        <v>2657</v>
      </c>
      <c r="G171" s="39" t="str" cm="1">
        <f t="array" ref="G171">_xlfn.TEXTJOIN("; ",TRUE,_xlfn.UNIQUE(_xlfn._xlws.FILTER('Product Variant Attribute'!$F$2:$F$3000,('Product Variant Attribute'!$B$2:$B$3000=$A171)*('Product Variant Attribute'!$D$2:$D$3000=$D171),"")))</f>
        <v>Cổ gáy</v>
      </c>
      <c r="H171" s="39"/>
      <c r="I171" s="39"/>
      <c r="J171" s="39" t="str" cm="1">
        <f t="array" ref="J171">IF($I171="","",_xlfn.TEXTJOIN("; ",TRUE,_xlfn.UNIQUE(_xlfn._xlws.FILTER($A$2:$A$3000,($C$2:$C$3000=$C171)*($E$2:$E$3000=$E171)*($G$2:$G$3000&lt;&gt;$G171)*($G$2:$G$3000&lt;&gt;""),""))))</f>
        <v/>
      </c>
    </row>
    <row r="172" spans="1:10" x14ac:dyDescent="0.25">
      <c r="A172" s="23" t="s">
        <v>619</v>
      </c>
      <c r="B172" s="37" t="str">
        <f>INDEX(Product!$B:$B,MATCH($A172,Product!$A:$A,0))</f>
        <v>[Hapaku] Đai chườm thảo dược cổ gáy làm nóng bằng điện (50cmx11cm)</v>
      </c>
      <c r="C172" s="37" t="str">
        <f>INDEX(Product!$D:$D,MATCH($A172,Product!$A:$A,0))</f>
        <v>Đai chườm thảo dược</v>
      </c>
      <c r="D172" s="23" t="s">
        <v>2471</v>
      </c>
      <c r="E172" s="37" t="str">
        <f>INDEX('Attribute Definition'!$B:$B,MATCH($D172,'Attribute Definition'!$A:$A,0))</f>
        <v>Dạng sản phẩm</v>
      </c>
      <c r="F172" s="38" t="s">
        <v>2657</v>
      </c>
      <c r="G172" s="39" t="str" cm="1">
        <f t="array" ref="G172">_xlfn.TEXTJOIN("; ",TRUE,_xlfn.UNIQUE(_xlfn._xlws.FILTER('Product Variant Attribute'!$F$2:$F$3000,('Product Variant Attribute'!$B$2:$B$3000=$A172)*('Product Variant Attribute'!$D$2:$D$3000=$D172),"")))</f>
        <v>Đai / băng thun</v>
      </c>
      <c r="H172" s="39"/>
      <c r="I172" s="39"/>
      <c r="J172" s="39" t="str" cm="1">
        <f t="array" ref="J172">IF($I172="","",_xlfn.TEXTJOIN("; ",TRUE,_xlfn.UNIQUE(_xlfn._xlws.FILTER($A$2:$A$3000,($C$2:$C$3000=$C172)*($E$2:$E$3000=$E172)*($G$2:$G$3000&lt;&gt;$G172)*($G$2:$G$3000&lt;&gt;""),""))))</f>
        <v/>
      </c>
    </row>
    <row r="173" spans="1:10" x14ac:dyDescent="0.25">
      <c r="A173" s="23" t="s">
        <v>620</v>
      </c>
      <c r="B173" s="37" t="str">
        <f>INDEX(Product!$B:$B,MATCH($A173,Product!$A:$A,0))</f>
        <v>[Hapaku] Đai chườm thảo dược lưng bụng làm nóng bằng điện</v>
      </c>
      <c r="C173" s="37" t="str">
        <f>INDEX(Product!$D:$D,MATCH($A173,Product!$A:$A,0))</f>
        <v>Đai chườm thảo dược</v>
      </c>
      <c r="D173" s="23" t="s">
        <v>2367</v>
      </c>
      <c r="E173" s="37" t="str">
        <f>INDEX('Attribute Definition'!$B:$B,MATCH($D173,'Attribute Definition'!$A:$A,0))</f>
        <v>Chất liệu</v>
      </c>
      <c r="F173" s="38" t="s">
        <v>2657</v>
      </c>
      <c r="G173" s="39" t="str" cm="1">
        <f t="array" ref="G173">_xlfn.TEXTJOIN("; ",TRUE,_xlfn.UNIQUE(_xlfn._xlws.FILTER('Product Variant Attribute'!$F$2:$F$3000,('Product Variant Attribute'!$B$2:$B$3000=$A173)*('Product Variant Attribute'!$D$2:$D$3000=$D173),"")))</f>
        <v>Thảo dược</v>
      </c>
      <c r="H173" s="39"/>
      <c r="I173" s="39"/>
      <c r="J173" s="39" t="str" cm="1">
        <f t="array" ref="J173">IF($I173="","",_xlfn.TEXTJOIN("; ",TRUE,_xlfn.UNIQUE(_xlfn._xlws.FILTER($A$2:$A$3000,($C$2:$C$3000=$C173)*($E$2:$E$3000=$E173)*($G$2:$G$3000&lt;&gt;$G173)*($G$2:$G$3000&lt;&gt;""),""))))</f>
        <v/>
      </c>
    </row>
    <row r="174" spans="1:10" x14ac:dyDescent="0.25">
      <c r="A174" s="23" t="s">
        <v>620</v>
      </c>
      <c r="B174" s="37" t="str">
        <f>INDEX(Product!$B:$B,MATCH($A174,Product!$A:$A,0))</f>
        <v>[Hapaku] Đai chườm thảo dược lưng bụng làm nóng bằng điện</v>
      </c>
      <c r="C174" s="37" t="str">
        <f>INDEX(Product!$D:$D,MATCH($A174,Product!$A:$A,0))</f>
        <v>Đai chườm thảo dược</v>
      </c>
      <c r="D174" s="23" t="s">
        <v>2434</v>
      </c>
      <c r="E174" s="37" t="str">
        <f>INDEX('Attribute Definition'!$B:$B,MATCH($D174,'Attribute Definition'!$A:$A,0))</f>
        <v>Nguồn điện</v>
      </c>
      <c r="F174" s="38" t="s">
        <v>2657</v>
      </c>
      <c r="G174" s="39" t="str" cm="1">
        <f t="array" ref="G174">_xlfn.TEXTJOIN("; ",TRUE,_xlfn.UNIQUE(_xlfn._xlws.FILTER('Product Variant Attribute'!$F$2:$F$3000,('Product Variant Attribute'!$B$2:$B$3000=$A174)*('Product Variant Attribute'!$D$2:$D$3000=$D174),"")))</f>
        <v>Điện (cắm nguồn)</v>
      </c>
      <c r="H174" s="39"/>
      <c r="I174" s="39"/>
      <c r="J174" s="39" t="str" cm="1">
        <f t="array" ref="J174">IF($I174="","",_xlfn.TEXTJOIN("; ",TRUE,_xlfn.UNIQUE(_xlfn._xlws.FILTER($A$2:$A$3000,($C$2:$C$3000=$C174)*($E$2:$E$3000=$E174)*($G$2:$G$3000&lt;&gt;$G174)*($G$2:$G$3000&lt;&gt;""),""))))</f>
        <v/>
      </c>
    </row>
    <row r="175" spans="1:10" x14ac:dyDescent="0.25">
      <c r="A175" s="23" t="s">
        <v>620</v>
      </c>
      <c r="B175" s="37" t="str">
        <f>INDEX(Product!$B:$B,MATCH($A175,Product!$A:$A,0))</f>
        <v>[Hapaku] Đai chườm thảo dược lưng bụng làm nóng bằng điện</v>
      </c>
      <c r="C175" s="37" t="str">
        <f>INDEX(Product!$D:$D,MATCH($A175,Product!$A:$A,0))</f>
        <v>Đai chườm thảo dược</v>
      </c>
      <c r="D175" s="23" t="s">
        <v>2439</v>
      </c>
      <c r="E175" s="37" t="str">
        <f>INDEX('Attribute Definition'!$B:$B,MATCH($D175,'Attribute Definition'!$A:$A,0))</f>
        <v>Vị trí sử dụng trên cơ thể</v>
      </c>
      <c r="F175" s="38" t="s">
        <v>2657</v>
      </c>
      <c r="G175" s="39" t="str" cm="1">
        <f t="array" ref="G175">_xlfn.TEXTJOIN("; ",TRUE,_xlfn.UNIQUE(_xlfn._xlws.FILTER('Product Variant Attribute'!$F$2:$F$3000,('Product Variant Attribute'!$B$2:$B$3000=$A175)*('Product Variant Attribute'!$D$2:$D$3000=$D175),"")))</f>
        <v>Lưng bụng</v>
      </c>
      <c r="H175" s="39"/>
      <c r="I175" s="39"/>
      <c r="J175" s="39" t="str" cm="1">
        <f t="array" ref="J175">IF($I175="","",_xlfn.TEXTJOIN("; ",TRUE,_xlfn.UNIQUE(_xlfn._xlws.FILTER($A$2:$A$3000,($C$2:$C$3000=$C175)*($E$2:$E$3000=$E175)*($G$2:$G$3000&lt;&gt;$G175)*($G$2:$G$3000&lt;&gt;""),""))))</f>
        <v/>
      </c>
    </row>
    <row r="176" spans="1:10" x14ac:dyDescent="0.25">
      <c r="A176" s="23" t="s">
        <v>620</v>
      </c>
      <c r="B176" s="37" t="str">
        <f>INDEX(Product!$B:$B,MATCH($A176,Product!$A:$A,0))</f>
        <v>[Hapaku] Đai chườm thảo dược lưng bụng làm nóng bằng điện</v>
      </c>
      <c r="C176" s="37" t="str">
        <f>INDEX(Product!$D:$D,MATCH($A176,Product!$A:$A,0))</f>
        <v>Đai chườm thảo dược</v>
      </c>
      <c r="D176" s="23" t="s">
        <v>2471</v>
      </c>
      <c r="E176" s="37" t="str">
        <f>INDEX('Attribute Definition'!$B:$B,MATCH($D176,'Attribute Definition'!$A:$A,0))</f>
        <v>Dạng sản phẩm</v>
      </c>
      <c r="F176" s="38" t="s">
        <v>2657</v>
      </c>
      <c r="G176" s="39" t="str" cm="1">
        <f t="array" ref="G176">_xlfn.TEXTJOIN("; ",TRUE,_xlfn.UNIQUE(_xlfn._xlws.FILTER('Product Variant Attribute'!$F$2:$F$3000,('Product Variant Attribute'!$B$2:$B$3000=$A176)*('Product Variant Attribute'!$D$2:$D$3000=$D176),"")))</f>
        <v>Đai / băng thun</v>
      </c>
      <c r="H176" s="39"/>
      <c r="I176" s="39"/>
      <c r="J176" s="39" t="str" cm="1">
        <f t="array" ref="J176">IF($I176="","",_xlfn.TEXTJOIN("; ",TRUE,_xlfn.UNIQUE(_xlfn._xlws.FILTER($A$2:$A$3000,($C$2:$C$3000=$C176)*($E$2:$E$3000=$E176)*($G$2:$G$3000&lt;&gt;$G176)*($G$2:$G$3000&lt;&gt;""),""))))</f>
        <v/>
      </c>
    </row>
    <row r="177" spans="1:10" x14ac:dyDescent="0.25">
      <c r="A177" s="23" t="s">
        <v>621</v>
      </c>
      <c r="B177" s="37" t="str">
        <f>INDEX(Product!$B:$B,MATCH($A177,Product!$A:$A,0))</f>
        <v>[Hapaku] Đai chườm thảo dược vai gáy cổ làm nóng bằng điện (35cmx48cm)</v>
      </c>
      <c r="C177" s="37" t="str">
        <f>INDEX(Product!$D:$D,MATCH($A177,Product!$A:$A,0))</f>
        <v>Đai chườm thảo dược</v>
      </c>
      <c r="D177" s="23" t="s">
        <v>2342</v>
      </c>
      <c r="E177" s="37" t="str">
        <f>INDEX('Attribute Definition'!$B:$B,MATCH($D177,'Attribute Definition'!$A:$A,0))</f>
        <v>Kích thước</v>
      </c>
      <c r="F177" s="38" t="s">
        <v>2657</v>
      </c>
      <c r="G177" s="39" t="str" cm="1">
        <f t="array" ref="G177">_xlfn.TEXTJOIN("; ",TRUE,_xlfn.UNIQUE(_xlfn._xlws.FILTER('Product Variant Attribute'!$F$2:$F$3000,('Product Variant Attribute'!$B$2:$B$3000=$A177)*('Product Variant Attribute'!$D$2:$D$3000=$D177),"")))</f>
        <v>35cmx48cm</v>
      </c>
      <c r="H177" s="39"/>
      <c r="I177" s="39"/>
      <c r="J177" s="39" t="str" cm="1">
        <f t="array" ref="J177">IF($I177="","",_xlfn.TEXTJOIN("; ",TRUE,_xlfn.UNIQUE(_xlfn._xlws.FILTER($A$2:$A$3000,($C$2:$C$3000=$C177)*($E$2:$E$3000=$E177)*($G$2:$G$3000&lt;&gt;$G177)*($G$2:$G$3000&lt;&gt;""),""))))</f>
        <v/>
      </c>
    </row>
    <row r="178" spans="1:10" x14ac:dyDescent="0.25">
      <c r="A178" s="23" t="s">
        <v>621</v>
      </c>
      <c r="B178" s="37" t="str">
        <f>INDEX(Product!$B:$B,MATCH($A178,Product!$A:$A,0))</f>
        <v>[Hapaku] Đai chườm thảo dược vai gáy cổ làm nóng bằng điện (35cmx48cm)</v>
      </c>
      <c r="C178" s="37" t="str">
        <f>INDEX(Product!$D:$D,MATCH($A178,Product!$A:$A,0))</f>
        <v>Đai chườm thảo dược</v>
      </c>
      <c r="D178" s="23" t="s">
        <v>2367</v>
      </c>
      <c r="E178" s="37" t="str">
        <f>INDEX('Attribute Definition'!$B:$B,MATCH($D178,'Attribute Definition'!$A:$A,0))</f>
        <v>Chất liệu</v>
      </c>
      <c r="F178" s="38" t="s">
        <v>2657</v>
      </c>
      <c r="G178" s="39" t="str" cm="1">
        <f t="array" ref="G178">_xlfn.TEXTJOIN("; ",TRUE,_xlfn.UNIQUE(_xlfn._xlws.FILTER('Product Variant Attribute'!$F$2:$F$3000,('Product Variant Attribute'!$B$2:$B$3000=$A178)*('Product Variant Attribute'!$D$2:$D$3000=$D178),"")))</f>
        <v>Thảo dược</v>
      </c>
      <c r="H178" s="39"/>
      <c r="I178" s="39"/>
      <c r="J178" s="39" t="str" cm="1">
        <f t="array" ref="J178">IF($I178="","",_xlfn.TEXTJOIN("; ",TRUE,_xlfn.UNIQUE(_xlfn._xlws.FILTER($A$2:$A$3000,($C$2:$C$3000=$C178)*($E$2:$E$3000=$E178)*($G$2:$G$3000&lt;&gt;$G178)*($G$2:$G$3000&lt;&gt;""),""))))</f>
        <v/>
      </c>
    </row>
    <row r="179" spans="1:10" x14ac:dyDescent="0.25">
      <c r="A179" s="23" t="s">
        <v>621</v>
      </c>
      <c r="B179" s="37" t="str">
        <f>INDEX(Product!$B:$B,MATCH($A179,Product!$A:$A,0))</f>
        <v>[Hapaku] Đai chườm thảo dược vai gáy cổ làm nóng bằng điện (35cmx48cm)</v>
      </c>
      <c r="C179" s="37" t="str">
        <f>INDEX(Product!$D:$D,MATCH($A179,Product!$A:$A,0))</f>
        <v>Đai chườm thảo dược</v>
      </c>
      <c r="D179" s="23" t="s">
        <v>2434</v>
      </c>
      <c r="E179" s="37" t="str">
        <f>INDEX('Attribute Definition'!$B:$B,MATCH($D179,'Attribute Definition'!$A:$A,0))</f>
        <v>Nguồn điện</v>
      </c>
      <c r="F179" s="38" t="s">
        <v>2657</v>
      </c>
      <c r="G179" s="39" t="str" cm="1">
        <f t="array" ref="G179">_xlfn.TEXTJOIN("; ",TRUE,_xlfn.UNIQUE(_xlfn._xlws.FILTER('Product Variant Attribute'!$F$2:$F$3000,('Product Variant Attribute'!$B$2:$B$3000=$A179)*('Product Variant Attribute'!$D$2:$D$3000=$D179),"")))</f>
        <v>Điện (cắm nguồn)</v>
      </c>
      <c r="H179" s="39"/>
      <c r="I179" s="39"/>
      <c r="J179" s="39" t="str" cm="1">
        <f t="array" ref="J179">IF($I179="","",_xlfn.TEXTJOIN("; ",TRUE,_xlfn.UNIQUE(_xlfn._xlws.FILTER($A$2:$A$3000,($C$2:$C$3000=$C179)*($E$2:$E$3000=$E179)*($G$2:$G$3000&lt;&gt;$G179)*($G$2:$G$3000&lt;&gt;""),""))))</f>
        <v/>
      </c>
    </row>
    <row r="180" spans="1:10" x14ac:dyDescent="0.25">
      <c r="A180" s="23" t="s">
        <v>621</v>
      </c>
      <c r="B180" s="37" t="str">
        <f>INDEX(Product!$B:$B,MATCH($A180,Product!$A:$A,0))</f>
        <v>[Hapaku] Đai chườm thảo dược vai gáy cổ làm nóng bằng điện (35cmx48cm)</v>
      </c>
      <c r="C180" s="37" t="str">
        <f>INDEX(Product!$D:$D,MATCH($A180,Product!$A:$A,0))</f>
        <v>Đai chườm thảo dược</v>
      </c>
      <c r="D180" s="23" t="s">
        <v>2439</v>
      </c>
      <c r="E180" s="37" t="str">
        <f>INDEX('Attribute Definition'!$B:$B,MATCH($D180,'Attribute Definition'!$A:$A,0))</f>
        <v>Vị trí sử dụng trên cơ thể</v>
      </c>
      <c r="F180" s="38" t="s">
        <v>2657</v>
      </c>
      <c r="G180" s="39" t="str" cm="1">
        <f t="array" ref="G180">_xlfn.TEXTJOIN("; ",TRUE,_xlfn.UNIQUE(_xlfn._xlws.FILTER('Product Variant Attribute'!$F$2:$F$3000,('Product Variant Attribute'!$B$2:$B$3000=$A180)*('Product Variant Attribute'!$D$2:$D$3000=$D180),"")))</f>
        <v>Vai gáy cổ</v>
      </c>
      <c r="H180" s="39"/>
      <c r="I180" s="39"/>
      <c r="J180" s="39" t="str" cm="1">
        <f t="array" ref="J180">IF($I180="","",_xlfn.TEXTJOIN("; ",TRUE,_xlfn.UNIQUE(_xlfn._xlws.FILTER($A$2:$A$3000,($C$2:$C$3000=$C180)*($E$2:$E$3000=$E180)*($G$2:$G$3000&lt;&gt;$G180)*($G$2:$G$3000&lt;&gt;""),""))))</f>
        <v/>
      </c>
    </row>
    <row r="181" spans="1:10" x14ac:dyDescent="0.25">
      <c r="A181" s="23" t="s">
        <v>621</v>
      </c>
      <c r="B181" s="37" t="str">
        <f>INDEX(Product!$B:$B,MATCH($A181,Product!$A:$A,0))</f>
        <v>[Hapaku] Đai chườm thảo dược vai gáy cổ làm nóng bằng điện (35cmx48cm)</v>
      </c>
      <c r="C181" s="37" t="str">
        <f>INDEX(Product!$D:$D,MATCH($A181,Product!$A:$A,0))</f>
        <v>Đai chườm thảo dược</v>
      </c>
      <c r="D181" s="23" t="s">
        <v>2471</v>
      </c>
      <c r="E181" s="37" t="str">
        <f>INDEX('Attribute Definition'!$B:$B,MATCH($D181,'Attribute Definition'!$A:$A,0))</f>
        <v>Dạng sản phẩm</v>
      </c>
      <c r="F181" s="38" t="s">
        <v>2657</v>
      </c>
      <c r="G181" s="39" t="str" cm="1">
        <f t="array" ref="G181">_xlfn.TEXTJOIN("; ",TRUE,_xlfn.UNIQUE(_xlfn._xlws.FILTER('Product Variant Attribute'!$F$2:$F$3000,('Product Variant Attribute'!$B$2:$B$3000=$A181)*('Product Variant Attribute'!$D$2:$D$3000=$D181),"")))</f>
        <v>Đai / băng thun</v>
      </c>
      <c r="H181" s="39"/>
      <c r="I181" s="39"/>
      <c r="J181" s="39" t="str" cm="1">
        <f t="array" ref="J181">IF($I181="","",_xlfn.TEXTJOIN("; ",TRUE,_xlfn.UNIQUE(_xlfn._xlws.FILTER($A$2:$A$3000,($C$2:$C$3000=$C181)*($E$2:$E$3000=$E181)*($G$2:$G$3000&lt;&gt;$G181)*($G$2:$G$3000&lt;&gt;""),""))))</f>
        <v/>
      </c>
    </row>
    <row r="182" spans="1:10" x14ac:dyDescent="0.25">
      <c r="A182" s="23" t="s">
        <v>622</v>
      </c>
      <c r="B182" s="37" t="str">
        <f>INDEX(Product!$B:$B,MATCH($A182,Product!$A:$A,0))</f>
        <v>[Hapaku] Gối chườm thảo dược đa năng làm nóng bằng điện (34cmx24cm)</v>
      </c>
      <c r="C182" s="37" t="str">
        <f>INDEX(Product!$D:$D,MATCH($A182,Product!$A:$A,0))</f>
        <v>Đai chườm thảo dược</v>
      </c>
      <c r="D182" s="23" t="s">
        <v>2342</v>
      </c>
      <c r="E182" s="37" t="str">
        <f>INDEX('Attribute Definition'!$B:$B,MATCH($D182,'Attribute Definition'!$A:$A,0))</f>
        <v>Kích thước</v>
      </c>
      <c r="F182" s="38" t="s">
        <v>2657</v>
      </c>
      <c r="G182" s="39" t="str" cm="1">
        <f t="array" ref="G182">_xlfn.TEXTJOIN("; ",TRUE,_xlfn.UNIQUE(_xlfn._xlws.FILTER('Product Variant Attribute'!$F$2:$F$3000,('Product Variant Attribute'!$B$2:$B$3000=$A182)*('Product Variant Attribute'!$D$2:$D$3000=$D182),"")))</f>
        <v>34cmx24cm</v>
      </c>
      <c r="H182" s="39"/>
      <c r="I182" s="39"/>
      <c r="J182" s="39" t="str" cm="1">
        <f t="array" ref="J182">IF($I182="","",_xlfn.TEXTJOIN("; ",TRUE,_xlfn.UNIQUE(_xlfn._xlws.FILTER($A$2:$A$3000,($C$2:$C$3000=$C182)*($E$2:$E$3000=$E182)*($G$2:$G$3000&lt;&gt;$G182)*($G$2:$G$3000&lt;&gt;""),""))))</f>
        <v/>
      </c>
    </row>
    <row r="183" spans="1:10" x14ac:dyDescent="0.25">
      <c r="A183" s="23" t="s">
        <v>622</v>
      </c>
      <c r="B183" s="37" t="str">
        <f>INDEX(Product!$B:$B,MATCH($A183,Product!$A:$A,0))</f>
        <v>[Hapaku] Gối chườm thảo dược đa năng làm nóng bằng điện (34cmx24cm)</v>
      </c>
      <c r="C183" s="37" t="str">
        <f>INDEX(Product!$D:$D,MATCH($A183,Product!$A:$A,0))</f>
        <v>Đai chườm thảo dược</v>
      </c>
      <c r="D183" s="23" t="s">
        <v>2367</v>
      </c>
      <c r="E183" s="37" t="str">
        <f>INDEX('Attribute Definition'!$B:$B,MATCH($D183,'Attribute Definition'!$A:$A,0))</f>
        <v>Chất liệu</v>
      </c>
      <c r="F183" s="38" t="s">
        <v>2657</v>
      </c>
      <c r="G183" s="39" t="str" cm="1">
        <f t="array" ref="G183">_xlfn.TEXTJOIN("; ",TRUE,_xlfn.UNIQUE(_xlfn._xlws.FILTER('Product Variant Attribute'!$F$2:$F$3000,('Product Variant Attribute'!$B$2:$B$3000=$A183)*('Product Variant Attribute'!$D$2:$D$3000=$D183),"")))</f>
        <v>Thảo dược</v>
      </c>
      <c r="H183" s="39"/>
      <c r="I183" s="39"/>
      <c r="J183" s="39" t="str" cm="1">
        <f t="array" ref="J183">IF($I183="","",_xlfn.TEXTJOIN("; ",TRUE,_xlfn.UNIQUE(_xlfn._xlws.FILTER($A$2:$A$3000,($C$2:$C$3000=$C183)*($E$2:$E$3000=$E183)*($G$2:$G$3000&lt;&gt;$G183)*($G$2:$G$3000&lt;&gt;""),""))))</f>
        <v/>
      </c>
    </row>
    <row r="184" spans="1:10" x14ac:dyDescent="0.25">
      <c r="A184" s="23" t="s">
        <v>622</v>
      </c>
      <c r="B184" s="37" t="str">
        <f>INDEX(Product!$B:$B,MATCH($A184,Product!$A:$A,0))</f>
        <v>[Hapaku] Gối chườm thảo dược đa năng làm nóng bằng điện (34cmx24cm)</v>
      </c>
      <c r="C184" s="37" t="str">
        <f>INDEX(Product!$D:$D,MATCH($A184,Product!$A:$A,0))</f>
        <v>Đai chườm thảo dược</v>
      </c>
      <c r="D184" s="23" t="s">
        <v>2434</v>
      </c>
      <c r="E184" s="37" t="str">
        <f>INDEX('Attribute Definition'!$B:$B,MATCH($D184,'Attribute Definition'!$A:$A,0))</f>
        <v>Nguồn điện</v>
      </c>
      <c r="F184" s="38" t="s">
        <v>2657</v>
      </c>
      <c r="G184" s="39" t="str" cm="1">
        <f t="array" ref="G184">_xlfn.TEXTJOIN("; ",TRUE,_xlfn.UNIQUE(_xlfn._xlws.FILTER('Product Variant Attribute'!$F$2:$F$3000,('Product Variant Attribute'!$B$2:$B$3000=$A184)*('Product Variant Attribute'!$D$2:$D$3000=$D184),"")))</f>
        <v>Điện (cắm nguồn)</v>
      </c>
      <c r="H184" s="39"/>
      <c r="I184" s="39"/>
      <c r="J184" s="39" t="str" cm="1">
        <f t="array" ref="J184">IF($I184="","",_xlfn.TEXTJOIN("; ",TRUE,_xlfn.UNIQUE(_xlfn._xlws.FILTER($A$2:$A$3000,($C$2:$C$3000=$C184)*($E$2:$E$3000=$E184)*($G$2:$G$3000&lt;&gt;$G184)*($G$2:$G$3000&lt;&gt;""),""))))</f>
        <v/>
      </c>
    </row>
    <row r="185" spans="1:10" x14ac:dyDescent="0.25">
      <c r="A185" s="23" t="s">
        <v>622</v>
      </c>
      <c r="B185" s="37" t="str">
        <f>INDEX(Product!$B:$B,MATCH($A185,Product!$A:$A,0))</f>
        <v>[Hapaku] Gối chườm thảo dược đa năng làm nóng bằng điện (34cmx24cm)</v>
      </c>
      <c r="C185" s="37" t="str">
        <f>INDEX(Product!$D:$D,MATCH($A185,Product!$A:$A,0))</f>
        <v>Đai chườm thảo dược</v>
      </c>
      <c r="D185" s="23" t="s">
        <v>2471</v>
      </c>
      <c r="E185" s="37" t="str">
        <f>INDEX('Attribute Definition'!$B:$B,MATCH($D185,'Attribute Definition'!$A:$A,0))</f>
        <v>Dạng sản phẩm</v>
      </c>
      <c r="F185" s="38" t="s">
        <v>2657</v>
      </c>
      <c r="G185" s="39" t="str" cm="1">
        <f t="array" ref="G185">_xlfn.TEXTJOIN("; ",TRUE,_xlfn.UNIQUE(_xlfn._xlws.FILTER('Product Variant Attribute'!$F$2:$F$3000,('Product Variant Attribute'!$B$2:$B$3000=$A185)*('Product Variant Attribute'!$D$2:$D$3000=$D185),"")))</f>
        <v>Đai / băng thun</v>
      </c>
      <c r="H185" s="39"/>
      <c r="I185" s="39"/>
      <c r="J185" s="39" t="str" cm="1">
        <f t="array" ref="J185">IF($I185="","",_xlfn.TEXTJOIN("; ",TRUE,_xlfn.UNIQUE(_xlfn._xlws.FILTER($A$2:$A$3000,($C$2:$C$3000=$C185)*($E$2:$E$3000=$E185)*($G$2:$G$3000&lt;&gt;$G185)*($G$2:$G$3000&lt;&gt;""),""))))</f>
        <v/>
      </c>
    </row>
    <row r="186" spans="1:10" x14ac:dyDescent="0.25">
      <c r="A186" s="23" t="s">
        <v>623</v>
      </c>
      <c r="B186" s="37" t="str">
        <f>INDEX(Product!$B:$B,MATCH($A186,Product!$A:$A,0))</f>
        <v>[Merisocks] Đai hỗ trợ đầu gối</v>
      </c>
      <c r="C186" s="37" t="str">
        <f>INDEX(Product!$D:$D,MATCH($A186,Product!$A:$A,0))</f>
        <v>Đai hỗ trợ đầu gối</v>
      </c>
      <c r="D186" s="23" t="s">
        <v>2439</v>
      </c>
      <c r="E186" s="37" t="str">
        <f>INDEX('Attribute Definition'!$B:$B,MATCH($D186,'Attribute Definition'!$A:$A,0))</f>
        <v>Vị trí sử dụng trên cơ thể</v>
      </c>
      <c r="F186" s="38" t="s">
        <v>2657</v>
      </c>
      <c r="G186" s="39" t="str" cm="1">
        <f t="array" ref="G186">_xlfn.TEXTJOIN("; ",TRUE,_xlfn.UNIQUE(_xlfn._xlws.FILTER('Product Variant Attribute'!$F$2:$F$3000,('Product Variant Attribute'!$B$2:$B$3000=$A186)*('Product Variant Attribute'!$D$2:$D$3000=$D186),"")))</f>
        <v>Đầu gối</v>
      </c>
      <c r="H186" s="39"/>
      <c r="I186" s="39"/>
      <c r="J186" s="39" t="str" cm="1">
        <f t="array" ref="J186">IF($I186="","",_xlfn.TEXTJOIN("; ",TRUE,_xlfn.UNIQUE(_xlfn._xlws.FILTER($A$2:$A$3000,($C$2:$C$3000=$C186)*($E$2:$E$3000=$E186)*($G$2:$G$3000&lt;&gt;$G186)*($G$2:$G$3000&lt;&gt;""),""))))</f>
        <v/>
      </c>
    </row>
    <row r="187" spans="1:10" ht="30" x14ac:dyDescent="0.25">
      <c r="A187" s="23" t="s">
        <v>623</v>
      </c>
      <c r="B187" s="37" t="str">
        <f>INDEX(Product!$B:$B,MATCH($A187,Product!$A:$A,0))</f>
        <v>[Merisocks] Đai hỗ trợ đầu gối</v>
      </c>
      <c r="C187" s="37" t="str">
        <f>INDEX(Product!$D:$D,MATCH($A187,Product!$A:$A,0))</f>
        <v>Đai hỗ trợ đầu gối</v>
      </c>
      <c r="D187" s="23" t="s">
        <v>2471</v>
      </c>
      <c r="E187" s="37" t="str">
        <f>INDEX('Attribute Definition'!$B:$B,MATCH($D187,'Attribute Definition'!$A:$A,0))</f>
        <v>Dạng sản phẩm</v>
      </c>
      <c r="F187" s="38" t="s">
        <v>2657</v>
      </c>
      <c r="G187" s="39" t="str" cm="1">
        <f t="array" ref="G187">_xlfn.TEXTJOIN("; ",TRUE,_xlfn.UNIQUE(_xlfn._xlws.FILTER('Product Variant Attribute'!$F$2:$F$3000,('Product Variant Attribute'!$B$2:$B$3000=$A187)*('Product Variant Attribute'!$D$2:$D$3000=$D187),"")))</f>
        <v>Đai / băng thun</v>
      </c>
      <c r="H187" s="39"/>
      <c r="I187" s="39" t="s">
        <v>2719</v>
      </c>
      <c r="J187" s="39" t="str" cm="1">
        <f t="array" ref="J187">IF($I187="","",_xlfn.TEXTJOIN("; ",TRUE,_xlfn.UNIQUE(_xlfn._xlws.FILTER($A$2:$A$3000,($C$2:$C$3000=$C187)*($E$2:$E$3000=$E187)*($G$2:$G$3000&lt;&gt;$G187)*($G$2:$G$3000&lt;&gt;""),""))))</f>
        <v>PRODUCT-00051</v>
      </c>
    </row>
    <row r="188" spans="1:10" ht="45" x14ac:dyDescent="0.25">
      <c r="A188" s="23" t="s">
        <v>623</v>
      </c>
      <c r="B188" s="37" t="str">
        <f>INDEX(Product!$B:$B,MATCH($A188,Product!$A:$A,0))</f>
        <v>[Merisocks] Đai hỗ trợ đầu gối</v>
      </c>
      <c r="C188" s="37" t="str">
        <f>INDEX(Product!$D:$D,MATCH($A188,Product!$A:$A,0))</f>
        <v>Đai hỗ trợ đầu gối</v>
      </c>
      <c r="D188" s="23" t="s">
        <v>2656</v>
      </c>
      <c r="E188" s="37" t="str">
        <f>INDEX('Attribute Definition'!$B:$B,MATCH($D188,'Attribute Definition'!$A:$A,0))</f>
        <v>Kích cỡ</v>
      </c>
      <c r="F188" s="38" t="s">
        <v>2485</v>
      </c>
      <c r="G188" s="39" t="str" cm="1">
        <f t="array" ref="G188">_xlfn.TEXTJOIN("; ",TRUE,_xlfn.UNIQUE(_xlfn._xlws.FILTER('Product Variant Attribute'!$F$2:$F$3000,('Product Variant Attribute'!$B$2:$B$3000=$A188)*('Product Variant Attribute'!$D$2:$D$3000=$D188),"")))</f>
        <v>M; L; LL</v>
      </c>
      <c r="H188" s="39" t="s">
        <v>2672</v>
      </c>
      <c r="I188" s="39"/>
      <c r="J188" s="39" t="str" cm="1">
        <f t="array" ref="J188">IF($I188="","",_xlfn.TEXTJOIN("; ",TRUE,_xlfn.UNIQUE(_xlfn._xlws.FILTER($A$2:$A$3000,($C$2:$C$3000=$C188)*($E$2:$E$3000=$E188)*($G$2:$G$3000&lt;&gt;$G188)*($G$2:$G$3000&lt;&gt;""),""))))</f>
        <v/>
      </c>
    </row>
    <row r="189" spans="1:10" ht="45" x14ac:dyDescent="0.25">
      <c r="A189" s="23" t="s">
        <v>624</v>
      </c>
      <c r="B189" s="37" t="str">
        <f>INDEX(Product!$B:$B,MATCH($A189,Product!$A:$A,0))</f>
        <v>[Merisocks] Vớ nén bắp chân chống suy giãn tĩnh mạch</v>
      </c>
      <c r="C189" s="37" t="str">
        <f>INDEX(Product!$D:$D,MATCH($A189,Product!$A:$A,0))</f>
        <v>Vớ y khoa giãn tĩnh mạch</v>
      </c>
      <c r="D189" s="23" t="s">
        <v>2439</v>
      </c>
      <c r="E189" s="37" t="str">
        <f>INDEX('Attribute Definition'!$B:$B,MATCH($D189,'Attribute Definition'!$A:$A,0))</f>
        <v>Vị trí sử dụng trên cơ thể</v>
      </c>
      <c r="F189" s="38" t="s">
        <v>2657</v>
      </c>
      <c r="G189" s="39" t="str" cm="1">
        <f t="array" ref="G189">_xlfn.TEXTJOIN("; ",TRUE,_xlfn.UNIQUE(_xlfn._xlws.FILTER('Product Variant Attribute'!$F$2:$F$3000,('Product Variant Attribute'!$B$2:$B$3000=$A189)*('Product Variant Attribute'!$D$2:$D$3000=$D189),"")))</f>
        <v>Bắp chân</v>
      </c>
      <c r="H189" s="39"/>
      <c r="I189" s="39" t="s">
        <v>2722</v>
      </c>
      <c r="J189" s="39" t="str" cm="1">
        <f t="array" ref="J189">IF($I189="","",_xlfn.TEXTJOIN("; ",TRUE,_xlfn.UNIQUE(_xlfn._xlws.FILTER($A$2:$A$3000,($C$2:$C$3000=$C189)*($E$2:$E$3000=$E189)*($G$2:$G$3000&lt;&gt;$G189)*($G$2:$G$3000&lt;&gt;""),""))))</f>
        <v>PRODUCT-00054; PRODUCT-00055; PRODUCT-00056; PRODUCT-00296; PRODUCT-00298; PRODUCT-00299</v>
      </c>
    </row>
    <row r="190" spans="1:10" ht="30" x14ac:dyDescent="0.25">
      <c r="A190" s="23" t="s">
        <v>624</v>
      </c>
      <c r="B190" s="37" t="str">
        <f>INDEX(Product!$B:$B,MATCH($A190,Product!$A:$A,0))</f>
        <v>[Merisocks] Vớ nén bắp chân chống suy giãn tĩnh mạch</v>
      </c>
      <c r="C190" s="37" t="str">
        <f>INDEX(Product!$D:$D,MATCH($A190,Product!$A:$A,0))</f>
        <v>Vớ y khoa giãn tĩnh mạch</v>
      </c>
      <c r="D190" s="23" t="s">
        <v>2464</v>
      </c>
      <c r="E190" s="37" t="str">
        <f>INDEX('Attribute Definition'!$B:$B,MATCH($D190,'Attribute Definition'!$A:$A,0))</f>
        <v>Màu sắc</v>
      </c>
      <c r="F190" s="38" t="s">
        <v>2485</v>
      </c>
      <c r="G190" s="39" t="str" cm="1">
        <f t="array" ref="G190">_xlfn.TEXTJOIN("; ",TRUE,_xlfn.UNIQUE(_xlfn._xlws.FILTER('Product Variant Attribute'!$F$2:$F$3000,('Product Variant Attribute'!$B$2:$B$3000=$A190)*('Product Variant Attribute'!$D$2:$D$3000=$D190),"")))</f>
        <v>Đen-xám; Đen-đỏ</v>
      </c>
      <c r="H190" s="39" t="s">
        <v>2673</v>
      </c>
      <c r="I190" s="39"/>
      <c r="J190" s="39" t="str" cm="1">
        <f t="array" ref="J190">IF($I190="","",_xlfn.TEXTJOIN("; ",TRUE,_xlfn.UNIQUE(_xlfn._xlws.FILTER($A$2:$A$3000,($C$2:$C$3000=$C190)*($E$2:$E$3000=$E190)*($G$2:$G$3000&lt;&gt;$G190)*($G$2:$G$3000&lt;&gt;""),""))))</f>
        <v/>
      </c>
    </row>
    <row r="191" spans="1:10" x14ac:dyDescent="0.25">
      <c r="A191" s="23" t="s">
        <v>624</v>
      </c>
      <c r="B191" s="37" t="str">
        <f>INDEX(Product!$B:$B,MATCH($A191,Product!$A:$A,0))</f>
        <v>[Merisocks] Vớ nén bắp chân chống suy giãn tĩnh mạch</v>
      </c>
      <c r="C191" s="37" t="str">
        <f>INDEX(Product!$D:$D,MATCH($A191,Product!$A:$A,0))</f>
        <v>Vớ y khoa giãn tĩnh mạch</v>
      </c>
      <c r="D191" s="23" t="s">
        <v>2471</v>
      </c>
      <c r="E191" s="37" t="str">
        <f>INDEX('Attribute Definition'!$B:$B,MATCH($D191,'Attribute Definition'!$A:$A,0))</f>
        <v>Dạng sản phẩm</v>
      </c>
      <c r="F191" s="38" t="s">
        <v>2657</v>
      </c>
      <c r="G191" s="39" t="str" cm="1">
        <f t="array" ref="G191">_xlfn.TEXTJOIN("; ",TRUE,_xlfn.UNIQUE(_xlfn._xlws.FILTER('Product Variant Attribute'!$F$2:$F$3000,('Product Variant Attribute'!$B$2:$B$3000=$A191)*('Product Variant Attribute'!$D$2:$D$3000=$D191),"")))</f>
        <v>Vớ</v>
      </c>
      <c r="H191" s="39"/>
      <c r="I191" s="39"/>
      <c r="J191" s="39" t="str" cm="1">
        <f t="array" ref="J191">IF($I191="","",_xlfn.TEXTJOIN("; ",TRUE,_xlfn.UNIQUE(_xlfn._xlws.FILTER($A$2:$A$3000,($C$2:$C$3000=$C191)*($E$2:$E$3000=$E191)*($G$2:$G$3000&lt;&gt;$G191)*($G$2:$G$3000&lt;&gt;""),""))))</f>
        <v/>
      </c>
    </row>
    <row r="192" spans="1:10" ht="45" x14ac:dyDescent="0.25">
      <c r="A192" s="23" t="s">
        <v>624</v>
      </c>
      <c r="B192" s="37" t="str">
        <f>INDEX(Product!$B:$B,MATCH($A192,Product!$A:$A,0))</f>
        <v>[Merisocks] Vớ nén bắp chân chống suy giãn tĩnh mạch</v>
      </c>
      <c r="C192" s="37" t="str">
        <f>INDEX(Product!$D:$D,MATCH($A192,Product!$A:$A,0))</f>
        <v>Vớ y khoa giãn tĩnh mạch</v>
      </c>
      <c r="D192" s="23" t="s">
        <v>2656</v>
      </c>
      <c r="E192" s="37" t="str">
        <f>INDEX('Attribute Definition'!$B:$B,MATCH($D192,'Attribute Definition'!$A:$A,0))</f>
        <v>Kích cỡ</v>
      </c>
      <c r="F192" s="38" t="s">
        <v>2485</v>
      </c>
      <c r="G192" s="39" t="str" cm="1">
        <f t="array" ref="G192">_xlfn.TEXTJOIN("; ",TRUE,_xlfn.UNIQUE(_xlfn._xlws.FILTER('Product Variant Attribute'!$F$2:$F$3000,('Product Variant Attribute'!$B$2:$B$3000=$A192)*('Product Variant Attribute'!$D$2:$D$3000=$D192),"")))</f>
        <v>S; M; L; LL</v>
      </c>
      <c r="H192" s="39" t="s">
        <v>2674</v>
      </c>
      <c r="I192" s="39"/>
      <c r="J192" s="39" t="str" cm="1">
        <f t="array" ref="J192">IF($I192="","",_xlfn.TEXTJOIN("; ",TRUE,_xlfn.UNIQUE(_xlfn._xlws.FILTER($A$2:$A$3000,($C$2:$C$3000=$C192)*($E$2:$E$3000=$E192)*($G$2:$G$3000&lt;&gt;$G192)*($G$2:$G$3000&lt;&gt;""),""))))</f>
        <v/>
      </c>
    </row>
    <row r="193" spans="1:10" ht="30" x14ac:dyDescent="0.25">
      <c r="A193" s="23" t="s">
        <v>625</v>
      </c>
      <c r="B193" s="37" t="str">
        <f>INDEX(Product!$B:$B,MATCH($A193,Product!$A:$A,0))</f>
        <v>[Omron] Máy massage xung điện trị liệu - HV-F013</v>
      </c>
      <c r="C193" s="37" t="str">
        <f>INDEX(Product!$D:$D,MATCH($A193,Product!$A:$A,0))</f>
        <v>Máy massage xung điện</v>
      </c>
      <c r="D193" s="23" t="s">
        <v>2471</v>
      </c>
      <c r="E193" s="37" t="str">
        <f>INDEX('Attribute Definition'!$B:$B,MATCH($D193,'Attribute Definition'!$A:$A,0))</f>
        <v>Dạng sản phẩm</v>
      </c>
      <c r="F193" s="38" t="s">
        <v>2657</v>
      </c>
      <c r="G193" s="39" t="str" cm="1">
        <f t="array" ref="G193">_xlfn.TEXTJOIN("; ",TRUE,_xlfn.UNIQUE(_xlfn._xlws.FILTER('Product Variant Attribute'!$F$2:$F$3000,('Product Variant Attribute'!$B$2:$B$3000=$A193)*('Product Variant Attribute'!$D$2:$D$3000=$D193),"")))</f>
        <v>Máy / thiết bị điện tử</v>
      </c>
      <c r="H193" s="39"/>
      <c r="I193" s="39" t="s">
        <v>2723</v>
      </c>
      <c r="J193" s="39" t="str" cm="1">
        <f t="array" ref="J193">IF($I193="","",_xlfn.TEXTJOIN("; ",TRUE,_xlfn.UNIQUE(_xlfn._xlws.FILTER($A$2:$A$3000,($C$2:$C$3000=$C193)*($E$2:$E$3000=$E193)*($G$2:$G$3000&lt;&gt;$G193)*($G$2:$G$3000&lt;&gt;""),""))))</f>
        <v>PRODUCT-00067</v>
      </c>
    </row>
    <row r="194" spans="1:10" ht="30" x14ac:dyDescent="0.25">
      <c r="A194" s="23" t="s">
        <v>626</v>
      </c>
      <c r="B194" s="37" t="str">
        <f>INDEX(Product!$B:$B,MATCH($A194,Product!$A:$A,0))</f>
        <v>[Omron] Máy massage xung điện trị liệu - HV-F127</v>
      </c>
      <c r="C194" s="37" t="str">
        <f>INDEX(Product!$D:$D,MATCH($A194,Product!$A:$A,0))</f>
        <v>Máy massage xung điện</v>
      </c>
      <c r="D194" s="23" t="s">
        <v>2471</v>
      </c>
      <c r="E194" s="37" t="str">
        <f>INDEX('Attribute Definition'!$B:$B,MATCH($D194,'Attribute Definition'!$A:$A,0))</f>
        <v>Dạng sản phẩm</v>
      </c>
      <c r="F194" s="38" t="s">
        <v>2657</v>
      </c>
      <c r="G194" s="39" t="str" cm="1">
        <f t="array" ref="G194">_xlfn.TEXTJOIN("; ",TRUE,_xlfn.UNIQUE(_xlfn._xlws.FILTER('Product Variant Attribute'!$F$2:$F$3000,('Product Variant Attribute'!$B$2:$B$3000=$A194)*('Product Variant Attribute'!$D$2:$D$3000=$D194),"")))</f>
        <v>Máy / thiết bị điện tử</v>
      </c>
      <c r="H194" s="39"/>
      <c r="I194" s="39" t="s">
        <v>2723</v>
      </c>
      <c r="J194" s="39" t="str" cm="1">
        <f t="array" ref="J194">IF($I194="","",_xlfn.TEXTJOIN("; ",TRUE,_xlfn.UNIQUE(_xlfn._xlws.FILTER($A$2:$A$3000,($C$2:$C$3000=$C194)*($E$2:$E$3000=$E194)*($G$2:$G$3000&lt;&gt;$G194)*($G$2:$G$3000&lt;&gt;""),""))))</f>
        <v>PRODUCT-00067</v>
      </c>
    </row>
    <row r="195" spans="1:10" ht="30" x14ac:dyDescent="0.25">
      <c r="A195" s="23" t="s">
        <v>627</v>
      </c>
      <c r="B195" s="37" t="str">
        <f>INDEX(Product!$B:$B,MATCH($A195,Product!$A:$A,0))</f>
        <v>[Omron] Máy massage xung điện trị liệu - HV-F128</v>
      </c>
      <c r="C195" s="37" t="str">
        <f>INDEX(Product!$D:$D,MATCH($A195,Product!$A:$A,0))</f>
        <v>Máy massage xung điện</v>
      </c>
      <c r="D195" s="23" t="s">
        <v>2471</v>
      </c>
      <c r="E195" s="37" t="str">
        <f>INDEX('Attribute Definition'!$B:$B,MATCH($D195,'Attribute Definition'!$A:$A,0))</f>
        <v>Dạng sản phẩm</v>
      </c>
      <c r="F195" s="38" t="s">
        <v>2657</v>
      </c>
      <c r="G195" s="39" t="str" cm="1">
        <f t="array" ref="G195">_xlfn.TEXTJOIN("; ",TRUE,_xlfn.UNIQUE(_xlfn._xlws.FILTER('Product Variant Attribute'!$F$2:$F$3000,('Product Variant Attribute'!$B$2:$B$3000=$A195)*('Product Variant Attribute'!$D$2:$D$3000=$D195),"")))</f>
        <v>Máy / thiết bị điện tử</v>
      </c>
      <c r="H195" s="39"/>
      <c r="I195" s="39" t="s">
        <v>2723</v>
      </c>
      <c r="J195" s="39" t="str" cm="1">
        <f t="array" ref="J195">IF($I195="","",_xlfn.TEXTJOIN("; ",TRUE,_xlfn.UNIQUE(_xlfn._xlws.FILTER($A$2:$A$3000,($C$2:$C$3000=$C195)*($E$2:$E$3000=$E195)*($G$2:$G$3000&lt;&gt;$G195)*($G$2:$G$3000&lt;&gt;""),""))))</f>
        <v>PRODUCT-00067</v>
      </c>
    </row>
    <row r="196" spans="1:10" ht="30" x14ac:dyDescent="0.25">
      <c r="A196" s="23" t="s">
        <v>628</v>
      </c>
      <c r="B196" s="37" t="str">
        <f>INDEX(Product!$B:$B,MATCH($A196,Product!$A:$A,0))</f>
        <v>[Omron] Miếng dán điện cực máy massage xung điện - Long Life Pad HV-LLPAD-C1</v>
      </c>
      <c r="C196" s="37" t="str">
        <f>INDEX(Product!$D:$D,MATCH($A196,Product!$A:$A,0))</f>
        <v>Máy massage xung điện</v>
      </c>
      <c r="D196" s="23" t="s">
        <v>2471</v>
      </c>
      <c r="E196" s="37" t="str">
        <f>INDEX('Attribute Definition'!$B:$B,MATCH($D196,'Attribute Definition'!$A:$A,0))</f>
        <v>Dạng sản phẩm</v>
      </c>
      <c r="F196" s="38" t="s">
        <v>2657</v>
      </c>
      <c r="G196" s="39" t="str" cm="1">
        <f t="array" ref="G196">_xlfn.TEXTJOIN("; ",TRUE,_xlfn.UNIQUE(_xlfn._xlws.FILTER('Product Variant Attribute'!$F$2:$F$3000,('Product Variant Attribute'!$B$2:$B$3000=$A196)*('Product Variant Attribute'!$D$2:$D$3000=$D196),"")))</f>
        <v>Miếng dán / gạc</v>
      </c>
      <c r="H196" s="39"/>
      <c r="I196" s="39" t="s">
        <v>2724</v>
      </c>
      <c r="J196" s="39" t="str" cm="1">
        <f t="array" ref="J196">IF($I196="","",_xlfn.TEXTJOIN("; ",TRUE,_xlfn.UNIQUE(_xlfn._xlws.FILTER($A$2:$A$3000,($C$2:$C$3000=$C196)*($E$2:$E$3000=$E196)*($G$2:$G$3000&lt;&gt;$G196)*($G$2:$G$3000&lt;&gt;""),""))))</f>
        <v>PRODUCT-00064; PRODUCT-00065; PRODUCT-00066</v>
      </c>
    </row>
    <row r="197" spans="1:10" x14ac:dyDescent="0.25">
      <c r="A197" s="23" t="s">
        <v>629</v>
      </c>
      <c r="B197" s="37" t="str">
        <f>INDEX(Product!$B:$B,MATCH($A197,Product!$A:$A,0))</f>
        <v>[Orbe] Đai chống gù lưng</v>
      </c>
      <c r="C197" s="37" t="str">
        <f>INDEX(Product!$D:$D,MATCH($A197,Product!$A:$A,0))</f>
        <v>Đai lưng cột sống</v>
      </c>
      <c r="D197" s="23" t="s">
        <v>2439</v>
      </c>
      <c r="E197" s="37" t="str">
        <f>INDEX('Attribute Definition'!$B:$B,MATCH($D197,'Attribute Definition'!$A:$A,0))</f>
        <v>Vị trí sử dụng trên cơ thể</v>
      </c>
      <c r="F197" s="38" t="s">
        <v>2657</v>
      </c>
      <c r="G197" s="39" t="str" cm="1">
        <f t="array" ref="G197">_xlfn.TEXTJOIN("; ",TRUE,_xlfn.UNIQUE(_xlfn._xlws.FILTER('Product Variant Attribute'!$F$2:$F$3000,('Product Variant Attribute'!$B$2:$B$3000=$A197)*('Product Variant Attribute'!$D$2:$D$3000=$D197),"")))</f>
        <v>Lưng - cột sống</v>
      </c>
      <c r="H197" s="39"/>
      <c r="I197" s="39"/>
      <c r="J197" s="39" t="str" cm="1">
        <f t="array" ref="J197">IF($I197="","",_xlfn.TEXTJOIN("; ",TRUE,_xlfn.UNIQUE(_xlfn._xlws.FILTER($A$2:$A$3000,($C$2:$C$3000=$C197)*($E$2:$E$3000=$E197)*($G$2:$G$3000&lt;&gt;$G197)*($G$2:$G$3000&lt;&gt;""),""))))</f>
        <v/>
      </c>
    </row>
    <row r="198" spans="1:10" x14ac:dyDescent="0.25">
      <c r="A198" s="23" t="s">
        <v>629</v>
      </c>
      <c r="B198" s="37" t="str">
        <f>INDEX(Product!$B:$B,MATCH($A198,Product!$A:$A,0))</f>
        <v>[Orbe] Đai chống gù lưng</v>
      </c>
      <c r="C198" s="37" t="str">
        <f>INDEX(Product!$D:$D,MATCH($A198,Product!$A:$A,0))</f>
        <v>Đai lưng cột sống</v>
      </c>
      <c r="D198" s="23" t="s">
        <v>2471</v>
      </c>
      <c r="E198" s="37" t="str">
        <f>INDEX('Attribute Definition'!$B:$B,MATCH($D198,'Attribute Definition'!$A:$A,0))</f>
        <v>Dạng sản phẩm</v>
      </c>
      <c r="F198" s="38" t="s">
        <v>2657</v>
      </c>
      <c r="G198" s="39" t="str" cm="1">
        <f t="array" ref="G198">_xlfn.TEXTJOIN("; ",TRUE,_xlfn.UNIQUE(_xlfn._xlws.FILTER('Product Variant Attribute'!$F$2:$F$3000,('Product Variant Attribute'!$B$2:$B$3000=$A198)*('Product Variant Attribute'!$D$2:$D$3000=$D198),"")))</f>
        <v>Đai / băng thun</v>
      </c>
      <c r="H198" s="39"/>
      <c r="I198" s="39"/>
      <c r="J198" s="39" t="str" cm="1">
        <f t="array" ref="J198">IF($I198="","",_xlfn.TEXTJOIN("; ",TRUE,_xlfn.UNIQUE(_xlfn._xlws.FILTER($A$2:$A$3000,($C$2:$C$3000=$C198)*($E$2:$E$3000=$E198)*($G$2:$G$3000&lt;&gt;$G198)*($G$2:$G$3000&lt;&gt;""),""))))</f>
        <v/>
      </c>
    </row>
    <row r="199" spans="1:10" ht="30" x14ac:dyDescent="0.25">
      <c r="A199" s="23" t="s">
        <v>629</v>
      </c>
      <c r="B199" s="37" t="str">
        <f>INDEX(Product!$B:$B,MATCH($A199,Product!$A:$A,0))</f>
        <v>[Orbe] Đai chống gù lưng</v>
      </c>
      <c r="C199" s="37" t="str">
        <f>INDEX(Product!$D:$D,MATCH($A199,Product!$A:$A,0))</f>
        <v>Đai lưng cột sống</v>
      </c>
      <c r="D199" s="23" t="s">
        <v>2656</v>
      </c>
      <c r="E199" s="37" t="str">
        <f>INDEX('Attribute Definition'!$B:$B,MATCH($D199,'Attribute Definition'!$A:$A,0))</f>
        <v>Kích cỡ</v>
      </c>
      <c r="F199" s="38" t="s">
        <v>2485</v>
      </c>
      <c r="G199" s="39" t="str" cm="1">
        <f t="array" ref="G199">_xlfn.TEXTJOIN("; ",TRUE,_xlfn.UNIQUE(_xlfn._xlws.FILTER('Product Variant Attribute'!$F$2:$F$3000,('Product Variant Attribute'!$B$2:$B$3000=$A199)*('Product Variant Attribute'!$D$2:$D$3000=$D199),"")))</f>
        <v>XS; S; M; L; XL</v>
      </c>
      <c r="H199" s="39" t="s">
        <v>2675</v>
      </c>
      <c r="I199" s="39"/>
      <c r="J199" s="39" t="str" cm="1">
        <f t="array" ref="J199">IF($I199="","",_xlfn.TEXTJOIN("; ",TRUE,_xlfn.UNIQUE(_xlfn._xlws.FILTER($A$2:$A$3000,($C$2:$C$3000=$C199)*($E$2:$E$3000=$E199)*($G$2:$G$3000&lt;&gt;$G199)*($G$2:$G$3000&lt;&gt;""),""))))</f>
        <v/>
      </c>
    </row>
    <row r="200" spans="1:10" x14ac:dyDescent="0.25">
      <c r="A200" s="23" t="s">
        <v>630</v>
      </c>
      <c r="B200" s="37" t="str">
        <f>INDEX(Product!$B:$B,MATCH($A200,Product!$A:$A,0))</f>
        <v>[Orbe] Đai thắt lưng cột sống cao cấp - Olumba</v>
      </c>
      <c r="C200" s="37" t="str">
        <f>INDEX(Product!$D:$D,MATCH($A200,Product!$A:$A,0))</f>
        <v>Đai lưng cột sống</v>
      </c>
      <c r="D200" s="23" t="s">
        <v>2439</v>
      </c>
      <c r="E200" s="37" t="str">
        <f>INDEX('Attribute Definition'!$B:$B,MATCH($D200,'Attribute Definition'!$A:$A,0))</f>
        <v>Vị trí sử dụng trên cơ thể</v>
      </c>
      <c r="F200" s="38" t="s">
        <v>2657</v>
      </c>
      <c r="G200" s="39" t="str" cm="1">
        <f t="array" ref="G200">_xlfn.TEXTJOIN("; ",TRUE,_xlfn.UNIQUE(_xlfn._xlws.FILTER('Product Variant Attribute'!$F$2:$F$3000,('Product Variant Attribute'!$B$2:$B$3000=$A200)*('Product Variant Attribute'!$D$2:$D$3000=$D200),"")))</f>
        <v>Lưng - cột sống</v>
      </c>
      <c r="H200" s="39"/>
      <c r="I200" s="39"/>
      <c r="J200" s="39" t="str" cm="1">
        <f t="array" ref="J200">IF($I200="","",_xlfn.TEXTJOIN("; ",TRUE,_xlfn.UNIQUE(_xlfn._xlws.FILTER($A$2:$A$3000,($C$2:$C$3000=$C200)*($E$2:$E$3000=$E200)*($G$2:$G$3000&lt;&gt;$G200)*($G$2:$G$3000&lt;&gt;""),""))))</f>
        <v/>
      </c>
    </row>
    <row r="201" spans="1:10" x14ac:dyDescent="0.25">
      <c r="A201" s="23" t="s">
        <v>630</v>
      </c>
      <c r="B201" s="37" t="str">
        <f>INDEX(Product!$B:$B,MATCH($A201,Product!$A:$A,0))</f>
        <v>[Orbe] Đai thắt lưng cột sống cao cấp - Olumba</v>
      </c>
      <c r="C201" s="37" t="str">
        <f>INDEX(Product!$D:$D,MATCH($A201,Product!$A:$A,0))</f>
        <v>Đai lưng cột sống</v>
      </c>
      <c r="D201" s="23" t="s">
        <v>2471</v>
      </c>
      <c r="E201" s="37" t="str">
        <f>INDEX('Attribute Definition'!$B:$B,MATCH($D201,'Attribute Definition'!$A:$A,0))</f>
        <v>Dạng sản phẩm</v>
      </c>
      <c r="F201" s="38" t="s">
        <v>2657</v>
      </c>
      <c r="G201" s="39" t="str" cm="1">
        <f t="array" ref="G201">_xlfn.TEXTJOIN("; ",TRUE,_xlfn.UNIQUE(_xlfn._xlws.FILTER('Product Variant Attribute'!$F$2:$F$3000,('Product Variant Attribute'!$B$2:$B$3000=$A201)*('Product Variant Attribute'!$D$2:$D$3000=$D201),"")))</f>
        <v>Đai / băng thun</v>
      </c>
      <c r="H201" s="39"/>
      <c r="I201" s="39"/>
      <c r="J201" s="39" t="str" cm="1">
        <f t="array" ref="J201">IF($I201="","",_xlfn.TEXTJOIN("; ",TRUE,_xlfn.UNIQUE(_xlfn._xlws.FILTER($A$2:$A$3000,($C$2:$C$3000=$C201)*($E$2:$E$3000=$E201)*($G$2:$G$3000&lt;&gt;$G201)*($G$2:$G$3000&lt;&gt;""),""))))</f>
        <v/>
      </c>
    </row>
    <row r="202" spans="1:10" ht="45" x14ac:dyDescent="0.25">
      <c r="A202" s="23" t="s">
        <v>630</v>
      </c>
      <c r="B202" s="37" t="str">
        <f>INDEX(Product!$B:$B,MATCH($A202,Product!$A:$A,0))</f>
        <v>[Orbe] Đai thắt lưng cột sống cao cấp - Olumba</v>
      </c>
      <c r="C202" s="37" t="str">
        <f>INDEX(Product!$D:$D,MATCH($A202,Product!$A:$A,0))</f>
        <v>Đai lưng cột sống</v>
      </c>
      <c r="D202" s="23" t="s">
        <v>2656</v>
      </c>
      <c r="E202" s="37" t="str">
        <f>INDEX('Attribute Definition'!$B:$B,MATCH($D202,'Attribute Definition'!$A:$A,0))</f>
        <v>Kích cỡ</v>
      </c>
      <c r="F202" s="38" t="s">
        <v>2485</v>
      </c>
      <c r="G202" s="39" t="str" cm="1">
        <f t="array" ref="G202">_xlfn.TEXTJOIN("; ",TRUE,_xlfn.UNIQUE(_xlfn._xlws.FILTER('Product Variant Attribute'!$F$2:$F$3000,('Product Variant Attribute'!$B$2:$B$3000=$A202)*('Product Variant Attribute'!$D$2:$D$3000=$D202),"")))</f>
        <v>S; M; L; XL; XXL</v>
      </c>
      <c r="H202" s="39" t="s">
        <v>2676</v>
      </c>
      <c r="I202" s="39"/>
      <c r="J202" s="39" t="str" cm="1">
        <f t="array" ref="J202">IF($I202="","",_xlfn.TEXTJOIN("; ",TRUE,_xlfn.UNIQUE(_xlfn._xlws.FILTER($A$2:$A$3000,($C$2:$C$3000=$C202)*($E$2:$E$3000=$E202)*($G$2:$G$3000&lt;&gt;$G202)*($G$2:$G$3000&lt;&gt;""),""))))</f>
        <v/>
      </c>
    </row>
    <row r="203" spans="1:10" x14ac:dyDescent="0.25">
      <c r="A203" s="23" t="s">
        <v>631</v>
      </c>
      <c r="B203" s="37" t="str">
        <f>INDEX(Product!$B:$B,MATCH($A203,Product!$A:$A,0))</f>
        <v>[Timelock] Găng tay robot phục hồi chức năng bàn tay (Bên trái)</v>
      </c>
      <c r="C203" s="37" t="str">
        <f>INDEX(Product!$D:$D,MATCH($A203,Product!$A:$A,0))</f>
        <v>Găng tay robot phục hồi chức năng</v>
      </c>
      <c r="D203" s="23" t="s">
        <v>2439</v>
      </c>
      <c r="E203" s="37" t="str">
        <f>INDEX('Attribute Definition'!$B:$B,MATCH($D203,'Attribute Definition'!$A:$A,0))</f>
        <v>Vị trí sử dụng trên cơ thể</v>
      </c>
      <c r="F203" s="38" t="s">
        <v>2657</v>
      </c>
      <c r="G203" s="39" t="str" cm="1">
        <f t="array" ref="G203">_xlfn.TEXTJOIN("; ",TRUE,_xlfn.UNIQUE(_xlfn._xlws.FILTER('Product Variant Attribute'!$F$2:$F$3000,('Product Variant Attribute'!$B$2:$B$3000=$A203)*('Product Variant Attribute'!$D$2:$D$3000=$D203),"")))</f>
        <v>Bàn tay</v>
      </c>
      <c r="H203" s="39"/>
      <c r="I203" s="39"/>
      <c r="J203" s="39" t="str" cm="1">
        <f t="array" ref="J203">IF($I203="","",_xlfn.TEXTJOIN("; ",TRUE,_xlfn.UNIQUE(_xlfn._xlws.FILTER($A$2:$A$3000,($C$2:$C$3000=$C203)*($E$2:$E$3000=$E203)*($G$2:$G$3000&lt;&gt;$G203)*($G$2:$G$3000&lt;&gt;""),""))))</f>
        <v/>
      </c>
    </row>
    <row r="204" spans="1:10" x14ac:dyDescent="0.25">
      <c r="A204" s="23" t="s">
        <v>631</v>
      </c>
      <c r="B204" s="37" t="str">
        <f>INDEX(Product!$B:$B,MATCH($A204,Product!$A:$A,0))</f>
        <v>[Timelock] Găng tay robot phục hồi chức năng bàn tay (Bên trái)</v>
      </c>
      <c r="C204" s="37" t="str">
        <f>INDEX(Product!$D:$D,MATCH($A204,Product!$A:$A,0))</f>
        <v>Găng tay robot phục hồi chức năng</v>
      </c>
      <c r="D204" s="23" t="s">
        <v>2444</v>
      </c>
      <c r="E204" s="37" t="str">
        <f>INDEX('Attribute Definition'!$B:$B,MATCH($D204,'Attribute Definition'!$A:$A,0))</f>
        <v>Bên</v>
      </c>
      <c r="F204" s="38" t="s">
        <v>2657</v>
      </c>
      <c r="G204" s="39" t="str" cm="1">
        <f t="array" ref="G204">_xlfn.TEXTJOIN("; ",TRUE,_xlfn.UNIQUE(_xlfn._xlws.FILTER('Product Variant Attribute'!$F$2:$F$3000,('Product Variant Attribute'!$B$2:$B$3000=$A204)*('Product Variant Attribute'!$D$2:$D$3000=$D204),"")))</f>
        <v>Trái</v>
      </c>
      <c r="H204" s="39"/>
      <c r="I204" s="39" t="s">
        <v>2725</v>
      </c>
      <c r="J204" s="39" t="str" cm="1">
        <f t="array" ref="J204">IF($I204="","",_xlfn.TEXTJOIN("; ",TRUE,_xlfn.UNIQUE(_xlfn._xlws.FILTER($A$2:$A$3000,($C$2:$C$3000=$C204)*($E$2:$E$3000=$E204)*($G$2:$G$3000&lt;&gt;$G204)*($G$2:$G$3000&lt;&gt;""),""))))</f>
        <v>PRODUCT-00297</v>
      </c>
    </row>
    <row r="205" spans="1:10" x14ac:dyDescent="0.25">
      <c r="A205" s="23" t="s">
        <v>631</v>
      </c>
      <c r="B205" s="37" t="str">
        <f>INDEX(Product!$B:$B,MATCH($A205,Product!$A:$A,0))</f>
        <v>[Timelock] Găng tay robot phục hồi chức năng bàn tay (Bên trái)</v>
      </c>
      <c r="C205" s="37" t="str">
        <f>INDEX(Product!$D:$D,MATCH($A205,Product!$A:$A,0))</f>
        <v>Găng tay robot phục hồi chức năng</v>
      </c>
      <c r="D205" s="23" t="s">
        <v>2471</v>
      </c>
      <c r="E205" s="37" t="str">
        <f>INDEX('Attribute Definition'!$B:$B,MATCH($D205,'Attribute Definition'!$A:$A,0))</f>
        <v>Dạng sản phẩm</v>
      </c>
      <c r="F205" s="38" t="s">
        <v>2657</v>
      </c>
      <c r="G205" s="39" t="str" cm="1">
        <f t="array" ref="G205">_xlfn.TEXTJOIN("; ",TRUE,_xlfn.UNIQUE(_xlfn._xlws.FILTER('Product Variant Attribute'!$F$2:$F$3000,('Product Variant Attribute'!$B$2:$B$3000=$A205)*('Product Variant Attribute'!$D$2:$D$3000=$D205),"")))</f>
        <v>Máy / thiết bị điện tử</v>
      </c>
      <c r="H205" s="39"/>
      <c r="I205" s="39"/>
      <c r="J205" s="39" t="str" cm="1">
        <f t="array" ref="J205">IF($I205="","",_xlfn.TEXTJOIN("; ",TRUE,_xlfn.UNIQUE(_xlfn._xlws.FILTER($A$2:$A$3000,($C$2:$C$3000=$C205)*($E$2:$E$3000=$E205)*($G$2:$G$3000&lt;&gt;$G205)*($G$2:$G$3000&lt;&gt;""),""))))</f>
        <v/>
      </c>
    </row>
    <row r="206" spans="1:10" ht="45" x14ac:dyDescent="0.25">
      <c r="A206" s="23" t="s">
        <v>631</v>
      </c>
      <c r="B206" s="37" t="str">
        <f>INDEX(Product!$B:$B,MATCH($A206,Product!$A:$A,0))</f>
        <v>[Timelock] Găng tay robot phục hồi chức năng bàn tay (Bên trái)</v>
      </c>
      <c r="C206" s="37" t="str">
        <f>INDEX(Product!$D:$D,MATCH($A206,Product!$A:$A,0))</f>
        <v>Găng tay robot phục hồi chức năng</v>
      </c>
      <c r="D206" s="23" t="s">
        <v>2656</v>
      </c>
      <c r="E206" s="37" t="str">
        <f>INDEX('Attribute Definition'!$B:$B,MATCH($D206,'Attribute Definition'!$A:$A,0))</f>
        <v>Kích cỡ</v>
      </c>
      <c r="F206" s="38" t="s">
        <v>2485</v>
      </c>
      <c r="G206" s="39" t="str" cm="1">
        <f t="array" ref="G206">_xlfn.TEXTJOIN("; ",TRUE,_xlfn.UNIQUE(_xlfn._xlws.FILTER('Product Variant Attribute'!$F$2:$F$3000,('Product Variant Attribute'!$B$2:$B$3000=$A206)*('Product Variant Attribute'!$D$2:$D$3000=$D206),"")))</f>
        <v>M; L</v>
      </c>
      <c r="H206" s="39" t="s">
        <v>2677</v>
      </c>
      <c r="I206" s="39"/>
      <c r="J206" s="39" t="str" cm="1">
        <f t="array" ref="J206">IF($I206="","",_xlfn.TEXTJOIN("; ",TRUE,_xlfn.UNIQUE(_xlfn._xlws.FILTER($A$2:$A$3000,($C$2:$C$3000=$C206)*($E$2:$E$3000=$E206)*($G$2:$G$3000&lt;&gt;$G206)*($G$2:$G$3000&lt;&gt;""),""))))</f>
        <v/>
      </c>
    </row>
    <row r="207" spans="1:10" x14ac:dyDescent="0.25">
      <c r="A207" s="23" t="s">
        <v>632</v>
      </c>
      <c r="B207" s="37" t="str">
        <f>INDEX(Product!$B:$B,MATCH($A207,Product!$A:$A,0))</f>
        <v>[Venosan] Vớ y khoa hỗ trợ điều trị suy giãn tĩnh mạch - Venosan 6000</v>
      </c>
      <c r="C207" s="37" t="str">
        <f>INDEX(Product!$D:$D,MATCH($A207,Product!$A:$A,0))</f>
        <v>Vớ y khoa giãn tĩnh mạch</v>
      </c>
      <c r="D207" s="23" t="s">
        <v>2471</v>
      </c>
      <c r="E207" s="37" t="str">
        <f>INDEX('Attribute Definition'!$B:$B,MATCH($D207,'Attribute Definition'!$A:$A,0))</f>
        <v>Dạng sản phẩm</v>
      </c>
      <c r="F207" s="38" t="s">
        <v>2657</v>
      </c>
      <c r="G207" s="39" t="str" cm="1">
        <f t="array" ref="G207">_xlfn.TEXTJOIN("; ",TRUE,_xlfn.UNIQUE(_xlfn._xlws.FILTER('Product Variant Attribute'!$F$2:$F$3000,('Product Variant Attribute'!$B$2:$B$3000=$A207)*('Product Variant Attribute'!$D$2:$D$3000=$D207),"")))</f>
        <v>Vớ</v>
      </c>
      <c r="H207" s="39"/>
      <c r="I207" s="39"/>
      <c r="J207" s="39" t="str" cm="1">
        <f t="array" ref="J207">IF($I207="","",_xlfn.TEXTJOIN("; ",TRUE,_xlfn.UNIQUE(_xlfn._xlws.FILTER($A$2:$A$3000,($C$2:$C$3000=$C207)*($E$2:$E$3000=$E207)*($G$2:$G$3000&lt;&gt;$G207)*($G$2:$G$3000&lt;&gt;""),""))))</f>
        <v/>
      </c>
    </row>
    <row r="208" spans="1:10" ht="75" x14ac:dyDescent="0.25">
      <c r="A208" s="23" t="s">
        <v>632</v>
      </c>
      <c r="B208" s="37" t="str">
        <f>INDEX(Product!$B:$B,MATCH($A208,Product!$A:$A,0))</f>
        <v>[Venosan] Vớ y khoa hỗ trợ điều trị suy giãn tĩnh mạch - Venosan 6000</v>
      </c>
      <c r="C208" s="37" t="str">
        <f>INDEX(Product!$D:$D,MATCH($A208,Product!$A:$A,0))</f>
        <v>Vớ y khoa giãn tĩnh mạch</v>
      </c>
      <c r="D208" s="23" t="s">
        <v>2656</v>
      </c>
      <c r="E208" s="37" t="str">
        <f>INDEX('Attribute Definition'!$B:$B,MATCH($D208,'Attribute Definition'!$A:$A,0))</f>
        <v>Kích cỡ</v>
      </c>
      <c r="F208" s="38" t="s">
        <v>2485</v>
      </c>
      <c r="G208" s="39" t="str" cm="1">
        <f t="array" ref="G208">_xlfn.TEXTJOIN("; ",TRUE,_xlfn.UNIQUE(_xlfn._xlws.FILTER('Product Variant Attribute'!$F$2:$F$3000,('Product Variant Attribute'!$B$2:$B$3000=$A208)*('Product Variant Attribute'!$D$2:$D$3000=$D208),"")))</f>
        <v>XS; S; M; L; XL</v>
      </c>
      <c r="H208" s="39" t="s">
        <v>2678</v>
      </c>
      <c r="I208" s="39"/>
      <c r="J208" s="39" t="str" cm="1">
        <f t="array" ref="J208">IF($I208="","",_xlfn.TEXTJOIN("; ",TRUE,_xlfn.UNIQUE(_xlfn._xlws.FILTER($A$2:$A$3000,($C$2:$C$3000=$C208)*($E$2:$E$3000=$E208)*($G$2:$G$3000&lt;&gt;$G208)*($G$2:$G$3000&lt;&gt;""),""))))</f>
        <v/>
      </c>
    </row>
    <row r="209" spans="1:10" x14ac:dyDescent="0.25">
      <c r="A209" s="23" t="s">
        <v>633</v>
      </c>
      <c r="B209" s="37" t="str">
        <f>INDEX(Product!$B:$B,MATCH($A209,Product!$A:$A,0))</f>
        <v>[ConvaTec] Bột hút ẩm chống loét hậu môn nhân tạo (28.3g)</v>
      </c>
      <c r="C209" s="37" t="str">
        <f>INDEX(Product!$D:$D,MATCH($A209,Product!$A:$A,0))</f>
        <v>Phụ kiện hậu môn nhân tạo</v>
      </c>
      <c r="D209" s="23" t="s">
        <v>2356</v>
      </c>
      <c r="E209" s="37" t="str">
        <f>INDEX('Attribute Definition'!$B:$B,MATCH($D209,'Attribute Definition'!$A:$A,0))</f>
        <v>Khối lượng tịnh</v>
      </c>
      <c r="F209" s="38" t="s">
        <v>2657</v>
      </c>
      <c r="G209" s="39" t="str" cm="1">
        <f t="array" ref="G209">_xlfn.TEXTJOIN("; ",TRUE,_xlfn.UNIQUE(_xlfn._xlws.FILTER('Product Variant Attribute'!$F$2:$F$3000,('Product Variant Attribute'!$B$2:$B$3000=$A209)*('Product Variant Attribute'!$D$2:$D$3000=$D209),"")))</f>
        <v>28.3g</v>
      </c>
      <c r="H209" s="39"/>
      <c r="I209" s="39"/>
      <c r="J209" s="39" t="str" cm="1">
        <f t="array" ref="J209">IF($I209="","",_xlfn.TEXTJOIN("; ",TRUE,_xlfn.UNIQUE(_xlfn._xlws.FILTER($A$2:$A$3000,($C$2:$C$3000=$C209)*($E$2:$E$3000=$E209)*($G$2:$G$3000&lt;&gt;$G209)*($G$2:$G$3000&lt;&gt;""),""))))</f>
        <v/>
      </c>
    </row>
    <row r="210" spans="1:10" x14ac:dyDescent="0.25">
      <c r="A210" s="23" t="s">
        <v>633</v>
      </c>
      <c r="B210" s="37" t="str">
        <f>INDEX(Product!$B:$B,MATCH($A210,Product!$A:$A,0))</f>
        <v>[ConvaTec] Bột hút ẩm chống loét hậu môn nhân tạo (28.3g)</v>
      </c>
      <c r="C210" s="37" t="str">
        <f>INDEX(Product!$D:$D,MATCH($A210,Product!$A:$A,0))</f>
        <v>Phụ kiện hậu môn nhân tạo</v>
      </c>
      <c r="D210" s="23" t="s">
        <v>2471</v>
      </c>
      <c r="E210" s="37" t="str">
        <f>INDEX('Attribute Definition'!$B:$B,MATCH($D210,'Attribute Definition'!$A:$A,0))</f>
        <v>Dạng sản phẩm</v>
      </c>
      <c r="F210" s="38" t="s">
        <v>2657</v>
      </c>
      <c r="G210" s="39" t="str" cm="1">
        <f t="array" ref="G210">_xlfn.TEXTJOIN("; ",TRUE,_xlfn.UNIQUE(_xlfn._xlws.FILTER('Product Variant Attribute'!$F$2:$F$3000,('Product Variant Attribute'!$B$2:$B$3000=$A210)*('Product Variant Attribute'!$D$2:$D$3000=$D210),"")))</f>
        <v>Bột</v>
      </c>
      <c r="H210" s="39"/>
      <c r="I210" s="39"/>
      <c r="J210" s="39" t="str" cm="1">
        <f t="array" ref="J210">IF($I210="","",_xlfn.TEXTJOIN("; ",TRUE,_xlfn.UNIQUE(_xlfn._xlws.FILTER($A$2:$A$3000,($C$2:$C$3000=$C210)*($E$2:$E$3000=$E210)*($G$2:$G$3000&lt;&gt;$G210)*($G$2:$G$3000&lt;&gt;""),""))))</f>
        <v/>
      </c>
    </row>
    <row r="211" spans="1:10" x14ac:dyDescent="0.25">
      <c r="A211" s="23" t="s">
        <v>634</v>
      </c>
      <c r="B211" s="37" t="str">
        <f>INDEX(Product!$B:$B,MATCH($A211,Product!$A:$A,0))</f>
        <v>[ConvaTec] Keo làm đầy chống rò rỉ hậu môn nhân tạo (56.7g)</v>
      </c>
      <c r="C211" s="37" t="str">
        <f>INDEX(Product!$D:$D,MATCH($A211,Product!$A:$A,0))</f>
        <v>Phụ kiện hậu môn nhân tạo</v>
      </c>
      <c r="D211" s="23" t="s">
        <v>2356</v>
      </c>
      <c r="E211" s="37" t="str">
        <f>INDEX('Attribute Definition'!$B:$B,MATCH($D211,'Attribute Definition'!$A:$A,0))</f>
        <v>Khối lượng tịnh</v>
      </c>
      <c r="F211" s="38" t="s">
        <v>2657</v>
      </c>
      <c r="G211" s="39" t="str" cm="1">
        <f t="array" ref="G211">_xlfn.TEXTJOIN("; ",TRUE,_xlfn.UNIQUE(_xlfn._xlws.FILTER('Product Variant Attribute'!$F$2:$F$3000,('Product Variant Attribute'!$B$2:$B$3000=$A211)*('Product Variant Attribute'!$D$2:$D$3000=$D211),"")))</f>
        <v>56.7g</v>
      </c>
      <c r="H211" s="39"/>
      <c r="I211" s="39"/>
      <c r="J211" s="39" t="str" cm="1">
        <f t="array" ref="J211">IF($I211="","",_xlfn.TEXTJOIN("; ",TRUE,_xlfn.UNIQUE(_xlfn._xlws.FILTER($A$2:$A$3000,($C$2:$C$3000=$C211)*($E$2:$E$3000=$E211)*($G$2:$G$3000&lt;&gt;$G211)*($G$2:$G$3000&lt;&gt;""),""))))</f>
        <v/>
      </c>
    </row>
    <row r="212" spans="1:10" x14ac:dyDescent="0.25">
      <c r="A212" s="23" t="s">
        <v>634</v>
      </c>
      <c r="B212" s="37" t="str">
        <f>INDEX(Product!$B:$B,MATCH($A212,Product!$A:$A,0))</f>
        <v>[ConvaTec] Keo làm đầy chống rò rỉ hậu môn nhân tạo (56.7g)</v>
      </c>
      <c r="C212" s="37" t="str">
        <f>INDEX(Product!$D:$D,MATCH($A212,Product!$A:$A,0))</f>
        <v>Phụ kiện hậu môn nhân tạo</v>
      </c>
      <c r="D212" s="23" t="s">
        <v>2471</v>
      </c>
      <c r="E212" s="37" t="str">
        <f>INDEX('Attribute Definition'!$B:$B,MATCH($D212,'Attribute Definition'!$A:$A,0))</f>
        <v>Dạng sản phẩm</v>
      </c>
      <c r="F212" s="38" t="s">
        <v>2657</v>
      </c>
      <c r="G212" s="39" t="str" cm="1">
        <f t="array" ref="G212">_xlfn.TEXTJOIN("; ",TRUE,_xlfn.UNIQUE(_xlfn._xlws.FILTER('Product Variant Attribute'!$F$2:$F$3000,('Product Variant Attribute'!$B$2:$B$3000=$A212)*('Product Variant Attribute'!$D$2:$D$3000=$D212),"")))</f>
        <v>Keo / hồ dán</v>
      </c>
      <c r="H212" s="39"/>
      <c r="I212" s="39"/>
      <c r="J212" s="39" t="str" cm="1">
        <f t="array" ref="J212">IF($I212="","",_xlfn.TEXTJOIN("; ",TRUE,_xlfn.UNIQUE(_xlfn._xlws.FILTER($A$2:$A$3000,($C$2:$C$3000=$C212)*($E$2:$E$3000=$E212)*($G$2:$G$3000&lt;&gt;$G212)*($G$2:$G$3000&lt;&gt;""),""))))</f>
        <v/>
      </c>
    </row>
    <row r="213" spans="1:10" ht="90" x14ac:dyDescent="0.25">
      <c r="A213" s="23" t="s">
        <v>635</v>
      </c>
      <c r="B213" s="37" t="str">
        <f>INDEX(Product!$B:$B,MATCH($A213,Product!$A:$A,0))</f>
        <v>[ConvaTec] Túi hậu môn nhân tạo 1 mảnh loại đục</v>
      </c>
      <c r="C213" s="37" t="str">
        <f>INDEX(Product!$D:$D,MATCH($A213,Product!$A:$A,0))</f>
        <v>Túi hậu môn nhân tạo</v>
      </c>
      <c r="D213" s="23" t="s">
        <v>2397</v>
      </c>
      <c r="E213" s="37" t="str">
        <f>INDEX('Attribute Definition'!$B:$B,MATCH($D213,'Attribute Definition'!$A:$A,0))</f>
        <v>Hệ thống HMNT</v>
      </c>
      <c r="F213" s="38" t="s">
        <v>2657</v>
      </c>
      <c r="G213" s="39" t="str" cm="1">
        <f t="array" ref="G213">_xlfn.TEXTJOIN("; ",TRUE,_xlfn.UNIQUE(_xlfn._xlws.FILTER('Product Variant Attribute'!$F$2:$F$3000,('Product Variant Attribute'!$B$2:$B$3000=$A213)*('Product Variant Attribute'!$D$2:$D$3000=$D213),"")))</f>
        <v>1 mảnh</v>
      </c>
      <c r="H213" s="39"/>
      <c r="I213" s="39" t="s">
        <v>2726</v>
      </c>
      <c r="J213" s="39" t="str" cm="1">
        <f t="array" ref="J213">IF($I213="","",_xlfn.TEXTJOIN("; ",TRUE,_xlfn.UNIQUE(_xlfn._xlws.FILTER($A$2:$A$3000,($C$2:$C$3000=$C213)*($E$2:$E$3000=$E213)*($G$2:$G$3000&lt;&gt;$G213)*($G$2:$G$3000&lt;&gt;""),""))))</f>
        <v>PRODUCT-00095; PRODUCT-00096; PRODUCT-00097; PRODUCT-00098; PRODUCT-00099; PRODUCT-00101; PRODUCT-00102; PRODUCT-00103; PRODUCT-00107; PRODUCT-00108; PRODUCT-00109</v>
      </c>
    </row>
    <row r="214" spans="1:10" ht="30" x14ac:dyDescent="0.25">
      <c r="A214" s="23" t="s">
        <v>635</v>
      </c>
      <c r="B214" s="37" t="str">
        <f>INDEX(Product!$B:$B,MATCH($A214,Product!$A:$A,0))</f>
        <v>[ConvaTec] Túi hậu môn nhân tạo 1 mảnh loại đục</v>
      </c>
      <c r="C214" s="37" t="str">
        <f>INDEX(Product!$D:$D,MATCH($A214,Product!$A:$A,0))</f>
        <v>Túi hậu môn nhân tạo</v>
      </c>
      <c r="D214" s="23" t="s">
        <v>2406</v>
      </c>
      <c r="E214" s="37" t="str">
        <f>INDEX('Attribute Definition'!$B:$B,MATCH($D214,'Attribute Definition'!$A:$A,0))</f>
        <v>Độ trong của túi</v>
      </c>
      <c r="F214" s="38" t="s">
        <v>2657</v>
      </c>
      <c r="G214" s="39" t="str" cm="1">
        <f t="array" ref="G214">_xlfn.TEXTJOIN("; ",TRUE,_xlfn.UNIQUE(_xlfn._xlws.FILTER('Product Variant Attribute'!$F$2:$F$3000,('Product Variant Attribute'!$B$2:$B$3000=$A214)*('Product Variant Attribute'!$D$2:$D$3000=$D214),"")))</f>
        <v>Đục</v>
      </c>
      <c r="H214" s="39"/>
      <c r="I214" s="39" t="s">
        <v>2727</v>
      </c>
      <c r="J214" s="39" t="str" cm="1">
        <f t="array" ref="J214">IF($I214="","",_xlfn.TEXTJOIN("; ",TRUE,_xlfn.UNIQUE(_xlfn._xlws.FILTER($A$2:$A$3000,($C$2:$C$3000=$C214)*($E$2:$E$3000=$E214)*($G$2:$G$3000&lt;&gt;$G214)*($G$2:$G$3000&lt;&gt;""),""))))</f>
        <v>PRODUCT-00075; PRODUCT-00076; PRODUCT-00093</v>
      </c>
    </row>
    <row r="215" spans="1:10" x14ac:dyDescent="0.25">
      <c r="A215" s="23" t="s">
        <v>635</v>
      </c>
      <c r="B215" s="37" t="str">
        <f>INDEX(Product!$B:$B,MATCH($A215,Product!$A:$A,0))</f>
        <v>[ConvaTec] Túi hậu môn nhân tạo 1 mảnh loại đục</v>
      </c>
      <c r="C215" s="37" t="str">
        <f>INDEX(Product!$D:$D,MATCH($A215,Product!$A:$A,0))</f>
        <v>Túi hậu môn nhân tạo</v>
      </c>
      <c r="D215" s="23" t="s">
        <v>2471</v>
      </c>
      <c r="E215" s="37" t="str">
        <f>INDEX('Attribute Definition'!$B:$B,MATCH($D215,'Attribute Definition'!$A:$A,0))</f>
        <v>Dạng sản phẩm</v>
      </c>
      <c r="F215" s="38" t="s">
        <v>2657</v>
      </c>
      <c r="G215" s="39" t="str" cm="1">
        <f t="array" ref="G215">_xlfn.TEXTJOIN("; ",TRUE,_xlfn.UNIQUE(_xlfn._xlws.FILTER('Product Variant Attribute'!$F$2:$F$3000,('Product Variant Attribute'!$B$2:$B$3000=$A215)*('Product Variant Attribute'!$D$2:$D$3000=$D215),"")))</f>
        <v>Túi</v>
      </c>
      <c r="H215" s="39"/>
      <c r="I215" s="39"/>
      <c r="J215" s="39" t="str" cm="1">
        <f t="array" ref="J215">IF($I215="","",_xlfn.TEXTJOIN("; ",TRUE,_xlfn.UNIQUE(_xlfn._xlws.FILTER($A$2:$A$3000,($C$2:$C$3000=$C215)*($E$2:$E$3000=$E215)*($G$2:$G$3000&lt;&gt;$G215)*($G$2:$G$3000&lt;&gt;""),""))))</f>
        <v/>
      </c>
    </row>
    <row r="216" spans="1:10" ht="90" x14ac:dyDescent="0.25">
      <c r="A216" s="23" t="s">
        <v>636</v>
      </c>
      <c r="B216" s="37" t="str">
        <f>INDEX(Product!$B:$B,MATCH($A216,Product!$A:$A,0))</f>
        <v>[ConvaTec] Túi hậu môn nhân tạo 1 mảnh trong suốt</v>
      </c>
      <c r="C216" s="37" t="str">
        <f>INDEX(Product!$D:$D,MATCH($A216,Product!$A:$A,0))</f>
        <v>Túi hậu môn nhân tạo</v>
      </c>
      <c r="D216" s="23" t="s">
        <v>2397</v>
      </c>
      <c r="E216" s="37" t="str">
        <f>INDEX('Attribute Definition'!$B:$B,MATCH($D216,'Attribute Definition'!$A:$A,0))</f>
        <v>Hệ thống HMNT</v>
      </c>
      <c r="F216" s="38" t="s">
        <v>2657</v>
      </c>
      <c r="G216" s="39" t="str" cm="1">
        <f t="array" ref="G216">_xlfn.TEXTJOIN("; ",TRUE,_xlfn.UNIQUE(_xlfn._xlws.FILTER('Product Variant Attribute'!$F$2:$F$3000,('Product Variant Attribute'!$B$2:$B$3000=$A216)*('Product Variant Attribute'!$D$2:$D$3000=$D216),"")))</f>
        <v>1 mảnh</v>
      </c>
      <c r="H216" s="39"/>
      <c r="I216" s="39" t="s">
        <v>2726</v>
      </c>
      <c r="J216" s="39" t="str" cm="1">
        <f t="array" ref="J216">IF($I216="","",_xlfn.TEXTJOIN("; ",TRUE,_xlfn.UNIQUE(_xlfn._xlws.FILTER($A$2:$A$3000,($C$2:$C$3000=$C216)*($E$2:$E$3000=$E216)*($G$2:$G$3000&lt;&gt;$G216)*($G$2:$G$3000&lt;&gt;""),""))))</f>
        <v>PRODUCT-00095; PRODUCT-00096; PRODUCT-00097; PRODUCT-00098; PRODUCT-00099; PRODUCT-00101; PRODUCT-00102; PRODUCT-00103; PRODUCT-00107; PRODUCT-00108; PRODUCT-00109</v>
      </c>
    </row>
    <row r="217" spans="1:10" ht="45" x14ac:dyDescent="0.25">
      <c r="A217" s="23" t="s">
        <v>636</v>
      </c>
      <c r="B217" s="37" t="str">
        <f>INDEX(Product!$B:$B,MATCH($A217,Product!$A:$A,0))</f>
        <v>[ConvaTec] Túi hậu môn nhân tạo 1 mảnh trong suốt</v>
      </c>
      <c r="C217" s="37" t="str">
        <f>INDEX(Product!$D:$D,MATCH($A217,Product!$A:$A,0))</f>
        <v>Túi hậu môn nhân tạo</v>
      </c>
      <c r="D217" s="23" t="s">
        <v>2406</v>
      </c>
      <c r="E217" s="37" t="str">
        <f>INDEX('Attribute Definition'!$B:$B,MATCH($D217,'Attribute Definition'!$A:$A,0))</f>
        <v>Độ trong của túi</v>
      </c>
      <c r="F217" s="38" t="s">
        <v>2657</v>
      </c>
      <c r="G217" s="39" t="str" cm="1">
        <f t="array" ref="G217">_xlfn.TEXTJOIN("; ",TRUE,_xlfn.UNIQUE(_xlfn._xlws.FILTER('Product Variant Attribute'!$F$2:$F$3000,('Product Variant Attribute'!$B$2:$B$3000=$A217)*('Product Variant Attribute'!$D$2:$D$3000=$D217),"")))</f>
        <v>Trong suốt</v>
      </c>
      <c r="H217" s="39"/>
      <c r="I217" s="39" t="s">
        <v>2728</v>
      </c>
      <c r="J217" s="39" t="str" cm="1">
        <f t="array" ref="J217">IF($I217="","",_xlfn.TEXTJOIN("; ",TRUE,_xlfn.UNIQUE(_xlfn._xlws.FILTER($A$2:$A$3000,($C$2:$C$3000=$C217)*($E$2:$E$3000=$E217)*($G$2:$G$3000&lt;&gt;$G217)*($G$2:$G$3000&lt;&gt;""),""))))</f>
        <v>PRODUCT-00074</v>
      </c>
    </row>
    <row r="218" spans="1:10" x14ac:dyDescent="0.25">
      <c r="A218" s="23" t="s">
        <v>636</v>
      </c>
      <c r="B218" s="37" t="str">
        <f>INDEX(Product!$B:$B,MATCH($A218,Product!$A:$A,0))</f>
        <v>[ConvaTec] Túi hậu môn nhân tạo 1 mảnh trong suốt</v>
      </c>
      <c r="C218" s="37" t="str">
        <f>INDEX(Product!$D:$D,MATCH($A218,Product!$A:$A,0))</f>
        <v>Túi hậu môn nhân tạo</v>
      </c>
      <c r="D218" s="23" t="s">
        <v>2471</v>
      </c>
      <c r="E218" s="37" t="str">
        <f>INDEX('Attribute Definition'!$B:$B,MATCH($D218,'Attribute Definition'!$A:$A,0))</f>
        <v>Dạng sản phẩm</v>
      </c>
      <c r="F218" s="38" t="s">
        <v>2657</v>
      </c>
      <c r="G218" s="39" t="str" cm="1">
        <f t="array" ref="G218">_xlfn.TEXTJOIN("; ",TRUE,_xlfn.UNIQUE(_xlfn._xlws.FILTER('Product Variant Attribute'!$F$2:$F$3000,('Product Variant Attribute'!$B$2:$B$3000=$A218)*('Product Variant Attribute'!$D$2:$D$3000=$D218),"")))</f>
        <v>Túi</v>
      </c>
      <c r="H218" s="39"/>
      <c r="I218" s="39"/>
      <c r="J218" s="39" t="str" cm="1">
        <f t="array" ref="J218">IF($I218="","",_xlfn.TEXTJOIN("; ",TRUE,_xlfn.UNIQUE(_xlfn._xlws.FILTER($A$2:$A$3000,($C$2:$C$3000=$C218)*($E$2:$E$3000=$E218)*($G$2:$G$3000&lt;&gt;$G218)*($G$2:$G$3000&lt;&gt;""),""))))</f>
        <v/>
      </c>
    </row>
    <row r="219" spans="1:10" ht="90" x14ac:dyDescent="0.25">
      <c r="A219" s="23" t="s">
        <v>637</v>
      </c>
      <c r="B219" s="37" t="str">
        <f>INDEX(Product!$B:$B,MATCH($A219,Product!$A:$A,0))</f>
        <v>[ConvaTec] Túi hậu môn nhân tạo 1 mảnh trong suốt - ActiveLife 22771</v>
      </c>
      <c r="C219" s="37" t="str">
        <f>INDEX(Product!$D:$D,MATCH($A219,Product!$A:$A,0))</f>
        <v>Túi hậu môn nhân tạo</v>
      </c>
      <c r="D219" s="23" t="s">
        <v>2397</v>
      </c>
      <c r="E219" s="37" t="str">
        <f>INDEX('Attribute Definition'!$B:$B,MATCH($D219,'Attribute Definition'!$A:$A,0))</f>
        <v>Hệ thống HMNT</v>
      </c>
      <c r="F219" s="38" t="s">
        <v>2657</v>
      </c>
      <c r="G219" s="39" t="str" cm="1">
        <f t="array" ref="G219">_xlfn.TEXTJOIN("; ",TRUE,_xlfn.UNIQUE(_xlfn._xlws.FILTER('Product Variant Attribute'!$F$2:$F$3000,('Product Variant Attribute'!$B$2:$B$3000=$A219)*('Product Variant Attribute'!$D$2:$D$3000=$D219),"")))</f>
        <v>1 mảnh</v>
      </c>
      <c r="H219" s="39"/>
      <c r="I219" s="39" t="s">
        <v>2726</v>
      </c>
      <c r="J219" s="39" t="str" cm="1">
        <f t="array" ref="J219">IF($I219="","",_xlfn.TEXTJOIN("; ",TRUE,_xlfn.UNIQUE(_xlfn._xlws.FILTER($A$2:$A$3000,($C$2:$C$3000=$C219)*($E$2:$E$3000=$E219)*($G$2:$G$3000&lt;&gt;$G219)*($G$2:$G$3000&lt;&gt;""),""))))</f>
        <v>PRODUCT-00095; PRODUCT-00096; PRODUCT-00097; PRODUCT-00098; PRODUCT-00099; PRODUCT-00101; PRODUCT-00102; PRODUCT-00103; PRODUCT-00107; PRODUCT-00108; PRODUCT-00109</v>
      </c>
    </row>
    <row r="220" spans="1:10" ht="45" x14ac:dyDescent="0.25">
      <c r="A220" s="23" t="s">
        <v>637</v>
      </c>
      <c r="B220" s="37" t="str">
        <f>INDEX(Product!$B:$B,MATCH($A220,Product!$A:$A,0))</f>
        <v>[ConvaTec] Túi hậu môn nhân tạo 1 mảnh trong suốt - ActiveLife 22771</v>
      </c>
      <c r="C220" s="37" t="str">
        <f>INDEX(Product!$D:$D,MATCH($A220,Product!$A:$A,0))</f>
        <v>Túi hậu môn nhân tạo</v>
      </c>
      <c r="D220" s="23" t="s">
        <v>2406</v>
      </c>
      <c r="E220" s="37" t="str">
        <f>INDEX('Attribute Definition'!$B:$B,MATCH($D220,'Attribute Definition'!$A:$A,0))</f>
        <v>Độ trong của túi</v>
      </c>
      <c r="F220" s="38" t="s">
        <v>2657</v>
      </c>
      <c r="G220" s="39" t="str" cm="1">
        <f t="array" ref="G220">_xlfn.TEXTJOIN("; ",TRUE,_xlfn.UNIQUE(_xlfn._xlws.FILTER('Product Variant Attribute'!$F$2:$F$3000,('Product Variant Attribute'!$B$2:$B$3000=$A220)*('Product Variant Attribute'!$D$2:$D$3000=$D220),"")))</f>
        <v>Trong suốt</v>
      </c>
      <c r="H220" s="39"/>
      <c r="I220" s="39" t="s">
        <v>2728</v>
      </c>
      <c r="J220" s="39" t="str" cm="1">
        <f t="array" ref="J220">IF($I220="","",_xlfn.TEXTJOIN("; ",TRUE,_xlfn.UNIQUE(_xlfn._xlws.FILTER($A$2:$A$3000,($C$2:$C$3000=$C220)*($E$2:$E$3000=$E220)*($G$2:$G$3000&lt;&gt;$G220)*($G$2:$G$3000&lt;&gt;""),""))))</f>
        <v>PRODUCT-00074</v>
      </c>
    </row>
    <row r="221" spans="1:10" x14ac:dyDescent="0.25">
      <c r="A221" s="23" t="s">
        <v>637</v>
      </c>
      <c r="B221" s="37" t="str">
        <f>INDEX(Product!$B:$B,MATCH($A221,Product!$A:$A,0))</f>
        <v>[ConvaTec] Túi hậu môn nhân tạo 1 mảnh trong suốt - ActiveLife 22771</v>
      </c>
      <c r="C221" s="37" t="str">
        <f>INDEX(Product!$D:$D,MATCH($A221,Product!$A:$A,0))</f>
        <v>Túi hậu môn nhân tạo</v>
      </c>
      <c r="D221" s="23" t="s">
        <v>2471</v>
      </c>
      <c r="E221" s="37" t="str">
        <f>INDEX('Attribute Definition'!$B:$B,MATCH($D221,'Attribute Definition'!$A:$A,0))</f>
        <v>Dạng sản phẩm</v>
      </c>
      <c r="F221" s="38" t="s">
        <v>2657</v>
      </c>
      <c r="G221" s="39" t="str" cm="1">
        <f t="array" ref="G221">_xlfn.TEXTJOIN("; ",TRUE,_xlfn.UNIQUE(_xlfn._xlws.FILTER('Product Variant Attribute'!$F$2:$F$3000,('Product Variant Attribute'!$B$2:$B$3000=$A221)*('Product Variant Attribute'!$D$2:$D$3000=$D221),"")))</f>
        <v>Túi</v>
      </c>
      <c r="H221" s="39"/>
      <c r="I221" s="39"/>
      <c r="J221" s="39" t="str" cm="1">
        <f t="array" ref="J221">IF($I221="","",_xlfn.TEXTJOIN("; ",TRUE,_xlfn.UNIQUE(_xlfn._xlws.FILTER($A$2:$A$3000,($C$2:$C$3000=$C221)*($E$2:$E$3000=$E221)*($G$2:$G$3000&lt;&gt;$G221)*($G$2:$G$3000&lt;&gt;""),""))))</f>
        <v/>
      </c>
    </row>
    <row r="222" spans="1:10" ht="90" x14ac:dyDescent="0.25">
      <c r="A222" s="23" t="s">
        <v>638</v>
      </c>
      <c r="B222" s="37" t="str">
        <f>INDEX(Product!$B:$B,MATCH($A222,Product!$A:$A,0))</f>
        <v>[Hollister] Túi hậu môn nhân tạo 1 mảnh - 8631</v>
      </c>
      <c r="C222" s="37" t="str">
        <f>INDEX(Product!$D:$D,MATCH($A222,Product!$A:$A,0))</f>
        <v>Túi hậu môn nhân tạo</v>
      </c>
      <c r="D222" s="23" t="s">
        <v>2397</v>
      </c>
      <c r="E222" s="37" t="str">
        <f>INDEX('Attribute Definition'!$B:$B,MATCH($D222,'Attribute Definition'!$A:$A,0))</f>
        <v>Hệ thống HMNT</v>
      </c>
      <c r="F222" s="38" t="s">
        <v>2657</v>
      </c>
      <c r="G222" s="39" t="str" cm="1">
        <f t="array" ref="G222">_xlfn.TEXTJOIN("; ",TRUE,_xlfn.UNIQUE(_xlfn._xlws.FILTER('Product Variant Attribute'!$F$2:$F$3000,('Product Variant Attribute'!$B$2:$B$3000=$A222)*('Product Variant Attribute'!$D$2:$D$3000=$D222),"")))</f>
        <v>1 mảnh</v>
      </c>
      <c r="H222" s="39"/>
      <c r="I222" s="39" t="s">
        <v>2726</v>
      </c>
      <c r="J222" s="39" t="str" cm="1">
        <f t="array" ref="J222">IF($I222="","",_xlfn.TEXTJOIN("; ",TRUE,_xlfn.UNIQUE(_xlfn._xlws.FILTER($A$2:$A$3000,($C$2:$C$3000=$C222)*($E$2:$E$3000=$E222)*($G$2:$G$3000&lt;&gt;$G222)*($G$2:$G$3000&lt;&gt;""),""))))</f>
        <v>PRODUCT-00095; PRODUCT-00096; PRODUCT-00097; PRODUCT-00098; PRODUCT-00099; PRODUCT-00101; PRODUCT-00102; PRODUCT-00103; PRODUCT-00107; PRODUCT-00108; PRODUCT-00109</v>
      </c>
    </row>
    <row r="223" spans="1:10" x14ac:dyDescent="0.25">
      <c r="A223" s="23" t="s">
        <v>638</v>
      </c>
      <c r="B223" s="37" t="str">
        <f>INDEX(Product!$B:$B,MATCH($A223,Product!$A:$A,0))</f>
        <v>[Hollister] Túi hậu môn nhân tạo 1 mảnh - 8631</v>
      </c>
      <c r="C223" s="37" t="str">
        <f>INDEX(Product!$D:$D,MATCH($A223,Product!$A:$A,0))</f>
        <v>Túi hậu môn nhân tạo</v>
      </c>
      <c r="D223" s="23" t="s">
        <v>2471</v>
      </c>
      <c r="E223" s="37" t="str">
        <f>INDEX('Attribute Definition'!$B:$B,MATCH($D223,'Attribute Definition'!$A:$A,0))</f>
        <v>Dạng sản phẩm</v>
      </c>
      <c r="F223" s="38" t="s">
        <v>2657</v>
      </c>
      <c r="G223" s="39" t="str" cm="1">
        <f t="array" ref="G223">_xlfn.TEXTJOIN("; ",TRUE,_xlfn.UNIQUE(_xlfn._xlws.FILTER('Product Variant Attribute'!$F$2:$F$3000,('Product Variant Attribute'!$B$2:$B$3000=$A223)*('Product Variant Attribute'!$D$2:$D$3000=$D223),"")))</f>
        <v>Túi</v>
      </c>
      <c r="H223" s="39"/>
      <c r="I223" s="39"/>
      <c r="J223" s="39" t="str" cm="1">
        <f t="array" ref="J223">IF($I223="","",_xlfn.TEXTJOIN("; ",TRUE,_xlfn.UNIQUE(_xlfn._xlws.FILTER($A$2:$A$3000,($C$2:$C$3000=$C223)*($E$2:$E$3000=$E223)*($G$2:$G$3000&lt;&gt;$G223)*($G$2:$G$3000&lt;&gt;""),""))))</f>
        <v/>
      </c>
    </row>
    <row r="224" spans="1:10" ht="30" x14ac:dyDescent="0.25">
      <c r="A224" s="23" t="s">
        <v>639</v>
      </c>
      <c r="B224" s="37" t="str">
        <f>INDEX(Product!$B:$B,MATCH($A224,Product!$A:$A,0))</f>
        <v>[Hollister] Túi hậu môn nhân tạo cho trẻ sơ sinh - 3778</v>
      </c>
      <c r="C224" s="37" t="str">
        <f>INDEX(Product!$D:$D,MATCH($A224,Product!$A:$A,0))</f>
        <v>Túi hậu môn nhân tạo</v>
      </c>
      <c r="D224" s="23" t="s">
        <v>2449</v>
      </c>
      <c r="E224" s="37" t="str">
        <f>INDEX('Attribute Definition'!$B:$B,MATCH($D224,'Attribute Definition'!$A:$A,0))</f>
        <v>Đối tượng sử dụng</v>
      </c>
      <c r="F224" s="38" t="s">
        <v>2657</v>
      </c>
      <c r="G224" s="39" t="str" cm="1">
        <f t="array" ref="G224">_xlfn.TEXTJOIN("; ",TRUE,_xlfn.UNIQUE(_xlfn._xlws.FILTER('Product Variant Attribute'!$F$2:$F$3000,('Product Variant Attribute'!$B$2:$B$3000=$A224)*('Product Variant Attribute'!$D$2:$D$3000=$D224),"")))</f>
        <v>Trẻ sơ sinh</v>
      </c>
      <c r="H224" s="39"/>
      <c r="I224" s="39" t="s">
        <v>2729</v>
      </c>
      <c r="J224" s="39" t="str" cm="1">
        <f t="array" ref="J224">IF($I224="","",_xlfn.TEXTJOIN("; ",TRUE,_xlfn.UNIQUE(_xlfn._xlws.FILTER($A$2:$A$3000,($C$2:$C$3000=$C224)*($E$2:$E$3000=$E224)*($G$2:$G$3000&lt;&gt;$G224)*($G$2:$G$3000&lt;&gt;""),""))))</f>
        <v>PRODUCT-00087</v>
      </c>
    </row>
    <row r="225" spans="1:10" x14ac:dyDescent="0.25">
      <c r="A225" s="23" t="s">
        <v>639</v>
      </c>
      <c r="B225" s="37" t="str">
        <f>INDEX(Product!$B:$B,MATCH($A225,Product!$A:$A,0))</f>
        <v>[Hollister] Túi hậu môn nhân tạo cho trẻ sơ sinh - 3778</v>
      </c>
      <c r="C225" s="37" t="str">
        <f>INDEX(Product!$D:$D,MATCH($A225,Product!$A:$A,0))</f>
        <v>Túi hậu môn nhân tạo</v>
      </c>
      <c r="D225" s="23" t="s">
        <v>2471</v>
      </c>
      <c r="E225" s="37" t="str">
        <f>INDEX('Attribute Definition'!$B:$B,MATCH($D225,'Attribute Definition'!$A:$A,0))</f>
        <v>Dạng sản phẩm</v>
      </c>
      <c r="F225" s="38" t="s">
        <v>2657</v>
      </c>
      <c r="G225" s="39" t="str" cm="1">
        <f t="array" ref="G225">_xlfn.TEXTJOIN("; ",TRUE,_xlfn.UNIQUE(_xlfn._xlws.FILTER('Product Variant Attribute'!$F$2:$F$3000,('Product Variant Attribute'!$B$2:$B$3000=$A225)*('Product Variant Attribute'!$D$2:$D$3000=$D225),"")))</f>
        <v>Túi</v>
      </c>
      <c r="H225" s="39"/>
      <c r="I225" s="39"/>
      <c r="J225" s="39" t="str" cm="1">
        <f t="array" ref="J225">IF($I225="","",_xlfn.TEXTJOIN("; ",TRUE,_xlfn.UNIQUE(_xlfn._xlws.FILTER($A$2:$A$3000,($C$2:$C$3000=$C225)*($E$2:$E$3000=$E225)*($G$2:$G$3000&lt;&gt;$G225)*($G$2:$G$3000&lt;&gt;""),""))))</f>
        <v/>
      </c>
    </row>
    <row r="226" spans="1:10" x14ac:dyDescent="0.25">
      <c r="A226" s="23" t="s">
        <v>640</v>
      </c>
      <c r="B226" s="37" t="str">
        <f>INDEX(Product!$B:$B,MATCH($A226,Product!$A:$A,0))</f>
        <v>[Hollister] Bột hút ẩm chống loét hậu môn nhân tạo - Adapt Stoma Powder 7906 (28.3g)</v>
      </c>
      <c r="C226" s="37" t="str">
        <f>INDEX(Product!$D:$D,MATCH($A226,Product!$A:$A,0))</f>
        <v>Phụ kiện hậu môn nhân tạo</v>
      </c>
      <c r="D226" s="23" t="s">
        <v>2356</v>
      </c>
      <c r="E226" s="37" t="str">
        <f>INDEX('Attribute Definition'!$B:$B,MATCH($D226,'Attribute Definition'!$A:$A,0))</f>
        <v>Khối lượng tịnh</v>
      </c>
      <c r="F226" s="38" t="s">
        <v>2657</v>
      </c>
      <c r="G226" s="39" t="str" cm="1">
        <f t="array" ref="G226">_xlfn.TEXTJOIN("; ",TRUE,_xlfn.UNIQUE(_xlfn._xlws.FILTER('Product Variant Attribute'!$F$2:$F$3000,('Product Variant Attribute'!$B$2:$B$3000=$A226)*('Product Variant Attribute'!$D$2:$D$3000=$D226),"")))</f>
        <v>28.3g</v>
      </c>
      <c r="H226" s="39"/>
      <c r="I226" s="39"/>
      <c r="J226" s="39" t="str" cm="1">
        <f t="array" ref="J226">IF($I226="","",_xlfn.TEXTJOIN("; ",TRUE,_xlfn.UNIQUE(_xlfn._xlws.FILTER($A$2:$A$3000,($C$2:$C$3000=$C226)*($E$2:$E$3000=$E226)*($G$2:$G$3000&lt;&gt;$G226)*($G$2:$G$3000&lt;&gt;""),""))))</f>
        <v/>
      </c>
    </row>
    <row r="227" spans="1:10" x14ac:dyDescent="0.25">
      <c r="A227" s="23" t="s">
        <v>640</v>
      </c>
      <c r="B227" s="37" t="str">
        <f>INDEX(Product!$B:$B,MATCH($A227,Product!$A:$A,0))</f>
        <v>[Hollister] Bột hút ẩm chống loét hậu môn nhân tạo - Adapt Stoma Powder 7906 (28.3g)</v>
      </c>
      <c r="C227" s="37" t="str">
        <f>INDEX(Product!$D:$D,MATCH($A227,Product!$A:$A,0))</f>
        <v>Phụ kiện hậu môn nhân tạo</v>
      </c>
      <c r="D227" s="23" t="s">
        <v>2471</v>
      </c>
      <c r="E227" s="37" t="str">
        <f>INDEX('Attribute Definition'!$B:$B,MATCH($D227,'Attribute Definition'!$A:$A,0))</f>
        <v>Dạng sản phẩm</v>
      </c>
      <c r="F227" s="38" t="s">
        <v>2657</v>
      </c>
      <c r="G227" s="39" t="str" cm="1">
        <f t="array" ref="G227">_xlfn.TEXTJOIN("; ",TRUE,_xlfn.UNIQUE(_xlfn._xlws.FILTER('Product Variant Attribute'!$F$2:$F$3000,('Product Variant Attribute'!$B$2:$B$3000=$A227)*('Product Variant Attribute'!$D$2:$D$3000=$D227),"")))</f>
        <v>Bột</v>
      </c>
      <c r="H227" s="39"/>
      <c r="I227" s="39"/>
      <c r="J227" s="39" t="str" cm="1">
        <f t="array" ref="J227">IF($I227="","",_xlfn.TEXTJOIN("; ",TRUE,_xlfn.UNIQUE(_xlfn._xlws.FILTER($A$2:$A$3000,($C$2:$C$3000=$C227)*($E$2:$E$3000=$E227)*($G$2:$G$3000&lt;&gt;$G227)*($G$2:$G$3000&lt;&gt;""),""))))</f>
        <v/>
      </c>
    </row>
    <row r="228" spans="1:10" x14ac:dyDescent="0.25">
      <c r="A228" s="23" t="s">
        <v>641</v>
      </c>
      <c r="B228" s="37" t="str">
        <f>INDEX(Product!$B:$B,MATCH($A228,Product!$A:$A,0))</f>
        <v>[Hollister] Chai xịt tẩy chất keo - 7737</v>
      </c>
      <c r="C228" s="37" t="str">
        <f>INDEX(Product!$D:$D,MATCH($A228,Product!$A:$A,0))</f>
        <v>Phụ kiện hậu môn nhân tạo</v>
      </c>
      <c r="D228" s="23" t="s">
        <v>2471</v>
      </c>
      <c r="E228" s="37" t="str">
        <f>INDEX('Attribute Definition'!$B:$B,MATCH($D228,'Attribute Definition'!$A:$A,0))</f>
        <v>Dạng sản phẩm</v>
      </c>
      <c r="F228" s="38" t="s">
        <v>2657</v>
      </c>
      <c r="G228" s="39" t="str" cm="1">
        <f t="array" ref="G228">_xlfn.TEXTJOIN("; ",TRUE,_xlfn.UNIQUE(_xlfn._xlws.FILTER('Product Variant Attribute'!$F$2:$F$3000,('Product Variant Attribute'!$B$2:$B$3000=$A228)*('Product Variant Attribute'!$D$2:$D$3000=$D228),"")))</f>
        <v>Xịt</v>
      </c>
      <c r="H228" s="39"/>
      <c r="I228" s="39"/>
      <c r="J228" s="39" t="str" cm="1">
        <f t="array" ref="J228">IF($I228="","",_xlfn.TEXTJOIN("; ",TRUE,_xlfn.UNIQUE(_xlfn._xlws.FILTER($A$2:$A$3000,($C$2:$C$3000=$C228)*($E$2:$E$3000=$E228)*($G$2:$G$3000&lt;&gt;$G228)*($G$2:$G$3000&lt;&gt;""),""))))</f>
        <v/>
      </c>
    </row>
    <row r="229" spans="1:10" x14ac:dyDescent="0.25">
      <c r="A229" s="23" t="s">
        <v>642</v>
      </c>
      <c r="B229" s="37" t="str">
        <f>INDEX(Product!$B:$B,MATCH($A229,Product!$A:$A,0))</f>
        <v>[Hollister] Dây nịt đeo túi hậu môn nhân tạo - 7300</v>
      </c>
      <c r="C229" s="37" t="str">
        <f>INDEX(Product!$D:$D,MATCH($A229,Product!$A:$A,0))</f>
        <v>Phụ kiện hậu môn nhân tạo</v>
      </c>
      <c r="D229" s="23" t="s">
        <v>2471</v>
      </c>
      <c r="E229" s="37" t="str">
        <f>INDEX('Attribute Definition'!$B:$B,MATCH($D229,'Attribute Definition'!$A:$A,0))</f>
        <v>Dạng sản phẩm</v>
      </c>
      <c r="F229" s="38" t="s">
        <v>2657</v>
      </c>
      <c r="G229" s="39" t="str" cm="1">
        <f t="array" ref="G229">_xlfn.TEXTJOIN("; ",TRUE,_xlfn.UNIQUE(_xlfn._xlws.FILTER('Product Variant Attribute'!$F$2:$F$3000,('Product Variant Attribute'!$B$2:$B$3000=$A229)*('Product Variant Attribute'!$D$2:$D$3000=$D229),"")))</f>
        <v>Đai / băng thun</v>
      </c>
      <c r="H229" s="39"/>
      <c r="I229" s="39"/>
      <c r="J229" s="39" t="str" cm="1">
        <f t="array" ref="J229">IF($I229="","",_xlfn.TEXTJOIN("; ",TRUE,_xlfn.UNIQUE(_xlfn._xlws.FILTER($A$2:$A$3000,($C$2:$C$3000=$C229)*($E$2:$E$3000=$E229)*($G$2:$G$3000&lt;&gt;$G229)*($G$2:$G$3000&lt;&gt;""),""))))</f>
        <v/>
      </c>
    </row>
    <row r="230" spans="1:10" x14ac:dyDescent="0.25">
      <c r="A230" s="23" t="s">
        <v>643</v>
      </c>
      <c r="B230" s="37" t="str">
        <f>INDEX(Product!$B:$B,MATCH($A230,Product!$A:$A,0))</f>
        <v>[Hollister] Đế lồi túi hậu môn nhân tạo 2 mảnh</v>
      </c>
      <c r="C230" s="37" t="str">
        <f>INDEX(Product!$D:$D,MATCH($A230,Product!$A:$A,0))</f>
        <v>Đế hậu môn nhân tạo</v>
      </c>
      <c r="D230" s="23" t="s">
        <v>2397</v>
      </c>
      <c r="E230" s="37" t="str">
        <f>INDEX('Attribute Definition'!$B:$B,MATCH($D230,'Attribute Definition'!$A:$A,0))</f>
        <v>Hệ thống HMNT</v>
      </c>
      <c r="F230" s="38" t="s">
        <v>2657</v>
      </c>
      <c r="G230" s="39" t="str" cm="1">
        <f t="array" ref="G230">_xlfn.TEXTJOIN("; ",TRUE,_xlfn.UNIQUE(_xlfn._xlws.FILTER('Product Variant Attribute'!$F$2:$F$3000,('Product Variant Attribute'!$B$2:$B$3000=$A230)*('Product Variant Attribute'!$D$2:$D$3000=$D230),"")))</f>
        <v>2 mảnh</v>
      </c>
      <c r="H230" s="39"/>
      <c r="I230" s="39"/>
      <c r="J230" s="39" t="str" cm="1">
        <f t="array" ref="J230">IF($I230="","",_xlfn.TEXTJOIN("; ",TRUE,_xlfn.UNIQUE(_xlfn._xlws.FILTER($A$2:$A$3000,($C$2:$C$3000=$C230)*($E$2:$E$3000=$E230)*($G$2:$G$3000&lt;&gt;$G230)*($G$2:$G$3000&lt;&gt;""),""))))</f>
        <v/>
      </c>
    </row>
    <row r="231" spans="1:10" x14ac:dyDescent="0.25">
      <c r="A231" s="23" t="s">
        <v>643</v>
      </c>
      <c r="B231" s="37" t="str">
        <f>INDEX(Product!$B:$B,MATCH($A231,Product!$A:$A,0))</f>
        <v>[Hollister] Đế lồi túi hậu môn nhân tạo 2 mảnh</v>
      </c>
      <c r="C231" s="37" t="str">
        <f>INDEX(Product!$D:$D,MATCH($A231,Product!$A:$A,0))</f>
        <v>Đế hậu môn nhân tạo</v>
      </c>
      <c r="D231" s="23" t="s">
        <v>2471</v>
      </c>
      <c r="E231" s="37" t="str">
        <f>INDEX('Attribute Definition'!$B:$B,MATCH($D231,'Attribute Definition'!$A:$A,0))</f>
        <v>Dạng sản phẩm</v>
      </c>
      <c r="F231" s="38" t="s">
        <v>2657</v>
      </c>
      <c r="G231" s="39" t="str" cm="1">
        <f t="array" ref="G231">_xlfn.TEXTJOIN("; ",TRUE,_xlfn.UNIQUE(_xlfn._xlws.FILTER('Product Variant Attribute'!$F$2:$F$3000,('Product Variant Attribute'!$B$2:$B$3000=$A231)*('Product Variant Attribute'!$D$2:$D$3000=$D231),"")))</f>
        <v>Đế</v>
      </c>
      <c r="H231" s="39"/>
      <c r="I231" s="39"/>
      <c r="J231" s="39" t="str" cm="1">
        <f t="array" ref="J231">IF($I231="","",_xlfn.TEXTJOIN("; ",TRUE,_xlfn.UNIQUE(_xlfn._xlws.FILTER($A$2:$A$3000,($C$2:$C$3000=$C231)*($E$2:$E$3000=$E231)*($G$2:$G$3000&lt;&gt;$G231)*($G$2:$G$3000&lt;&gt;""),""))))</f>
        <v/>
      </c>
    </row>
    <row r="232" spans="1:10" x14ac:dyDescent="0.25">
      <c r="A232" s="23" t="s">
        <v>644</v>
      </c>
      <c r="B232" s="37" t="str">
        <f>INDEX(Product!$B:$B,MATCH($A232,Product!$A:$A,0))</f>
        <v>[Hollister] Đế rời túi hậu môn nhân tạo 2 mảnh</v>
      </c>
      <c r="C232" s="37" t="str">
        <f>INDEX(Product!$D:$D,MATCH($A232,Product!$A:$A,0))</f>
        <v>Đế hậu môn nhân tạo</v>
      </c>
      <c r="D232" s="23" t="s">
        <v>2397</v>
      </c>
      <c r="E232" s="37" t="str">
        <f>INDEX('Attribute Definition'!$B:$B,MATCH($D232,'Attribute Definition'!$A:$A,0))</f>
        <v>Hệ thống HMNT</v>
      </c>
      <c r="F232" s="38" t="s">
        <v>2657</v>
      </c>
      <c r="G232" s="39" t="str" cm="1">
        <f t="array" ref="G232">_xlfn.TEXTJOIN("; ",TRUE,_xlfn.UNIQUE(_xlfn._xlws.FILTER('Product Variant Attribute'!$F$2:$F$3000,('Product Variant Attribute'!$B$2:$B$3000=$A232)*('Product Variant Attribute'!$D$2:$D$3000=$D232),"")))</f>
        <v>2 mảnh</v>
      </c>
      <c r="H232" s="39"/>
      <c r="I232" s="39"/>
      <c r="J232" s="39" t="str" cm="1">
        <f t="array" ref="J232">IF($I232="","",_xlfn.TEXTJOIN("; ",TRUE,_xlfn.UNIQUE(_xlfn._xlws.FILTER($A$2:$A$3000,($C$2:$C$3000=$C232)*($E$2:$E$3000=$E232)*($G$2:$G$3000&lt;&gt;$G232)*($G$2:$G$3000&lt;&gt;""),""))))</f>
        <v/>
      </c>
    </row>
    <row r="233" spans="1:10" x14ac:dyDescent="0.25">
      <c r="A233" s="23" t="s">
        <v>644</v>
      </c>
      <c r="B233" s="37" t="str">
        <f>INDEX(Product!$B:$B,MATCH($A233,Product!$A:$A,0))</f>
        <v>[Hollister] Đế rời túi hậu môn nhân tạo 2 mảnh</v>
      </c>
      <c r="C233" s="37" t="str">
        <f>INDEX(Product!$D:$D,MATCH($A233,Product!$A:$A,0))</f>
        <v>Đế hậu môn nhân tạo</v>
      </c>
      <c r="D233" s="23" t="s">
        <v>2471</v>
      </c>
      <c r="E233" s="37" t="str">
        <f>INDEX('Attribute Definition'!$B:$B,MATCH($D233,'Attribute Definition'!$A:$A,0))</f>
        <v>Dạng sản phẩm</v>
      </c>
      <c r="F233" s="38" t="s">
        <v>2657</v>
      </c>
      <c r="G233" s="39" t="str" cm="1">
        <f t="array" ref="G233">_xlfn.TEXTJOIN("; ",TRUE,_xlfn.UNIQUE(_xlfn._xlws.FILTER('Product Variant Attribute'!$F$2:$F$3000,('Product Variant Attribute'!$B$2:$B$3000=$A233)*('Product Variant Attribute'!$D$2:$D$3000=$D233),"")))</f>
        <v>Đế</v>
      </c>
      <c r="H233" s="39"/>
      <c r="I233" s="39"/>
      <c r="J233" s="39" t="str" cm="1">
        <f t="array" ref="J233">IF($I233="","",_xlfn.TEXTJOIN("; ",TRUE,_xlfn.UNIQUE(_xlfn._xlws.FILTER($A$2:$A$3000,($C$2:$C$3000=$C233)*($E$2:$E$3000=$E233)*($G$2:$G$3000&lt;&gt;$G233)*($G$2:$G$3000&lt;&gt;""),""))))</f>
        <v/>
      </c>
    </row>
    <row r="234" spans="1:10" x14ac:dyDescent="0.25">
      <c r="A234" s="23" t="s">
        <v>645</v>
      </c>
      <c r="B234" s="37" t="str">
        <f>INDEX(Product!$B:$B,MATCH($A234,Product!$A:$A,0))</f>
        <v>[Hollister] Kem chống xì hậu môn nhân tạo - Adapt Paste 79300 (60g)</v>
      </c>
      <c r="C234" s="37" t="str">
        <f>INDEX(Product!$D:$D,MATCH($A234,Product!$A:$A,0))</f>
        <v>Phụ kiện hậu môn nhân tạo</v>
      </c>
      <c r="D234" s="23" t="s">
        <v>2356</v>
      </c>
      <c r="E234" s="37" t="str">
        <f>INDEX('Attribute Definition'!$B:$B,MATCH($D234,'Attribute Definition'!$A:$A,0))</f>
        <v>Khối lượng tịnh</v>
      </c>
      <c r="F234" s="38" t="s">
        <v>2657</v>
      </c>
      <c r="G234" s="39" t="str" cm="1">
        <f t="array" ref="G234">_xlfn.TEXTJOIN("; ",TRUE,_xlfn.UNIQUE(_xlfn._xlws.FILTER('Product Variant Attribute'!$F$2:$F$3000,('Product Variant Attribute'!$B$2:$B$3000=$A234)*('Product Variant Attribute'!$D$2:$D$3000=$D234),"")))</f>
        <v>60g</v>
      </c>
      <c r="H234" s="39"/>
      <c r="I234" s="39"/>
      <c r="J234" s="39" t="str" cm="1">
        <f t="array" ref="J234">IF($I234="","",_xlfn.TEXTJOIN("; ",TRUE,_xlfn.UNIQUE(_xlfn._xlws.FILTER($A$2:$A$3000,($C$2:$C$3000=$C234)*($E$2:$E$3000=$E234)*($G$2:$G$3000&lt;&gt;$G234)*($G$2:$G$3000&lt;&gt;""),""))))</f>
        <v/>
      </c>
    </row>
    <row r="235" spans="1:10" x14ac:dyDescent="0.25">
      <c r="A235" s="23" t="s">
        <v>645</v>
      </c>
      <c r="B235" s="37" t="str">
        <f>INDEX(Product!$B:$B,MATCH($A235,Product!$A:$A,0))</f>
        <v>[Hollister] Kem chống xì hậu môn nhân tạo - Adapt Paste 79300 (60g)</v>
      </c>
      <c r="C235" s="37" t="str">
        <f>INDEX(Product!$D:$D,MATCH($A235,Product!$A:$A,0))</f>
        <v>Phụ kiện hậu môn nhân tạo</v>
      </c>
      <c r="D235" s="23" t="s">
        <v>2471</v>
      </c>
      <c r="E235" s="37" t="str">
        <f>INDEX('Attribute Definition'!$B:$B,MATCH($D235,'Attribute Definition'!$A:$A,0))</f>
        <v>Dạng sản phẩm</v>
      </c>
      <c r="F235" s="38" t="s">
        <v>2657</v>
      </c>
      <c r="G235" s="39" t="str" cm="1">
        <f t="array" ref="G235">_xlfn.TEXTJOIN("; ",TRUE,_xlfn.UNIQUE(_xlfn._xlws.FILTER('Product Variant Attribute'!$F$2:$F$3000,('Product Variant Attribute'!$B$2:$B$3000=$A235)*('Product Variant Attribute'!$D$2:$D$3000=$D235),"")))</f>
        <v>Gel / kem</v>
      </c>
      <c r="H235" s="39"/>
      <c r="I235" s="39"/>
      <c r="J235" s="39" t="str" cm="1">
        <f t="array" ref="J235">IF($I235="","",_xlfn.TEXTJOIN("; ",TRUE,_xlfn.UNIQUE(_xlfn._xlws.FILTER($A$2:$A$3000,($C$2:$C$3000=$C235)*($E$2:$E$3000=$E235)*($G$2:$G$3000&lt;&gt;$G235)*($G$2:$G$3000&lt;&gt;""),""))))</f>
        <v/>
      </c>
    </row>
    <row r="236" spans="1:10" x14ac:dyDescent="0.25">
      <c r="A236" s="23" t="s">
        <v>646</v>
      </c>
      <c r="B236" s="37" t="str">
        <f>INDEX(Product!$B:$B,MATCH($A236,Product!$A:$A,0))</f>
        <v>[Hollister] Khóa kẹp túi hậu môn nhân tạo - 8770</v>
      </c>
      <c r="C236" s="37" t="str">
        <f>INDEX(Product!$D:$D,MATCH($A236,Product!$A:$A,0))</f>
        <v>Phụ kiện hậu môn nhân tạo</v>
      </c>
      <c r="D236" s="23" t="s">
        <v>2471</v>
      </c>
      <c r="E236" s="37" t="str">
        <f>INDEX('Attribute Definition'!$B:$B,MATCH($D236,'Attribute Definition'!$A:$A,0))</f>
        <v>Dạng sản phẩm</v>
      </c>
      <c r="F236" s="38" t="s">
        <v>2657</v>
      </c>
      <c r="G236" s="39" t="str" cm="1">
        <f t="array" ref="G236">_xlfn.TEXTJOIN("; ",TRUE,_xlfn.UNIQUE(_xlfn._xlws.FILTER('Product Variant Attribute'!$F$2:$F$3000,('Product Variant Attribute'!$B$2:$B$3000=$A236)*('Product Variant Attribute'!$D$2:$D$3000=$D236),"")))</f>
        <v>Dụng cụ / phụ kiện</v>
      </c>
      <c r="H236" s="39"/>
      <c r="I236" s="39"/>
      <c r="J236" s="39" t="str" cm="1">
        <f t="array" ref="J236">IF($I236="","",_xlfn.TEXTJOIN("; ",TRUE,_xlfn.UNIQUE(_xlfn._xlws.FILTER($A$2:$A$3000,($C$2:$C$3000=$C236)*($E$2:$E$3000=$E236)*($G$2:$G$3000&lt;&gt;$G236)*($G$2:$G$3000&lt;&gt;""),""))))</f>
        <v/>
      </c>
    </row>
    <row r="237" spans="1:10" ht="90" x14ac:dyDescent="0.25">
      <c r="A237" s="23" t="s">
        <v>647</v>
      </c>
      <c r="B237" s="37" t="str">
        <f>INDEX(Product!$B:$B,MATCH($A237,Product!$A:$A,0))</f>
        <v>[Mepro] Túi hậu môn nhân tạo 1 mảnh - Kẹp rời</v>
      </c>
      <c r="C237" s="37" t="str">
        <f>INDEX(Product!$D:$D,MATCH($A237,Product!$A:$A,0))</f>
        <v>Túi hậu môn nhân tạo</v>
      </c>
      <c r="D237" s="23" t="s">
        <v>2397</v>
      </c>
      <c r="E237" s="37" t="str">
        <f>INDEX('Attribute Definition'!$B:$B,MATCH($D237,'Attribute Definition'!$A:$A,0))</f>
        <v>Hệ thống HMNT</v>
      </c>
      <c r="F237" s="38" t="s">
        <v>2657</v>
      </c>
      <c r="G237" s="39" t="str" cm="1">
        <f t="array" ref="G237">_xlfn.TEXTJOIN("; ",TRUE,_xlfn.UNIQUE(_xlfn._xlws.FILTER('Product Variant Attribute'!$F$2:$F$3000,('Product Variant Attribute'!$B$2:$B$3000=$A237)*('Product Variant Attribute'!$D$2:$D$3000=$D237),"")))</f>
        <v>1 mảnh</v>
      </c>
      <c r="H237" s="39"/>
      <c r="I237" s="39" t="s">
        <v>2726</v>
      </c>
      <c r="J237" s="39" t="str" cm="1">
        <f t="array" ref="J237">IF($I237="","",_xlfn.TEXTJOIN("; ",TRUE,_xlfn.UNIQUE(_xlfn._xlws.FILTER($A$2:$A$3000,($C$2:$C$3000=$C237)*($E$2:$E$3000=$E237)*($G$2:$G$3000&lt;&gt;$G237)*($G$2:$G$3000&lt;&gt;""),""))))</f>
        <v>PRODUCT-00095; PRODUCT-00096; PRODUCT-00097; PRODUCT-00098; PRODUCT-00099; PRODUCT-00101; PRODUCT-00102; PRODUCT-00103; PRODUCT-00107; PRODUCT-00108; PRODUCT-00109</v>
      </c>
    </row>
    <row r="238" spans="1:10" ht="60" x14ac:dyDescent="0.25">
      <c r="A238" s="23" t="s">
        <v>647</v>
      </c>
      <c r="B238" s="37" t="str">
        <f>INDEX(Product!$B:$B,MATCH($A238,Product!$A:$A,0))</f>
        <v>[Mepro] Túi hậu môn nhân tạo 1 mảnh - Kẹp rời</v>
      </c>
      <c r="C238" s="37" t="str">
        <f>INDEX(Product!$D:$D,MATCH($A238,Product!$A:$A,0))</f>
        <v>Túi hậu môn nhân tạo</v>
      </c>
      <c r="D238" s="23" t="s">
        <v>2401</v>
      </c>
      <c r="E238" s="37" t="str">
        <f>INDEX('Attribute Definition'!$B:$B,MATCH($D238,'Attribute Definition'!$A:$A,0))</f>
        <v>Kiểu khóa / xả</v>
      </c>
      <c r="F238" s="38" t="s">
        <v>2657</v>
      </c>
      <c r="G238" s="39" t="str" cm="1">
        <f t="array" ref="G238">_xlfn.TEXTJOIN("; ",TRUE,_xlfn.UNIQUE(_xlfn._xlws.FILTER('Product Variant Attribute'!$F$2:$F$3000,('Product Variant Attribute'!$B$2:$B$3000=$A238)*('Product Variant Attribute'!$D$2:$D$3000=$D238),"")))</f>
        <v>Kẹp rời</v>
      </c>
      <c r="H238" s="39"/>
      <c r="I238" s="39" t="s">
        <v>2730</v>
      </c>
      <c r="J238" s="39" t="str" cm="1">
        <f t="array" ref="J238">IF($I238="","",_xlfn.TEXTJOIN("; ",TRUE,_xlfn.UNIQUE(_xlfn._xlws.FILTER($A$2:$A$3000,($C$2:$C$3000=$C238)*($E$2:$E$3000=$E238)*($G$2:$G$3000&lt;&gt;$G238)*($G$2:$G$3000&lt;&gt;""),""))))</f>
        <v>PRODUCT-00088; PRODUCT-00089; PRODUCT-00096; PRODUCT-00101; PRODUCT-00103; PRODUCT-00107; PRODUCT-00108</v>
      </c>
    </row>
    <row r="239" spans="1:10" x14ac:dyDescent="0.25">
      <c r="A239" s="23" t="s">
        <v>647</v>
      </c>
      <c r="B239" s="37" t="str">
        <f>INDEX(Product!$B:$B,MATCH($A239,Product!$A:$A,0))</f>
        <v>[Mepro] Túi hậu môn nhân tạo 1 mảnh - Kẹp rời</v>
      </c>
      <c r="C239" s="37" t="str">
        <f>INDEX(Product!$D:$D,MATCH($A239,Product!$A:$A,0))</f>
        <v>Túi hậu môn nhân tạo</v>
      </c>
      <c r="D239" s="23" t="s">
        <v>2471</v>
      </c>
      <c r="E239" s="37" t="str">
        <f>INDEX('Attribute Definition'!$B:$B,MATCH($D239,'Attribute Definition'!$A:$A,0))</f>
        <v>Dạng sản phẩm</v>
      </c>
      <c r="F239" s="38" t="s">
        <v>2657</v>
      </c>
      <c r="G239" s="39" t="str" cm="1">
        <f t="array" ref="G239">_xlfn.TEXTJOIN("; ",TRUE,_xlfn.UNIQUE(_xlfn._xlws.FILTER('Product Variant Attribute'!$F$2:$F$3000,('Product Variant Attribute'!$B$2:$B$3000=$A239)*('Product Variant Attribute'!$D$2:$D$3000=$D239),"")))</f>
        <v>Túi</v>
      </c>
      <c r="H239" s="39"/>
      <c r="I239" s="39"/>
      <c r="J239" s="39" t="str" cm="1">
        <f t="array" ref="J239">IF($I239="","",_xlfn.TEXTJOIN("; ",TRUE,_xlfn.UNIQUE(_xlfn._xlws.FILTER($A$2:$A$3000,($C$2:$C$3000=$C239)*($E$2:$E$3000=$E239)*($G$2:$G$3000&lt;&gt;$G239)*($G$2:$G$3000&lt;&gt;""),""))))</f>
        <v/>
      </c>
    </row>
    <row r="240" spans="1:10" ht="90" x14ac:dyDescent="0.25">
      <c r="A240" s="23" t="s">
        <v>648</v>
      </c>
      <c r="B240" s="37" t="str">
        <f>INDEX(Product!$B:$B,MATCH($A240,Product!$A:$A,0))</f>
        <v>[MiKiDo] Túi hậu môn nhân tạo 1 mảnh cho trẻ em</v>
      </c>
      <c r="C240" s="37" t="str">
        <f>INDEX(Product!$D:$D,MATCH($A240,Product!$A:$A,0))</f>
        <v>Túi hậu môn nhân tạo</v>
      </c>
      <c r="D240" s="23" t="s">
        <v>2397</v>
      </c>
      <c r="E240" s="37" t="str">
        <f>INDEX('Attribute Definition'!$B:$B,MATCH($D240,'Attribute Definition'!$A:$A,0))</f>
        <v>Hệ thống HMNT</v>
      </c>
      <c r="F240" s="38" t="s">
        <v>2657</v>
      </c>
      <c r="G240" s="39" t="str" cm="1">
        <f t="array" ref="G240">_xlfn.TEXTJOIN("; ",TRUE,_xlfn.UNIQUE(_xlfn._xlws.FILTER('Product Variant Attribute'!$F$2:$F$3000,('Product Variant Attribute'!$B$2:$B$3000=$A240)*('Product Variant Attribute'!$D$2:$D$3000=$D240),"")))</f>
        <v>1 mảnh</v>
      </c>
      <c r="H240" s="39"/>
      <c r="I240" s="39" t="s">
        <v>2726</v>
      </c>
      <c r="J240" s="39" t="str" cm="1">
        <f t="array" ref="J240">IF($I240="","",_xlfn.TEXTJOIN("; ",TRUE,_xlfn.UNIQUE(_xlfn._xlws.FILTER($A$2:$A$3000,($C$2:$C$3000=$C240)*($E$2:$E$3000=$E240)*($G$2:$G$3000&lt;&gt;$G240)*($G$2:$G$3000&lt;&gt;""),""))))</f>
        <v>PRODUCT-00095; PRODUCT-00096; PRODUCT-00097; PRODUCT-00098; PRODUCT-00099; PRODUCT-00101; PRODUCT-00102; PRODUCT-00103; PRODUCT-00107; PRODUCT-00108; PRODUCT-00109</v>
      </c>
    </row>
    <row r="241" spans="1:10" ht="30" x14ac:dyDescent="0.25">
      <c r="A241" s="23" t="s">
        <v>648</v>
      </c>
      <c r="B241" s="37" t="str">
        <f>INDEX(Product!$B:$B,MATCH($A241,Product!$A:$A,0))</f>
        <v>[MiKiDo] Túi hậu môn nhân tạo 1 mảnh cho trẻ em</v>
      </c>
      <c r="C241" s="37" t="str">
        <f>INDEX(Product!$D:$D,MATCH($A241,Product!$A:$A,0))</f>
        <v>Túi hậu môn nhân tạo</v>
      </c>
      <c r="D241" s="23" t="s">
        <v>2449</v>
      </c>
      <c r="E241" s="37" t="str">
        <f>INDEX('Attribute Definition'!$B:$B,MATCH($D241,'Attribute Definition'!$A:$A,0))</f>
        <v>Đối tượng sử dụng</v>
      </c>
      <c r="F241" s="38" t="s">
        <v>2657</v>
      </c>
      <c r="G241" s="39" t="str" cm="1">
        <f t="array" ref="G241">_xlfn.TEXTJOIN("; ",TRUE,_xlfn.UNIQUE(_xlfn._xlws.FILTER('Product Variant Attribute'!$F$2:$F$3000,('Product Variant Attribute'!$B$2:$B$3000=$A241)*('Product Variant Attribute'!$D$2:$D$3000=$D241),"")))</f>
        <v>Trẻ em</v>
      </c>
      <c r="H241" s="39"/>
      <c r="I241" s="39" t="s">
        <v>2731</v>
      </c>
      <c r="J241" s="39" t="str" cm="1">
        <f t="array" ref="J241">IF($I241="","",_xlfn.TEXTJOIN("; ",TRUE,_xlfn.UNIQUE(_xlfn._xlws.FILTER($A$2:$A$3000,($C$2:$C$3000=$C241)*($E$2:$E$3000=$E241)*($G$2:$G$3000&lt;&gt;$G241)*($G$2:$G$3000&lt;&gt;""),""))))</f>
        <v>PRODUCT-00078</v>
      </c>
    </row>
    <row r="242" spans="1:10" x14ac:dyDescent="0.25">
      <c r="A242" s="23" t="s">
        <v>648</v>
      </c>
      <c r="B242" s="37" t="str">
        <f>INDEX(Product!$B:$B,MATCH($A242,Product!$A:$A,0))</f>
        <v>[MiKiDo] Túi hậu môn nhân tạo 1 mảnh cho trẻ em</v>
      </c>
      <c r="C242" s="37" t="str">
        <f>INDEX(Product!$D:$D,MATCH($A242,Product!$A:$A,0))</f>
        <v>Túi hậu môn nhân tạo</v>
      </c>
      <c r="D242" s="23" t="s">
        <v>2471</v>
      </c>
      <c r="E242" s="37" t="str">
        <f>INDEX('Attribute Definition'!$B:$B,MATCH($D242,'Attribute Definition'!$A:$A,0))</f>
        <v>Dạng sản phẩm</v>
      </c>
      <c r="F242" s="38" t="s">
        <v>2657</v>
      </c>
      <c r="G242" s="39" t="str" cm="1">
        <f t="array" ref="G242">_xlfn.TEXTJOIN("; ",TRUE,_xlfn.UNIQUE(_xlfn._xlws.FILTER('Product Variant Attribute'!$F$2:$F$3000,('Product Variant Attribute'!$B$2:$B$3000=$A242)*('Product Variant Attribute'!$D$2:$D$3000=$D242),"")))</f>
        <v>Túi</v>
      </c>
      <c r="H242" s="39"/>
      <c r="I242" s="39"/>
      <c r="J242" s="39" t="str" cm="1">
        <f t="array" ref="J242">IF($I242="","",_xlfn.TEXTJOIN("; ",TRUE,_xlfn.UNIQUE(_xlfn._xlws.FILTER($A$2:$A$3000,($C$2:$C$3000=$C242)*($E$2:$E$3000=$E242)*($G$2:$G$3000&lt;&gt;$G242)*($G$2:$G$3000&lt;&gt;""),""))))</f>
        <v/>
      </c>
    </row>
    <row r="243" spans="1:10" ht="90" x14ac:dyDescent="0.25">
      <c r="A243" s="23" t="s">
        <v>649</v>
      </c>
      <c r="B243" s="37" t="str">
        <f>INDEX(Product!$B:$B,MATCH($A243,Product!$A:$A,0))</f>
        <v>[Ostomy Care] Túi hậu môn nhân tạo 1 mảnh - Khóa dán liền</v>
      </c>
      <c r="C243" s="37" t="str">
        <f>INDEX(Product!$D:$D,MATCH($A243,Product!$A:$A,0))</f>
        <v>Túi hậu môn nhân tạo</v>
      </c>
      <c r="D243" s="23" t="s">
        <v>2397</v>
      </c>
      <c r="E243" s="37" t="str">
        <f>INDEX('Attribute Definition'!$B:$B,MATCH($D243,'Attribute Definition'!$A:$A,0))</f>
        <v>Hệ thống HMNT</v>
      </c>
      <c r="F243" s="38" t="s">
        <v>2657</v>
      </c>
      <c r="G243" s="39" t="str" cm="1">
        <f t="array" ref="G243">_xlfn.TEXTJOIN("; ",TRUE,_xlfn.UNIQUE(_xlfn._xlws.FILTER('Product Variant Attribute'!$F$2:$F$3000,('Product Variant Attribute'!$B$2:$B$3000=$A243)*('Product Variant Attribute'!$D$2:$D$3000=$D243),"")))</f>
        <v>1 mảnh</v>
      </c>
      <c r="H243" s="39"/>
      <c r="I243" s="39" t="s">
        <v>2726</v>
      </c>
      <c r="J243" s="39" t="str" cm="1">
        <f t="array" ref="J243">IF($I243="","",_xlfn.TEXTJOIN("; ",TRUE,_xlfn.UNIQUE(_xlfn._xlws.FILTER($A$2:$A$3000,($C$2:$C$3000=$C243)*($E$2:$E$3000=$E243)*($G$2:$G$3000&lt;&gt;$G243)*($G$2:$G$3000&lt;&gt;""),""))))</f>
        <v>PRODUCT-00095; PRODUCT-00096; PRODUCT-00097; PRODUCT-00098; PRODUCT-00099; PRODUCT-00101; PRODUCT-00102; PRODUCT-00103; PRODUCT-00107; PRODUCT-00108; PRODUCT-00109</v>
      </c>
    </row>
    <row r="244" spans="1:10" ht="75" x14ac:dyDescent="0.25">
      <c r="A244" s="23" t="s">
        <v>649</v>
      </c>
      <c r="B244" s="37" t="str">
        <f>INDEX(Product!$B:$B,MATCH($A244,Product!$A:$A,0))</f>
        <v>[Ostomy Care] Túi hậu môn nhân tạo 1 mảnh - Khóa dán liền</v>
      </c>
      <c r="C244" s="37" t="str">
        <f>INDEX(Product!$D:$D,MATCH($A244,Product!$A:$A,0))</f>
        <v>Túi hậu môn nhân tạo</v>
      </c>
      <c r="D244" s="23" t="s">
        <v>2401</v>
      </c>
      <c r="E244" s="37" t="str">
        <f>INDEX('Attribute Definition'!$B:$B,MATCH($D244,'Attribute Definition'!$A:$A,0))</f>
        <v>Kiểu khóa / xả</v>
      </c>
      <c r="F244" s="38" t="s">
        <v>2657</v>
      </c>
      <c r="G244" s="39" t="str" cm="1">
        <f t="array" ref="G244">_xlfn.TEXTJOIN("; ",TRUE,_xlfn.UNIQUE(_xlfn._xlws.FILTER('Product Variant Attribute'!$F$2:$F$3000,('Product Variant Attribute'!$B$2:$B$3000=$A244)*('Product Variant Attribute'!$D$2:$D$3000=$D244),"")))</f>
        <v>Khóa dán liền</v>
      </c>
      <c r="H244" s="39"/>
      <c r="I244" s="39" t="s">
        <v>2732</v>
      </c>
      <c r="J244" s="39" t="str" cm="1">
        <f t="array" ref="J244">IF($I244="","",_xlfn.TEXTJOIN("; ",TRUE,_xlfn.UNIQUE(_xlfn._xlws.FILTER($A$2:$A$3000,($C$2:$C$3000=$C244)*($E$2:$E$3000=$E244)*($G$2:$G$3000&lt;&gt;$G244)*($G$2:$G$3000&lt;&gt;""),""))))</f>
        <v>PRODUCT-00086; PRODUCT-00089; PRODUCT-00095; PRODUCT-00096; PRODUCT-00099; PRODUCT-00101; PRODUCT-00102; PRODUCT-00103; PRODUCT-00107</v>
      </c>
    </row>
    <row r="245" spans="1:10" x14ac:dyDescent="0.25">
      <c r="A245" s="23" t="s">
        <v>649</v>
      </c>
      <c r="B245" s="37" t="str">
        <f>INDEX(Product!$B:$B,MATCH($A245,Product!$A:$A,0))</f>
        <v>[Ostomy Care] Túi hậu môn nhân tạo 1 mảnh - Khóa dán liền</v>
      </c>
      <c r="C245" s="37" t="str">
        <f>INDEX(Product!$D:$D,MATCH($A245,Product!$A:$A,0))</f>
        <v>Túi hậu môn nhân tạo</v>
      </c>
      <c r="D245" s="23" t="s">
        <v>2471</v>
      </c>
      <c r="E245" s="37" t="str">
        <f>INDEX('Attribute Definition'!$B:$B,MATCH($D245,'Attribute Definition'!$A:$A,0))</f>
        <v>Dạng sản phẩm</v>
      </c>
      <c r="F245" s="38" t="s">
        <v>2657</v>
      </c>
      <c r="G245" s="39" t="str" cm="1">
        <f t="array" ref="G245">_xlfn.TEXTJOIN("; ",TRUE,_xlfn.UNIQUE(_xlfn._xlws.FILTER('Product Variant Attribute'!$F$2:$F$3000,('Product Variant Attribute'!$B$2:$B$3000=$A245)*('Product Variant Attribute'!$D$2:$D$3000=$D245),"")))</f>
        <v>Túi</v>
      </c>
      <c r="H245" s="39"/>
      <c r="I245" s="39"/>
      <c r="J245" s="39" t="str" cm="1">
        <f t="array" ref="J245">IF($I245="","",_xlfn.TEXTJOIN("; ",TRUE,_xlfn.UNIQUE(_xlfn._xlws.FILTER($A$2:$A$3000,($C$2:$C$3000=$C245)*($E$2:$E$3000=$E245)*($G$2:$G$3000&lt;&gt;$G245)*($G$2:$G$3000&lt;&gt;""),""))))</f>
        <v/>
      </c>
    </row>
    <row r="246" spans="1:10" ht="90" x14ac:dyDescent="0.25">
      <c r="A246" s="23" t="s">
        <v>650</v>
      </c>
      <c r="B246" s="37" t="str">
        <f>INDEX(Product!$B:$B,MATCH($A246,Product!$A:$A,0))</f>
        <v>[Ostomy Care] Túi hậu môn nhân tạo 1 mảnh - Khóa kẹp</v>
      </c>
      <c r="C246" s="37" t="str">
        <f>INDEX(Product!$D:$D,MATCH($A246,Product!$A:$A,0))</f>
        <v>Túi hậu môn nhân tạo</v>
      </c>
      <c r="D246" s="23" t="s">
        <v>2397</v>
      </c>
      <c r="E246" s="37" t="str">
        <f>INDEX('Attribute Definition'!$B:$B,MATCH($D246,'Attribute Definition'!$A:$A,0))</f>
        <v>Hệ thống HMNT</v>
      </c>
      <c r="F246" s="38" t="s">
        <v>2657</v>
      </c>
      <c r="G246" s="39" t="str" cm="1">
        <f t="array" ref="G246">_xlfn.TEXTJOIN("; ",TRUE,_xlfn.UNIQUE(_xlfn._xlws.FILTER('Product Variant Attribute'!$F$2:$F$3000,('Product Variant Attribute'!$B$2:$B$3000=$A246)*('Product Variant Attribute'!$D$2:$D$3000=$D246),"")))</f>
        <v>1 mảnh</v>
      </c>
      <c r="H246" s="39"/>
      <c r="I246" s="39" t="s">
        <v>2726</v>
      </c>
      <c r="J246" s="39" t="str" cm="1">
        <f t="array" ref="J246">IF($I246="","",_xlfn.TEXTJOIN("; ",TRUE,_xlfn.UNIQUE(_xlfn._xlws.FILTER($A$2:$A$3000,($C$2:$C$3000=$C246)*($E$2:$E$3000=$E246)*($G$2:$G$3000&lt;&gt;$G246)*($G$2:$G$3000&lt;&gt;""),""))))</f>
        <v>PRODUCT-00095; PRODUCT-00096; PRODUCT-00097; PRODUCT-00098; PRODUCT-00099; PRODUCT-00101; PRODUCT-00102; PRODUCT-00103; PRODUCT-00107; PRODUCT-00108; PRODUCT-00109</v>
      </c>
    </row>
    <row r="247" spans="1:10" ht="75" x14ac:dyDescent="0.25">
      <c r="A247" s="23" t="s">
        <v>650</v>
      </c>
      <c r="B247" s="37" t="str">
        <f>INDEX(Product!$B:$B,MATCH($A247,Product!$A:$A,0))</f>
        <v>[Ostomy Care] Túi hậu môn nhân tạo 1 mảnh - Khóa kẹp</v>
      </c>
      <c r="C247" s="37" t="str">
        <f>INDEX(Product!$D:$D,MATCH($A247,Product!$A:$A,0))</f>
        <v>Túi hậu môn nhân tạo</v>
      </c>
      <c r="D247" s="23" t="s">
        <v>2401</v>
      </c>
      <c r="E247" s="37" t="str">
        <f>INDEX('Attribute Definition'!$B:$B,MATCH($D247,'Attribute Definition'!$A:$A,0))</f>
        <v>Kiểu khóa / xả</v>
      </c>
      <c r="F247" s="38" t="s">
        <v>2657</v>
      </c>
      <c r="G247" s="39" t="str" cm="1">
        <f t="array" ref="G247">_xlfn.TEXTJOIN("; ",TRUE,_xlfn.UNIQUE(_xlfn._xlws.FILTER('Product Variant Attribute'!$F$2:$F$3000,('Product Variant Attribute'!$B$2:$B$3000=$A247)*('Product Variant Attribute'!$D$2:$D$3000=$D247),"")))</f>
        <v>Khóa kẹp</v>
      </c>
      <c r="H247" s="39"/>
      <c r="I247" s="39" t="s">
        <v>2733</v>
      </c>
      <c r="J247" s="39" t="str" cm="1">
        <f t="array" ref="J247">IF($I247="","",_xlfn.TEXTJOIN("; ",TRUE,_xlfn.UNIQUE(_xlfn._xlws.FILTER($A$2:$A$3000,($C$2:$C$3000=$C247)*($E$2:$E$3000=$E247)*($G$2:$G$3000&lt;&gt;$G247)*($G$2:$G$3000&lt;&gt;""),""))))</f>
        <v>PRODUCT-00086; PRODUCT-00088; PRODUCT-00095; PRODUCT-00096; PRODUCT-00099; PRODUCT-00101; PRODUCT-00102; PRODUCT-00103; PRODUCT-00107; PRODUCT-00108</v>
      </c>
    </row>
    <row r="248" spans="1:10" x14ac:dyDescent="0.25">
      <c r="A248" s="23" t="s">
        <v>650</v>
      </c>
      <c r="B248" s="37" t="str">
        <f>INDEX(Product!$B:$B,MATCH($A248,Product!$A:$A,0))</f>
        <v>[Ostomy Care] Túi hậu môn nhân tạo 1 mảnh - Khóa kẹp</v>
      </c>
      <c r="C248" s="37" t="str">
        <f>INDEX(Product!$D:$D,MATCH($A248,Product!$A:$A,0))</f>
        <v>Túi hậu môn nhân tạo</v>
      </c>
      <c r="D248" s="23" t="s">
        <v>2471</v>
      </c>
      <c r="E248" s="37" t="str">
        <f>INDEX('Attribute Definition'!$B:$B,MATCH($D248,'Attribute Definition'!$A:$A,0))</f>
        <v>Dạng sản phẩm</v>
      </c>
      <c r="F248" s="38" t="s">
        <v>2657</v>
      </c>
      <c r="G248" s="39" t="str" cm="1">
        <f t="array" ref="G248">_xlfn.TEXTJOIN("; ",TRUE,_xlfn.UNIQUE(_xlfn._xlws.FILTER('Product Variant Attribute'!$F$2:$F$3000,('Product Variant Attribute'!$B$2:$B$3000=$A248)*('Product Variant Attribute'!$D$2:$D$3000=$D248),"")))</f>
        <v>Túi</v>
      </c>
      <c r="H248" s="39"/>
      <c r="I248" s="39"/>
      <c r="J248" s="39" t="str" cm="1">
        <f t="array" ref="J248">IF($I248="","",_xlfn.TEXTJOIN("; ",TRUE,_xlfn.UNIQUE(_xlfn._xlws.FILTER($A$2:$A$3000,($C$2:$C$3000=$C248)*($E$2:$E$3000=$E248)*($G$2:$G$3000&lt;&gt;$G248)*($G$2:$G$3000&lt;&gt;""),""))))</f>
        <v/>
      </c>
    </row>
    <row r="249" spans="1:10" x14ac:dyDescent="0.25">
      <c r="A249" s="23" t="s">
        <v>651</v>
      </c>
      <c r="B249" s="37" t="str">
        <f>INDEX(Product!$B:$B,MATCH($A249,Product!$A:$A,0))</f>
        <v>[Hollister] Túi nước tiểu nhân tạo 1 mảnh - 8460</v>
      </c>
      <c r="C249" s="37" t="str">
        <f>INDEX(Product!$D:$D,MATCH($A249,Product!$A:$A,0))</f>
        <v>Túi nước tiểu nhân tạo</v>
      </c>
      <c r="D249" s="23" t="s">
        <v>2397</v>
      </c>
      <c r="E249" s="37" t="str">
        <f>INDEX('Attribute Definition'!$B:$B,MATCH($D249,'Attribute Definition'!$A:$A,0))</f>
        <v>Hệ thống HMNT</v>
      </c>
      <c r="F249" s="38" t="s">
        <v>2657</v>
      </c>
      <c r="G249" s="39" t="str" cm="1">
        <f t="array" ref="G249">_xlfn.TEXTJOIN("; ",TRUE,_xlfn.UNIQUE(_xlfn._xlws.FILTER('Product Variant Attribute'!$F$2:$F$3000,('Product Variant Attribute'!$B$2:$B$3000=$A249)*('Product Variant Attribute'!$D$2:$D$3000=$D249),"")))</f>
        <v>1 mảnh</v>
      </c>
      <c r="H249" s="39"/>
      <c r="I249" s="39"/>
      <c r="J249" s="39" t="str" cm="1">
        <f t="array" ref="J249">IF($I249="","",_xlfn.TEXTJOIN("; ",TRUE,_xlfn.UNIQUE(_xlfn._xlws.FILTER($A$2:$A$3000,($C$2:$C$3000=$C249)*($E$2:$E$3000=$E249)*($G$2:$G$3000&lt;&gt;$G249)*($G$2:$G$3000&lt;&gt;""),""))))</f>
        <v/>
      </c>
    </row>
    <row r="250" spans="1:10" x14ac:dyDescent="0.25">
      <c r="A250" s="23" t="s">
        <v>651</v>
      </c>
      <c r="B250" s="37" t="str">
        <f>INDEX(Product!$B:$B,MATCH($A250,Product!$A:$A,0))</f>
        <v>[Hollister] Túi nước tiểu nhân tạo 1 mảnh - 8460</v>
      </c>
      <c r="C250" s="37" t="str">
        <f>INDEX(Product!$D:$D,MATCH($A250,Product!$A:$A,0))</f>
        <v>Túi nước tiểu nhân tạo</v>
      </c>
      <c r="D250" s="23" t="s">
        <v>2471</v>
      </c>
      <c r="E250" s="37" t="str">
        <f>INDEX('Attribute Definition'!$B:$B,MATCH($D250,'Attribute Definition'!$A:$A,0))</f>
        <v>Dạng sản phẩm</v>
      </c>
      <c r="F250" s="38" t="s">
        <v>2657</v>
      </c>
      <c r="G250" s="39" t="str" cm="1">
        <f t="array" ref="G250">_xlfn.TEXTJOIN("; ",TRUE,_xlfn.UNIQUE(_xlfn._xlws.FILTER('Product Variant Attribute'!$F$2:$F$3000,('Product Variant Attribute'!$B$2:$B$3000=$A250)*('Product Variant Attribute'!$D$2:$D$3000=$D250),"")))</f>
        <v>Túi</v>
      </c>
      <c r="H250" s="39"/>
      <c r="I250" s="39"/>
      <c r="J250" s="39" t="str" cm="1">
        <f t="array" ref="J250">IF($I250="","",_xlfn.TEXTJOIN("; ",TRUE,_xlfn.UNIQUE(_xlfn._xlws.FILTER($A$2:$A$3000,($C$2:$C$3000=$C250)*($E$2:$E$3000=$E250)*($G$2:$G$3000&lt;&gt;$G250)*($G$2:$G$3000&lt;&gt;""),""))))</f>
        <v/>
      </c>
    </row>
    <row r="251" spans="1:10" x14ac:dyDescent="0.25">
      <c r="A251" s="23" t="s">
        <v>652</v>
      </c>
      <c r="B251" s="37" t="str">
        <f>INDEX(Product!$B:$B,MATCH($A251,Product!$A:$A,0))</f>
        <v>[Hollister] Vòng bảo vệ da chống loét hậu môn nhân tạo (Mẫu 7805)</v>
      </c>
      <c r="C251" s="37" t="str">
        <f>INDEX(Product!$D:$D,MATCH($A251,Product!$A:$A,0))</f>
        <v>Phụ kiện hậu môn nhân tạo</v>
      </c>
      <c r="D251" s="23" t="s">
        <v>2471</v>
      </c>
      <c r="E251" s="37" t="str">
        <f>INDEX('Attribute Definition'!$B:$B,MATCH($D251,'Attribute Definition'!$A:$A,0))</f>
        <v>Dạng sản phẩm</v>
      </c>
      <c r="F251" s="38" t="s">
        <v>2657</v>
      </c>
      <c r="G251" s="39" t="str" cm="1">
        <f t="array" ref="G251">_xlfn.TEXTJOIN("; ",TRUE,_xlfn.UNIQUE(_xlfn._xlws.FILTER('Product Variant Attribute'!$F$2:$F$3000,('Product Variant Attribute'!$B$2:$B$3000=$A251)*('Product Variant Attribute'!$D$2:$D$3000=$D251),"")))</f>
        <v>Dụng cụ / phụ kiện</v>
      </c>
      <c r="H251" s="39"/>
      <c r="I251" s="39"/>
      <c r="J251" s="39" t="str" cm="1">
        <f t="array" ref="J251">IF($I251="","",_xlfn.TEXTJOIN("; ",TRUE,_xlfn.UNIQUE(_xlfn._xlws.FILTER($A$2:$A$3000,($C$2:$C$3000=$C251)*($E$2:$E$3000=$E251)*($G$2:$G$3000&lt;&gt;$G251)*($G$2:$G$3000&lt;&gt;""),""))))</f>
        <v/>
      </c>
    </row>
    <row r="252" spans="1:10" x14ac:dyDescent="0.25">
      <c r="A252" s="23" t="s">
        <v>653</v>
      </c>
      <c r="B252" s="37" t="str">
        <f>INDEX(Product!$B:$B,MATCH($A252,Product!$A:$A,0))</f>
        <v>Túi hậu môn nhân tạo 1 mảnh loại đục</v>
      </c>
      <c r="C252" s="37" t="str">
        <f>INDEX(Product!$D:$D,MATCH($A252,Product!$A:$A,0))</f>
        <v>Túi hậu môn nhân tạo</v>
      </c>
      <c r="D252" s="23" t="s">
        <v>2397</v>
      </c>
      <c r="E252" s="37" t="str">
        <f>INDEX('Attribute Definition'!$B:$B,MATCH($D252,'Attribute Definition'!$A:$A,0))</f>
        <v>Hệ thống HMNT</v>
      </c>
      <c r="F252" s="38" t="s">
        <v>2657</v>
      </c>
      <c r="G252" s="39" t="str" cm="1">
        <f t="array" ref="G252">_xlfn.TEXTJOIN("; ",TRUE,_xlfn.UNIQUE(_xlfn._xlws.FILTER('Product Variant Attribute'!$F$2:$F$3000,('Product Variant Attribute'!$B$2:$B$3000=$A252)*('Product Variant Attribute'!$D$2:$D$3000=$D252),"")))</f>
        <v/>
      </c>
      <c r="H252" s="39"/>
      <c r="I252" s="39"/>
      <c r="J252" s="39" t="str" cm="1">
        <f t="array" ref="J252">IF($I252="","",_xlfn.TEXTJOIN("; ",TRUE,_xlfn.UNIQUE(_xlfn._xlws.FILTER($A$2:$A$3000,($C$2:$C$3000=$C252)*($E$2:$E$3000=$E252)*($G$2:$G$3000&lt;&gt;$G252)*($G$2:$G$3000&lt;&gt;""),""))))</f>
        <v/>
      </c>
    </row>
    <row r="253" spans="1:10" x14ac:dyDescent="0.25">
      <c r="A253" s="23" t="s">
        <v>653</v>
      </c>
      <c r="B253" s="37" t="str">
        <f>INDEX(Product!$B:$B,MATCH($A253,Product!$A:$A,0))</f>
        <v>Túi hậu môn nhân tạo 1 mảnh loại đục</v>
      </c>
      <c r="C253" s="37" t="str">
        <f>INDEX(Product!$D:$D,MATCH($A253,Product!$A:$A,0))</f>
        <v>Túi hậu môn nhân tạo</v>
      </c>
      <c r="D253" s="23" t="s">
        <v>2406</v>
      </c>
      <c r="E253" s="37" t="str">
        <f>INDEX('Attribute Definition'!$B:$B,MATCH($D253,'Attribute Definition'!$A:$A,0))</f>
        <v>Độ trong của túi</v>
      </c>
      <c r="F253" s="38" t="s">
        <v>2657</v>
      </c>
      <c r="G253" s="39" t="str" cm="1">
        <f t="array" ref="G253">_xlfn.TEXTJOIN("; ",TRUE,_xlfn.UNIQUE(_xlfn._xlws.FILTER('Product Variant Attribute'!$F$2:$F$3000,('Product Variant Attribute'!$B$2:$B$3000=$A253)*('Product Variant Attribute'!$D$2:$D$3000=$D253),"")))</f>
        <v/>
      </c>
      <c r="H253" s="39"/>
      <c r="I253" s="39"/>
      <c r="J253" s="39" t="str" cm="1">
        <f t="array" ref="J253">IF($I253="","",_xlfn.TEXTJOIN("; ",TRUE,_xlfn.UNIQUE(_xlfn._xlws.FILTER($A$2:$A$3000,($C$2:$C$3000=$C253)*($E$2:$E$3000=$E253)*($G$2:$G$3000&lt;&gt;$G253)*($G$2:$G$3000&lt;&gt;""),""))))</f>
        <v/>
      </c>
    </row>
    <row r="254" spans="1:10" x14ac:dyDescent="0.25">
      <c r="A254" s="23" t="s">
        <v>653</v>
      </c>
      <c r="B254" s="37" t="str">
        <f>INDEX(Product!$B:$B,MATCH($A254,Product!$A:$A,0))</f>
        <v>Túi hậu môn nhân tạo 1 mảnh loại đục</v>
      </c>
      <c r="C254" s="37" t="str">
        <f>INDEX(Product!$D:$D,MATCH($A254,Product!$A:$A,0))</f>
        <v>Túi hậu môn nhân tạo</v>
      </c>
      <c r="D254" s="23" t="s">
        <v>2471</v>
      </c>
      <c r="E254" s="37" t="str">
        <f>INDEX('Attribute Definition'!$B:$B,MATCH($D254,'Attribute Definition'!$A:$A,0))</f>
        <v>Dạng sản phẩm</v>
      </c>
      <c r="F254" s="38" t="s">
        <v>2657</v>
      </c>
      <c r="G254" s="39" t="str" cm="1">
        <f t="array" ref="G254">_xlfn.TEXTJOIN("; ",TRUE,_xlfn.UNIQUE(_xlfn._xlws.FILTER('Product Variant Attribute'!$F$2:$F$3000,('Product Variant Attribute'!$B$2:$B$3000=$A254)*('Product Variant Attribute'!$D$2:$D$3000=$D254),"")))</f>
        <v/>
      </c>
      <c r="H254" s="39"/>
      <c r="I254" s="39"/>
      <c r="J254" s="39" t="str" cm="1">
        <f t="array" ref="J254">IF($I254="","",_xlfn.TEXTJOIN("; ",TRUE,_xlfn.UNIQUE(_xlfn._xlws.FILTER($A$2:$A$3000,($C$2:$C$3000=$C254)*($E$2:$E$3000=$E254)*($G$2:$G$3000&lt;&gt;$G254)*($G$2:$G$3000&lt;&gt;""),""))))</f>
        <v/>
      </c>
    </row>
    <row r="255" spans="1:10" ht="90" x14ac:dyDescent="0.25">
      <c r="A255" s="23" t="s">
        <v>654</v>
      </c>
      <c r="B255" s="37" t="str">
        <f>INDEX(Product!$B:$B,MATCH($A255,Product!$A:$A,0))</f>
        <v>Túi hậu môn nhân tạo 1 mảnh loại trong</v>
      </c>
      <c r="C255" s="37" t="str">
        <f>INDEX(Product!$D:$D,MATCH($A255,Product!$A:$A,0))</f>
        <v>Túi hậu môn nhân tạo</v>
      </c>
      <c r="D255" s="23" t="s">
        <v>2397</v>
      </c>
      <c r="E255" s="37" t="str">
        <f>INDEX('Attribute Definition'!$B:$B,MATCH($D255,'Attribute Definition'!$A:$A,0))</f>
        <v>Hệ thống HMNT</v>
      </c>
      <c r="F255" s="38" t="s">
        <v>2657</v>
      </c>
      <c r="G255" s="39" t="str" cm="1">
        <f t="array" ref="G255">_xlfn.TEXTJOIN("; ",TRUE,_xlfn.UNIQUE(_xlfn._xlws.FILTER('Product Variant Attribute'!$F$2:$F$3000,('Product Variant Attribute'!$B$2:$B$3000=$A255)*('Product Variant Attribute'!$D$2:$D$3000=$D255),"")))</f>
        <v>1 mảnh</v>
      </c>
      <c r="H255" s="39"/>
      <c r="I255" s="39" t="s">
        <v>2726</v>
      </c>
      <c r="J255" s="39" t="str" cm="1">
        <f t="array" ref="J255">IF($I255="","",_xlfn.TEXTJOIN("; ",TRUE,_xlfn.UNIQUE(_xlfn._xlws.FILTER($A$2:$A$3000,($C$2:$C$3000=$C255)*($E$2:$E$3000=$E255)*($G$2:$G$3000&lt;&gt;$G255)*($G$2:$G$3000&lt;&gt;""),""))))</f>
        <v>PRODUCT-00095; PRODUCT-00096; PRODUCT-00097; PRODUCT-00098; PRODUCT-00099; PRODUCT-00101; PRODUCT-00102; PRODUCT-00103; PRODUCT-00107; PRODUCT-00108; PRODUCT-00109</v>
      </c>
    </row>
    <row r="256" spans="1:10" ht="45" x14ac:dyDescent="0.25">
      <c r="A256" s="23" t="s">
        <v>654</v>
      </c>
      <c r="B256" s="37" t="str">
        <f>INDEX(Product!$B:$B,MATCH($A256,Product!$A:$A,0))</f>
        <v>Túi hậu môn nhân tạo 1 mảnh loại trong</v>
      </c>
      <c r="C256" s="37" t="str">
        <f>INDEX(Product!$D:$D,MATCH($A256,Product!$A:$A,0))</f>
        <v>Túi hậu môn nhân tạo</v>
      </c>
      <c r="D256" s="23" t="s">
        <v>2406</v>
      </c>
      <c r="E256" s="37" t="str">
        <f>INDEX('Attribute Definition'!$B:$B,MATCH($D256,'Attribute Definition'!$A:$A,0))</f>
        <v>Độ trong của túi</v>
      </c>
      <c r="F256" s="38" t="s">
        <v>2657</v>
      </c>
      <c r="G256" s="39" t="str" cm="1">
        <f t="array" ref="G256">_xlfn.TEXTJOIN("; ",TRUE,_xlfn.UNIQUE(_xlfn._xlws.FILTER('Product Variant Attribute'!$F$2:$F$3000,('Product Variant Attribute'!$B$2:$B$3000=$A256)*('Product Variant Attribute'!$D$2:$D$3000=$D256),"")))</f>
        <v>Trong suốt</v>
      </c>
      <c r="H256" s="39"/>
      <c r="I256" s="39" t="s">
        <v>2728</v>
      </c>
      <c r="J256" s="39" t="str" cm="1">
        <f t="array" ref="J256">IF($I256="","",_xlfn.TEXTJOIN("; ",TRUE,_xlfn.UNIQUE(_xlfn._xlws.FILTER($A$2:$A$3000,($C$2:$C$3000=$C256)*($E$2:$E$3000=$E256)*($G$2:$G$3000&lt;&gt;$G256)*($G$2:$G$3000&lt;&gt;""),""))))</f>
        <v>PRODUCT-00074</v>
      </c>
    </row>
    <row r="257" spans="1:10" x14ac:dyDescent="0.25">
      <c r="A257" s="23" t="s">
        <v>654</v>
      </c>
      <c r="B257" s="37" t="str">
        <f>INDEX(Product!$B:$B,MATCH($A257,Product!$A:$A,0))</f>
        <v>Túi hậu môn nhân tạo 1 mảnh loại trong</v>
      </c>
      <c r="C257" s="37" t="str">
        <f>INDEX(Product!$D:$D,MATCH($A257,Product!$A:$A,0))</f>
        <v>Túi hậu môn nhân tạo</v>
      </c>
      <c r="D257" s="23" t="s">
        <v>2471</v>
      </c>
      <c r="E257" s="37" t="str">
        <f>INDEX('Attribute Definition'!$B:$B,MATCH($D257,'Attribute Definition'!$A:$A,0))</f>
        <v>Dạng sản phẩm</v>
      </c>
      <c r="F257" s="38" t="s">
        <v>2657</v>
      </c>
      <c r="G257" s="39" t="str" cm="1">
        <f t="array" ref="G257">_xlfn.TEXTJOIN("; ",TRUE,_xlfn.UNIQUE(_xlfn._xlws.FILTER('Product Variant Attribute'!$F$2:$F$3000,('Product Variant Attribute'!$B$2:$B$3000=$A257)*('Product Variant Attribute'!$D$2:$D$3000=$D257),"")))</f>
        <v>Túi</v>
      </c>
      <c r="H257" s="39"/>
      <c r="I257" s="39"/>
      <c r="J257" s="39" t="str" cm="1">
        <f t="array" ref="J257">IF($I257="","",_xlfn.TEXTJOIN("; ",TRUE,_xlfn.UNIQUE(_xlfn._xlws.FILTER($A$2:$A$3000,($C$2:$C$3000=$C257)*($E$2:$E$3000=$E257)*($G$2:$G$3000&lt;&gt;$G257)*($G$2:$G$3000&lt;&gt;""),""))))</f>
        <v/>
      </c>
    </row>
    <row r="258" spans="1:10" ht="30" x14ac:dyDescent="0.25">
      <c r="A258" s="23" t="s">
        <v>655</v>
      </c>
      <c r="B258" s="37" t="str">
        <f>INDEX(Product!$B:$B,MATCH($A258,Product!$A:$A,0))</f>
        <v>[Mepro] Đế rời túi hậu môn nhân tạo 2 mảnh viền vải không dệt</v>
      </c>
      <c r="C258" s="37" t="str">
        <f>INDEX(Product!$D:$D,MATCH($A258,Product!$A:$A,0))</f>
        <v>Đế hậu môn nhân tạo</v>
      </c>
      <c r="D258" s="23" t="s">
        <v>2367</v>
      </c>
      <c r="E258" s="37" t="str">
        <f>INDEX('Attribute Definition'!$B:$B,MATCH($D258,'Attribute Definition'!$A:$A,0))</f>
        <v>Chất liệu</v>
      </c>
      <c r="F258" s="38" t="s">
        <v>2657</v>
      </c>
      <c r="G258" s="39" t="str" cm="1">
        <f t="array" ref="G258">_xlfn.TEXTJOIN("; ",TRUE,_xlfn.UNIQUE(_xlfn._xlws.FILTER('Product Variant Attribute'!$F$2:$F$3000,('Product Variant Attribute'!$B$2:$B$3000=$A258)*('Product Variant Attribute'!$D$2:$D$3000=$D258),"")))</f>
        <v>Hydrocolloid, Vải không dệt</v>
      </c>
      <c r="H258" s="39"/>
      <c r="I258" s="39" t="s">
        <v>2734</v>
      </c>
      <c r="J258" s="39" t="str" cm="1">
        <f t="array" ref="J258">IF($I258="","",_xlfn.TEXTJOIN("; ",TRUE,_xlfn.UNIQUE(_xlfn._xlws.FILTER($A$2:$A$3000,($C$2:$C$3000=$C258)*($E$2:$E$3000=$E258)*($G$2:$G$3000&lt;&gt;$G258)*($G$2:$G$3000&lt;&gt;""),""))))</f>
        <v>PRODUCT-00104</v>
      </c>
    </row>
    <row r="259" spans="1:10" ht="30" x14ac:dyDescent="0.25">
      <c r="A259" s="23" t="s">
        <v>655</v>
      </c>
      <c r="B259" s="37" t="str">
        <f>INDEX(Product!$B:$B,MATCH($A259,Product!$A:$A,0))</f>
        <v>[Mepro] Đế rời túi hậu môn nhân tạo 2 mảnh viền vải không dệt</v>
      </c>
      <c r="C259" s="37" t="str">
        <f>INDEX(Product!$D:$D,MATCH($A259,Product!$A:$A,0))</f>
        <v>Đế hậu môn nhân tạo</v>
      </c>
      <c r="D259" s="23" t="s">
        <v>2391</v>
      </c>
      <c r="E259" s="37" t="str">
        <f>INDEX('Attribute Definition'!$B:$B,MATCH($D259,'Attribute Definition'!$A:$A,0))</f>
        <v>Kiểu viền</v>
      </c>
      <c r="F259" s="38" t="s">
        <v>2657</v>
      </c>
      <c r="G259" s="39" t="str" cm="1">
        <f t="array" ref="G259">_xlfn.TEXTJOIN("; ",TRUE,_xlfn.UNIQUE(_xlfn._xlws.FILTER('Product Variant Attribute'!$F$2:$F$3000,('Product Variant Attribute'!$B$2:$B$3000=$A259)*('Product Variant Attribute'!$D$2:$D$3000=$D259),"")))</f>
        <v>Viền vải không dệt</v>
      </c>
      <c r="H259" s="39"/>
      <c r="I259" s="39" t="s">
        <v>2735</v>
      </c>
      <c r="J259" s="39" t="str" cm="1">
        <f t="array" ref="J259">IF($I259="","",_xlfn.TEXTJOIN("; ",TRUE,_xlfn.UNIQUE(_xlfn._xlws.FILTER($A$2:$A$3000,($C$2:$C$3000=$C259)*($E$2:$E$3000=$E259)*($G$2:$G$3000&lt;&gt;$G259)*($G$2:$G$3000&lt;&gt;""),""))))</f>
        <v>PRODUCT-00104</v>
      </c>
    </row>
    <row r="260" spans="1:10" x14ac:dyDescent="0.25">
      <c r="A260" s="23" t="s">
        <v>655</v>
      </c>
      <c r="B260" s="37" t="str">
        <f>INDEX(Product!$B:$B,MATCH($A260,Product!$A:$A,0))</f>
        <v>[Mepro] Đế rời túi hậu môn nhân tạo 2 mảnh viền vải không dệt</v>
      </c>
      <c r="C260" s="37" t="str">
        <f>INDEX(Product!$D:$D,MATCH($A260,Product!$A:$A,0))</f>
        <v>Đế hậu môn nhân tạo</v>
      </c>
      <c r="D260" s="23" t="s">
        <v>2397</v>
      </c>
      <c r="E260" s="37" t="str">
        <f>INDEX('Attribute Definition'!$B:$B,MATCH($D260,'Attribute Definition'!$A:$A,0))</f>
        <v>Hệ thống HMNT</v>
      </c>
      <c r="F260" s="38" t="s">
        <v>2657</v>
      </c>
      <c r="G260" s="39" t="str" cm="1">
        <f t="array" ref="G260">_xlfn.TEXTJOIN("; ",TRUE,_xlfn.UNIQUE(_xlfn._xlws.FILTER('Product Variant Attribute'!$F$2:$F$3000,('Product Variant Attribute'!$B$2:$B$3000=$A260)*('Product Variant Attribute'!$D$2:$D$3000=$D260),"")))</f>
        <v>2 mảnh</v>
      </c>
      <c r="H260" s="39"/>
      <c r="I260" s="39"/>
      <c r="J260" s="39" t="str" cm="1">
        <f t="array" ref="J260">IF($I260="","",_xlfn.TEXTJOIN("; ",TRUE,_xlfn.UNIQUE(_xlfn._xlws.FILTER($A$2:$A$3000,($C$2:$C$3000=$C260)*($E$2:$E$3000=$E260)*($G$2:$G$3000&lt;&gt;$G260)*($G$2:$G$3000&lt;&gt;""),""))))</f>
        <v/>
      </c>
    </row>
    <row r="261" spans="1:10" x14ac:dyDescent="0.25">
      <c r="A261" s="23" t="s">
        <v>655</v>
      </c>
      <c r="B261" s="37" t="str">
        <f>INDEX(Product!$B:$B,MATCH($A261,Product!$A:$A,0))</f>
        <v>[Mepro] Đế rời túi hậu môn nhân tạo 2 mảnh viền vải không dệt</v>
      </c>
      <c r="C261" s="37" t="str">
        <f>INDEX(Product!$D:$D,MATCH($A261,Product!$A:$A,0))</f>
        <v>Đế hậu môn nhân tạo</v>
      </c>
      <c r="D261" s="23" t="s">
        <v>2471</v>
      </c>
      <c r="E261" s="37" t="str">
        <f>INDEX('Attribute Definition'!$B:$B,MATCH($D261,'Attribute Definition'!$A:$A,0))</f>
        <v>Dạng sản phẩm</v>
      </c>
      <c r="F261" s="38" t="s">
        <v>2657</v>
      </c>
      <c r="G261" s="39" t="str" cm="1">
        <f t="array" ref="G261">_xlfn.TEXTJOIN("; ",TRUE,_xlfn.UNIQUE(_xlfn._xlws.FILTER('Product Variant Attribute'!$F$2:$F$3000,('Product Variant Attribute'!$B$2:$B$3000=$A261)*('Product Variant Attribute'!$D$2:$D$3000=$D261),"")))</f>
        <v>Đế</v>
      </c>
      <c r="H261" s="39"/>
      <c r="I261" s="39"/>
      <c r="J261" s="39" t="str" cm="1">
        <f t="array" ref="J261">IF($I261="","",_xlfn.TEXTJOIN("; ",TRUE,_xlfn.UNIQUE(_xlfn._xlws.FILTER($A$2:$A$3000,($C$2:$C$3000=$C261)*($E$2:$E$3000=$E261)*($G$2:$G$3000&lt;&gt;$G261)*($G$2:$G$3000&lt;&gt;""),""))))</f>
        <v/>
      </c>
    </row>
    <row r="262" spans="1:10" ht="75" x14ac:dyDescent="0.25">
      <c r="A262" s="23" t="s">
        <v>656</v>
      </c>
      <c r="B262" s="37" t="str">
        <f>INDEX(Product!$B:$B,MATCH($A262,Product!$A:$A,0))</f>
        <v>[Hollister] Bộ túi hậu môn nhân tạo 2 mảnh - Kẹp rời</v>
      </c>
      <c r="C262" s="37" t="str">
        <f>INDEX(Product!$D:$D,MATCH($A262,Product!$A:$A,0))</f>
        <v>Túi hậu môn nhân tạo</v>
      </c>
      <c r="D262" s="23" t="s">
        <v>2397</v>
      </c>
      <c r="E262" s="37" t="str">
        <f>INDEX('Attribute Definition'!$B:$B,MATCH($D262,'Attribute Definition'!$A:$A,0))</f>
        <v>Hệ thống HMNT</v>
      </c>
      <c r="F262" s="38" t="s">
        <v>2657</v>
      </c>
      <c r="G262" s="39" t="str" cm="1">
        <f t="array" ref="G262">_xlfn.TEXTJOIN("; ",TRUE,_xlfn.UNIQUE(_xlfn._xlws.FILTER('Product Variant Attribute'!$F$2:$F$3000,('Product Variant Attribute'!$B$2:$B$3000=$A262)*('Product Variant Attribute'!$D$2:$D$3000=$D262),"")))</f>
        <v>2 mảnh</v>
      </c>
      <c r="H262" s="39"/>
      <c r="I262" s="39" t="s">
        <v>2736</v>
      </c>
      <c r="J262" s="39" t="str" cm="1">
        <f t="array" ref="J262">IF($I262="","",_xlfn.TEXTJOIN("; ",TRUE,_xlfn.UNIQUE(_xlfn._xlws.FILTER($A$2:$A$3000,($C$2:$C$3000=$C262)*($E$2:$E$3000=$E262)*($G$2:$G$3000&lt;&gt;$G262)*($G$2:$G$3000&lt;&gt;""),""))))</f>
        <v>PRODUCT-00074; PRODUCT-00075; PRODUCT-00076; PRODUCT-00077; PRODUCT-00086; PRODUCT-00087; PRODUCT-00088; PRODUCT-00089; PRODUCT-00093</v>
      </c>
    </row>
    <row r="263" spans="1:10" ht="60" x14ac:dyDescent="0.25">
      <c r="A263" s="23" t="s">
        <v>656</v>
      </c>
      <c r="B263" s="37" t="str">
        <f>INDEX(Product!$B:$B,MATCH($A263,Product!$A:$A,0))</f>
        <v>[Hollister] Bộ túi hậu môn nhân tạo 2 mảnh - Kẹp rời</v>
      </c>
      <c r="C263" s="37" t="str">
        <f>INDEX(Product!$D:$D,MATCH($A263,Product!$A:$A,0))</f>
        <v>Túi hậu môn nhân tạo</v>
      </c>
      <c r="D263" s="23" t="s">
        <v>2401</v>
      </c>
      <c r="E263" s="37" t="str">
        <f>INDEX('Attribute Definition'!$B:$B,MATCH($D263,'Attribute Definition'!$A:$A,0))</f>
        <v>Kiểu khóa / xả</v>
      </c>
      <c r="F263" s="38" t="s">
        <v>2657</v>
      </c>
      <c r="G263" s="39" t="str" cm="1">
        <f t="array" ref="G263">_xlfn.TEXTJOIN("; ",TRUE,_xlfn.UNIQUE(_xlfn._xlws.FILTER('Product Variant Attribute'!$F$2:$F$3000,('Product Variant Attribute'!$B$2:$B$3000=$A263)*('Product Variant Attribute'!$D$2:$D$3000=$D263),"")))</f>
        <v>Kẹp rời</v>
      </c>
      <c r="H263" s="39"/>
      <c r="I263" s="39" t="s">
        <v>2730</v>
      </c>
      <c r="J263" s="39" t="str" cm="1">
        <f t="array" ref="J263">IF($I263="","",_xlfn.TEXTJOIN("; ",TRUE,_xlfn.UNIQUE(_xlfn._xlws.FILTER($A$2:$A$3000,($C$2:$C$3000=$C263)*($E$2:$E$3000=$E263)*($G$2:$G$3000&lt;&gt;$G263)*($G$2:$G$3000&lt;&gt;""),""))))</f>
        <v>PRODUCT-00088; PRODUCT-00089; PRODUCT-00096; PRODUCT-00101; PRODUCT-00103; PRODUCT-00107; PRODUCT-00108</v>
      </c>
    </row>
    <row r="264" spans="1:10" x14ac:dyDescent="0.25">
      <c r="A264" s="23" t="s">
        <v>656</v>
      </c>
      <c r="B264" s="37" t="str">
        <f>INDEX(Product!$B:$B,MATCH($A264,Product!$A:$A,0))</f>
        <v>[Hollister] Bộ túi hậu môn nhân tạo 2 mảnh - Kẹp rời</v>
      </c>
      <c r="C264" s="37" t="str">
        <f>INDEX(Product!$D:$D,MATCH($A264,Product!$A:$A,0))</f>
        <v>Túi hậu môn nhân tạo</v>
      </c>
      <c r="D264" s="23" t="s">
        <v>2471</v>
      </c>
      <c r="E264" s="37" t="str">
        <f>INDEX('Attribute Definition'!$B:$B,MATCH($D264,'Attribute Definition'!$A:$A,0))</f>
        <v>Dạng sản phẩm</v>
      </c>
      <c r="F264" s="38" t="s">
        <v>2657</v>
      </c>
      <c r="G264" s="39" t="str" cm="1">
        <f t="array" ref="G264">_xlfn.TEXTJOIN("; ",TRUE,_xlfn.UNIQUE(_xlfn._xlws.FILTER('Product Variant Attribute'!$F$2:$F$3000,('Product Variant Attribute'!$B$2:$B$3000=$A264)*('Product Variant Attribute'!$D$2:$D$3000=$D264),"")))</f>
        <v>Túi</v>
      </c>
      <c r="H264" s="39"/>
      <c r="I264" s="39"/>
      <c r="J264" s="39" t="str" cm="1">
        <f t="array" ref="J264">IF($I264="","",_xlfn.TEXTJOIN("; ",TRUE,_xlfn.UNIQUE(_xlfn._xlws.FILTER($A$2:$A$3000,($C$2:$C$3000=$C264)*($E$2:$E$3000=$E264)*($G$2:$G$3000&lt;&gt;$G264)*($G$2:$G$3000&lt;&gt;""),""))))</f>
        <v/>
      </c>
    </row>
    <row r="265" spans="1:10" ht="75" x14ac:dyDescent="0.25">
      <c r="A265" s="23" t="s">
        <v>657</v>
      </c>
      <c r="B265" s="37" t="str">
        <f>INDEX(Product!$B:$B,MATCH($A265,Product!$A:$A,0))</f>
        <v>[Hollister] Bộ túi hậu môn nhân tạo 2 mảnh - Khóa cuộn</v>
      </c>
      <c r="C265" s="37" t="str">
        <f>INDEX(Product!$D:$D,MATCH($A265,Product!$A:$A,0))</f>
        <v>Túi hậu môn nhân tạo</v>
      </c>
      <c r="D265" s="23" t="s">
        <v>2397</v>
      </c>
      <c r="E265" s="37" t="str">
        <f>INDEX('Attribute Definition'!$B:$B,MATCH($D265,'Attribute Definition'!$A:$A,0))</f>
        <v>Hệ thống HMNT</v>
      </c>
      <c r="F265" s="38" t="s">
        <v>2657</v>
      </c>
      <c r="G265" s="39" t="str" cm="1">
        <f t="array" ref="G265">_xlfn.TEXTJOIN("; ",TRUE,_xlfn.UNIQUE(_xlfn._xlws.FILTER('Product Variant Attribute'!$F$2:$F$3000,('Product Variant Attribute'!$B$2:$B$3000=$A265)*('Product Variant Attribute'!$D$2:$D$3000=$D265),"")))</f>
        <v>2 mảnh</v>
      </c>
      <c r="H265" s="39"/>
      <c r="I265" s="39" t="s">
        <v>2736</v>
      </c>
      <c r="J265" s="39" t="str" cm="1">
        <f t="array" ref="J265">IF($I265="","",_xlfn.TEXTJOIN("; ",TRUE,_xlfn.UNIQUE(_xlfn._xlws.FILTER($A$2:$A$3000,($C$2:$C$3000=$C265)*($E$2:$E$3000=$E265)*($G$2:$G$3000&lt;&gt;$G265)*($G$2:$G$3000&lt;&gt;""),""))))</f>
        <v>PRODUCT-00074; PRODUCT-00075; PRODUCT-00076; PRODUCT-00077; PRODUCT-00086; PRODUCT-00087; PRODUCT-00088; PRODUCT-00089; PRODUCT-00093</v>
      </c>
    </row>
    <row r="266" spans="1:10" ht="60" x14ac:dyDescent="0.25">
      <c r="A266" s="23" t="s">
        <v>657</v>
      </c>
      <c r="B266" s="37" t="str">
        <f>INDEX(Product!$B:$B,MATCH($A266,Product!$A:$A,0))</f>
        <v>[Hollister] Bộ túi hậu môn nhân tạo 2 mảnh - Khóa cuộn</v>
      </c>
      <c r="C266" s="37" t="str">
        <f>INDEX(Product!$D:$D,MATCH($A266,Product!$A:$A,0))</f>
        <v>Túi hậu môn nhân tạo</v>
      </c>
      <c r="D266" s="23" t="s">
        <v>2401</v>
      </c>
      <c r="E266" s="37" t="str">
        <f>INDEX('Attribute Definition'!$B:$B,MATCH($D266,'Attribute Definition'!$A:$A,0))</f>
        <v>Kiểu khóa / xả</v>
      </c>
      <c r="F266" s="38" t="s">
        <v>2657</v>
      </c>
      <c r="G266" s="39" t="str" cm="1">
        <f t="array" ref="G266">_xlfn.TEXTJOIN("; ",TRUE,_xlfn.UNIQUE(_xlfn._xlws.FILTER('Product Variant Attribute'!$F$2:$F$3000,('Product Variant Attribute'!$B$2:$B$3000=$A266)*('Product Variant Attribute'!$D$2:$D$3000=$D266),"")))</f>
        <v>Khóa cuộn</v>
      </c>
      <c r="H266" s="39"/>
      <c r="I266" s="39" t="s">
        <v>2737</v>
      </c>
      <c r="J266" s="39" t="str" cm="1">
        <f t="array" ref="J266">IF($I266="","",_xlfn.TEXTJOIN("; ",TRUE,_xlfn.UNIQUE(_xlfn._xlws.FILTER($A$2:$A$3000,($C$2:$C$3000=$C266)*($E$2:$E$3000=$E266)*($G$2:$G$3000&lt;&gt;$G266)*($G$2:$G$3000&lt;&gt;""),""))))</f>
        <v>PRODUCT-00086; PRODUCT-00088; PRODUCT-00089; PRODUCT-00095; PRODUCT-00099; PRODUCT-00102; PRODUCT-00108</v>
      </c>
    </row>
    <row r="267" spans="1:10" x14ac:dyDescent="0.25">
      <c r="A267" s="23" t="s">
        <v>657</v>
      </c>
      <c r="B267" s="37" t="str">
        <f>INDEX(Product!$B:$B,MATCH($A267,Product!$A:$A,0))</f>
        <v>[Hollister] Bộ túi hậu môn nhân tạo 2 mảnh - Khóa cuộn</v>
      </c>
      <c r="C267" s="37" t="str">
        <f>INDEX(Product!$D:$D,MATCH($A267,Product!$A:$A,0))</f>
        <v>Túi hậu môn nhân tạo</v>
      </c>
      <c r="D267" s="23" t="s">
        <v>2471</v>
      </c>
      <c r="E267" s="37" t="str">
        <f>INDEX('Attribute Definition'!$B:$B,MATCH($D267,'Attribute Definition'!$A:$A,0))</f>
        <v>Dạng sản phẩm</v>
      </c>
      <c r="F267" s="38" t="s">
        <v>2657</v>
      </c>
      <c r="G267" s="39" t="str" cm="1">
        <f t="array" ref="G267">_xlfn.TEXTJOIN("; ",TRUE,_xlfn.UNIQUE(_xlfn._xlws.FILTER('Product Variant Attribute'!$F$2:$F$3000,('Product Variant Attribute'!$B$2:$B$3000=$A267)*('Product Variant Attribute'!$D$2:$D$3000=$D267),"")))</f>
        <v>Túi</v>
      </c>
      <c r="H267" s="39"/>
      <c r="I267" s="39"/>
      <c r="J267" s="39" t="str" cm="1">
        <f t="array" ref="J267">IF($I267="","",_xlfn.TEXTJOIN("; ",TRUE,_xlfn.UNIQUE(_xlfn._xlws.FILTER($A$2:$A$3000,($C$2:$C$3000=$C267)*($E$2:$E$3000=$E267)*($G$2:$G$3000&lt;&gt;$G267)*($G$2:$G$3000&lt;&gt;""),""))))</f>
        <v/>
      </c>
    </row>
    <row r="268" spans="1:10" ht="75" x14ac:dyDescent="0.25">
      <c r="A268" s="23" t="s">
        <v>658</v>
      </c>
      <c r="B268" s="37" t="str">
        <f>INDEX(Product!$B:$B,MATCH($A268,Product!$A:$A,0))</f>
        <v>[Hollister] Túi hậu môn nhân tạo 2 mảnh có bộ lọc khử mùi xả khí</v>
      </c>
      <c r="C268" s="37" t="str">
        <f>INDEX(Product!$D:$D,MATCH($A268,Product!$A:$A,0))</f>
        <v>Túi hậu môn nhân tạo</v>
      </c>
      <c r="D268" s="23" t="s">
        <v>2397</v>
      </c>
      <c r="E268" s="37" t="str">
        <f>INDEX('Attribute Definition'!$B:$B,MATCH($D268,'Attribute Definition'!$A:$A,0))</f>
        <v>Hệ thống HMNT</v>
      </c>
      <c r="F268" s="38" t="s">
        <v>2657</v>
      </c>
      <c r="G268" s="39" t="str" cm="1">
        <f t="array" ref="G268">_xlfn.TEXTJOIN("; ",TRUE,_xlfn.UNIQUE(_xlfn._xlws.FILTER('Product Variant Attribute'!$F$2:$F$3000,('Product Variant Attribute'!$B$2:$B$3000=$A268)*('Product Variant Attribute'!$D$2:$D$3000=$D268),"")))</f>
        <v>2 mảnh</v>
      </c>
      <c r="H268" s="39"/>
      <c r="I268" s="39" t="s">
        <v>2736</v>
      </c>
      <c r="J268" s="39" t="str" cm="1">
        <f t="array" ref="J268">IF($I268="","",_xlfn.TEXTJOIN("; ",TRUE,_xlfn.UNIQUE(_xlfn._xlws.FILTER($A$2:$A$3000,($C$2:$C$3000=$C268)*($E$2:$E$3000=$E268)*($G$2:$G$3000&lt;&gt;$G268)*($G$2:$G$3000&lt;&gt;""),""))))</f>
        <v>PRODUCT-00074; PRODUCT-00075; PRODUCT-00076; PRODUCT-00077; PRODUCT-00086; PRODUCT-00087; PRODUCT-00088; PRODUCT-00089; PRODUCT-00093</v>
      </c>
    </row>
    <row r="269" spans="1:10" x14ac:dyDescent="0.25">
      <c r="A269" s="23" t="s">
        <v>658</v>
      </c>
      <c r="B269" s="37" t="str">
        <f>INDEX(Product!$B:$B,MATCH($A269,Product!$A:$A,0))</f>
        <v>[Hollister] Túi hậu môn nhân tạo 2 mảnh có bộ lọc khử mùi xả khí</v>
      </c>
      <c r="C269" s="37" t="str">
        <f>INDEX(Product!$D:$D,MATCH($A269,Product!$A:$A,0))</f>
        <v>Túi hậu môn nhân tạo</v>
      </c>
      <c r="D269" s="23" t="s">
        <v>2471</v>
      </c>
      <c r="E269" s="37" t="str">
        <f>INDEX('Attribute Definition'!$B:$B,MATCH($D269,'Attribute Definition'!$A:$A,0))</f>
        <v>Dạng sản phẩm</v>
      </c>
      <c r="F269" s="38" t="s">
        <v>2657</v>
      </c>
      <c r="G269" s="39" t="str" cm="1">
        <f t="array" ref="G269">_xlfn.TEXTJOIN("; ",TRUE,_xlfn.UNIQUE(_xlfn._xlws.FILTER('Product Variant Attribute'!$F$2:$F$3000,('Product Variant Attribute'!$B$2:$B$3000=$A269)*('Product Variant Attribute'!$D$2:$D$3000=$D269),"")))</f>
        <v>Túi</v>
      </c>
      <c r="H269" s="39"/>
      <c r="I269" s="39"/>
      <c r="J269" s="39" t="str" cm="1">
        <f t="array" ref="J269">IF($I269="","",_xlfn.TEXTJOIN("; ",TRUE,_xlfn.UNIQUE(_xlfn._xlws.FILTER($A$2:$A$3000,($C$2:$C$3000=$C269)*($E$2:$E$3000=$E269)*($G$2:$G$3000&lt;&gt;$G269)*($G$2:$G$3000&lt;&gt;""),""))))</f>
        <v/>
      </c>
    </row>
    <row r="270" spans="1:10" ht="75" x14ac:dyDescent="0.25">
      <c r="A270" s="23" t="s">
        <v>659</v>
      </c>
      <c r="B270" s="37" t="str">
        <f>INDEX(Product!$B:$B,MATCH($A270,Product!$A:$A,0))</f>
        <v>[Hollister] Túi hậu môn nhân tạo 2 mảnh dùng kèm đế rời</v>
      </c>
      <c r="C270" s="37" t="str">
        <f>INDEX(Product!$D:$D,MATCH($A270,Product!$A:$A,0))</f>
        <v>Túi hậu môn nhân tạo</v>
      </c>
      <c r="D270" s="23" t="s">
        <v>2397</v>
      </c>
      <c r="E270" s="37" t="str">
        <f>INDEX('Attribute Definition'!$B:$B,MATCH($D270,'Attribute Definition'!$A:$A,0))</f>
        <v>Hệ thống HMNT</v>
      </c>
      <c r="F270" s="38" t="s">
        <v>2657</v>
      </c>
      <c r="G270" s="39" t="str" cm="1">
        <f t="array" ref="G270">_xlfn.TEXTJOIN("; ",TRUE,_xlfn.UNIQUE(_xlfn._xlws.FILTER('Product Variant Attribute'!$F$2:$F$3000,('Product Variant Attribute'!$B$2:$B$3000=$A270)*('Product Variant Attribute'!$D$2:$D$3000=$D270),"")))</f>
        <v>2 mảnh</v>
      </c>
      <c r="H270" s="39"/>
      <c r="I270" s="39" t="s">
        <v>2736</v>
      </c>
      <c r="J270" s="39" t="str" cm="1">
        <f t="array" ref="J270">IF($I270="","",_xlfn.TEXTJOIN("; ",TRUE,_xlfn.UNIQUE(_xlfn._xlws.FILTER($A$2:$A$3000,($C$2:$C$3000=$C270)*($E$2:$E$3000=$E270)*($G$2:$G$3000&lt;&gt;$G270)*($G$2:$G$3000&lt;&gt;""),""))))</f>
        <v>PRODUCT-00074; PRODUCT-00075; PRODUCT-00076; PRODUCT-00077; PRODUCT-00086; PRODUCT-00087; PRODUCT-00088; PRODUCT-00089; PRODUCT-00093</v>
      </c>
    </row>
    <row r="271" spans="1:10" x14ac:dyDescent="0.25">
      <c r="A271" s="23" t="s">
        <v>659</v>
      </c>
      <c r="B271" s="37" t="str">
        <f>INDEX(Product!$B:$B,MATCH($A271,Product!$A:$A,0))</f>
        <v>[Hollister] Túi hậu môn nhân tạo 2 mảnh dùng kèm đế rời</v>
      </c>
      <c r="C271" s="37" t="str">
        <f>INDEX(Product!$D:$D,MATCH($A271,Product!$A:$A,0))</f>
        <v>Túi hậu môn nhân tạo</v>
      </c>
      <c r="D271" s="23" t="s">
        <v>2471</v>
      </c>
      <c r="E271" s="37" t="str">
        <f>INDEX('Attribute Definition'!$B:$B,MATCH($D271,'Attribute Definition'!$A:$A,0))</f>
        <v>Dạng sản phẩm</v>
      </c>
      <c r="F271" s="38" t="s">
        <v>2657</v>
      </c>
      <c r="G271" s="39" t="str" cm="1">
        <f t="array" ref="G271">_xlfn.TEXTJOIN("; ",TRUE,_xlfn.UNIQUE(_xlfn._xlws.FILTER('Product Variant Attribute'!$F$2:$F$3000,('Product Variant Attribute'!$B$2:$B$3000=$A271)*('Product Variant Attribute'!$D$2:$D$3000=$D271),"")))</f>
        <v>Túi</v>
      </c>
      <c r="H271" s="39"/>
      <c r="I271" s="39"/>
      <c r="J271" s="39" t="str" cm="1">
        <f t="array" ref="J271">IF($I271="","",_xlfn.TEXTJOIN("; ",TRUE,_xlfn.UNIQUE(_xlfn._xlws.FILTER($A$2:$A$3000,($C$2:$C$3000=$C271)*($E$2:$E$3000=$E271)*($G$2:$G$3000&lt;&gt;$G271)*($G$2:$G$3000&lt;&gt;""),""))))</f>
        <v/>
      </c>
    </row>
    <row r="272" spans="1:10" ht="75" x14ac:dyDescent="0.25">
      <c r="A272" s="23" t="s">
        <v>660</v>
      </c>
      <c r="B272" s="37" t="str">
        <f>INDEX(Product!$B:$B,MATCH($A272,Product!$A:$A,0))</f>
        <v>[Mepro] Bộ túi hậu môn nhân tạo 2 mảnh - Kẹp rời</v>
      </c>
      <c r="C272" s="37" t="str">
        <f>INDEX(Product!$D:$D,MATCH($A272,Product!$A:$A,0))</f>
        <v>Túi hậu môn nhân tạo</v>
      </c>
      <c r="D272" s="23" t="s">
        <v>2397</v>
      </c>
      <c r="E272" s="37" t="str">
        <f>INDEX('Attribute Definition'!$B:$B,MATCH($D272,'Attribute Definition'!$A:$A,0))</f>
        <v>Hệ thống HMNT</v>
      </c>
      <c r="F272" s="38" t="s">
        <v>2657</v>
      </c>
      <c r="G272" s="39" t="str" cm="1">
        <f t="array" ref="G272">_xlfn.TEXTJOIN("; ",TRUE,_xlfn.UNIQUE(_xlfn._xlws.FILTER('Product Variant Attribute'!$F$2:$F$3000,('Product Variant Attribute'!$B$2:$B$3000=$A272)*('Product Variant Attribute'!$D$2:$D$3000=$D272),"")))</f>
        <v>2 mảnh</v>
      </c>
      <c r="H272" s="39"/>
      <c r="I272" s="39" t="s">
        <v>2736</v>
      </c>
      <c r="J272" s="39" t="str" cm="1">
        <f t="array" ref="J272">IF($I272="","",_xlfn.TEXTJOIN("; ",TRUE,_xlfn.UNIQUE(_xlfn._xlws.FILTER($A$2:$A$3000,($C$2:$C$3000=$C272)*($E$2:$E$3000=$E272)*($G$2:$G$3000&lt;&gt;$G272)*($G$2:$G$3000&lt;&gt;""),""))))</f>
        <v>PRODUCT-00074; PRODUCT-00075; PRODUCT-00076; PRODUCT-00077; PRODUCT-00086; PRODUCT-00087; PRODUCT-00088; PRODUCT-00089; PRODUCT-00093</v>
      </c>
    </row>
    <row r="273" spans="1:10" ht="60" x14ac:dyDescent="0.25">
      <c r="A273" s="23" t="s">
        <v>660</v>
      </c>
      <c r="B273" s="37" t="str">
        <f>INDEX(Product!$B:$B,MATCH($A273,Product!$A:$A,0))</f>
        <v>[Mepro] Bộ túi hậu môn nhân tạo 2 mảnh - Kẹp rời</v>
      </c>
      <c r="C273" s="37" t="str">
        <f>INDEX(Product!$D:$D,MATCH($A273,Product!$A:$A,0))</f>
        <v>Túi hậu môn nhân tạo</v>
      </c>
      <c r="D273" s="23" t="s">
        <v>2401</v>
      </c>
      <c r="E273" s="37" t="str">
        <f>INDEX('Attribute Definition'!$B:$B,MATCH($D273,'Attribute Definition'!$A:$A,0))</f>
        <v>Kiểu khóa / xả</v>
      </c>
      <c r="F273" s="38" t="s">
        <v>2657</v>
      </c>
      <c r="G273" s="39" t="str" cm="1">
        <f t="array" ref="G273">_xlfn.TEXTJOIN("; ",TRUE,_xlfn.UNIQUE(_xlfn._xlws.FILTER('Product Variant Attribute'!$F$2:$F$3000,('Product Variant Attribute'!$B$2:$B$3000=$A273)*('Product Variant Attribute'!$D$2:$D$3000=$D273),"")))</f>
        <v>Kẹp rời</v>
      </c>
      <c r="H273" s="39"/>
      <c r="I273" s="39" t="s">
        <v>2730</v>
      </c>
      <c r="J273" s="39" t="str" cm="1">
        <f t="array" ref="J273">IF($I273="","",_xlfn.TEXTJOIN("; ",TRUE,_xlfn.UNIQUE(_xlfn._xlws.FILTER($A$2:$A$3000,($C$2:$C$3000=$C273)*($E$2:$E$3000=$E273)*($G$2:$G$3000&lt;&gt;$G273)*($G$2:$G$3000&lt;&gt;""),""))))</f>
        <v>PRODUCT-00088; PRODUCT-00089; PRODUCT-00096; PRODUCT-00101; PRODUCT-00103; PRODUCT-00107; PRODUCT-00108</v>
      </c>
    </row>
    <row r="274" spans="1:10" x14ac:dyDescent="0.25">
      <c r="A274" s="23" t="s">
        <v>660</v>
      </c>
      <c r="B274" s="37" t="str">
        <f>INDEX(Product!$B:$B,MATCH($A274,Product!$A:$A,0))</f>
        <v>[Mepro] Bộ túi hậu môn nhân tạo 2 mảnh - Kẹp rời</v>
      </c>
      <c r="C274" s="37" t="str">
        <f>INDEX(Product!$D:$D,MATCH($A274,Product!$A:$A,0))</f>
        <v>Túi hậu môn nhân tạo</v>
      </c>
      <c r="D274" s="23" t="s">
        <v>2471</v>
      </c>
      <c r="E274" s="37" t="str">
        <f>INDEX('Attribute Definition'!$B:$B,MATCH($D274,'Attribute Definition'!$A:$A,0))</f>
        <v>Dạng sản phẩm</v>
      </c>
      <c r="F274" s="38" t="s">
        <v>2657</v>
      </c>
      <c r="G274" s="39" t="str" cm="1">
        <f t="array" ref="G274">_xlfn.TEXTJOIN("; ",TRUE,_xlfn.UNIQUE(_xlfn._xlws.FILTER('Product Variant Attribute'!$F$2:$F$3000,('Product Variant Attribute'!$B$2:$B$3000=$A274)*('Product Variant Attribute'!$D$2:$D$3000=$D274),"")))</f>
        <v>Túi</v>
      </c>
      <c r="H274" s="39"/>
      <c r="I274" s="39"/>
      <c r="J274" s="39" t="str" cm="1">
        <f t="array" ref="J274">IF($I274="","",_xlfn.TEXTJOIN("; ",TRUE,_xlfn.UNIQUE(_xlfn._xlws.FILTER($A$2:$A$3000,($C$2:$C$3000=$C274)*($E$2:$E$3000=$E274)*($G$2:$G$3000&lt;&gt;$G274)*($G$2:$G$3000&lt;&gt;""),""))))</f>
        <v/>
      </c>
    </row>
    <row r="275" spans="1:10" ht="30" x14ac:dyDescent="0.25">
      <c r="A275" s="23" t="s">
        <v>661</v>
      </c>
      <c r="B275" s="37" t="str">
        <f>INDEX(Product!$B:$B,MATCH($A275,Product!$A:$A,0))</f>
        <v>[Ostomy Care] Đế rời túi hậu môn nhân tạo 2 mảnh viền vải không dệt</v>
      </c>
      <c r="C275" s="37" t="str">
        <f>INDEX(Product!$D:$D,MATCH($A275,Product!$A:$A,0))</f>
        <v>Đế hậu môn nhân tạo</v>
      </c>
      <c r="D275" s="23" t="s">
        <v>2367</v>
      </c>
      <c r="E275" s="37" t="str">
        <f>INDEX('Attribute Definition'!$B:$B,MATCH($D275,'Attribute Definition'!$A:$A,0))</f>
        <v>Chất liệu</v>
      </c>
      <c r="F275" s="38" t="s">
        <v>2657</v>
      </c>
      <c r="G275" s="39" t="str" cm="1">
        <f t="array" ref="G275">_xlfn.TEXTJOIN("; ",TRUE,_xlfn.UNIQUE(_xlfn._xlws.FILTER('Product Variant Attribute'!$F$2:$F$3000,('Product Variant Attribute'!$B$2:$B$3000=$A275)*('Product Variant Attribute'!$D$2:$D$3000=$D275),"")))</f>
        <v>Hydrocolloid, Vải không dệt</v>
      </c>
      <c r="H275" s="39"/>
      <c r="I275" s="39" t="s">
        <v>2734</v>
      </c>
      <c r="J275" s="39" t="str" cm="1">
        <f t="array" ref="J275">IF($I275="","",_xlfn.TEXTJOIN("; ",TRUE,_xlfn.UNIQUE(_xlfn._xlws.FILTER($A$2:$A$3000,($C$2:$C$3000=$C275)*($E$2:$E$3000=$E275)*($G$2:$G$3000&lt;&gt;$G275)*($G$2:$G$3000&lt;&gt;""),""))))</f>
        <v>PRODUCT-00104</v>
      </c>
    </row>
    <row r="276" spans="1:10" ht="30" x14ac:dyDescent="0.25">
      <c r="A276" s="23" t="s">
        <v>661</v>
      </c>
      <c r="B276" s="37" t="str">
        <f>INDEX(Product!$B:$B,MATCH($A276,Product!$A:$A,0))</f>
        <v>[Ostomy Care] Đế rời túi hậu môn nhân tạo 2 mảnh viền vải không dệt</v>
      </c>
      <c r="C276" s="37" t="str">
        <f>INDEX(Product!$D:$D,MATCH($A276,Product!$A:$A,0))</f>
        <v>Đế hậu môn nhân tạo</v>
      </c>
      <c r="D276" s="23" t="s">
        <v>2391</v>
      </c>
      <c r="E276" s="37" t="str">
        <f>INDEX('Attribute Definition'!$B:$B,MATCH($D276,'Attribute Definition'!$A:$A,0))</f>
        <v>Kiểu viền</v>
      </c>
      <c r="F276" s="38" t="s">
        <v>2657</v>
      </c>
      <c r="G276" s="39" t="str" cm="1">
        <f t="array" ref="G276">_xlfn.TEXTJOIN("; ",TRUE,_xlfn.UNIQUE(_xlfn._xlws.FILTER('Product Variant Attribute'!$F$2:$F$3000,('Product Variant Attribute'!$B$2:$B$3000=$A276)*('Product Variant Attribute'!$D$2:$D$3000=$D276),"")))</f>
        <v>Viền vải không dệt</v>
      </c>
      <c r="H276" s="39"/>
      <c r="I276" s="39" t="s">
        <v>2735</v>
      </c>
      <c r="J276" s="39" t="str" cm="1">
        <f t="array" ref="J276">IF($I276="","",_xlfn.TEXTJOIN("; ",TRUE,_xlfn.UNIQUE(_xlfn._xlws.FILTER($A$2:$A$3000,($C$2:$C$3000=$C276)*($E$2:$E$3000=$E276)*($G$2:$G$3000&lt;&gt;$G276)*($G$2:$G$3000&lt;&gt;""),""))))</f>
        <v>PRODUCT-00104</v>
      </c>
    </row>
    <row r="277" spans="1:10" x14ac:dyDescent="0.25">
      <c r="A277" s="23" t="s">
        <v>661</v>
      </c>
      <c r="B277" s="37" t="str">
        <f>INDEX(Product!$B:$B,MATCH($A277,Product!$A:$A,0))</f>
        <v>[Ostomy Care] Đế rời túi hậu môn nhân tạo 2 mảnh viền vải không dệt</v>
      </c>
      <c r="C277" s="37" t="str">
        <f>INDEX(Product!$D:$D,MATCH($A277,Product!$A:$A,0))</f>
        <v>Đế hậu môn nhân tạo</v>
      </c>
      <c r="D277" s="23" t="s">
        <v>2397</v>
      </c>
      <c r="E277" s="37" t="str">
        <f>INDEX('Attribute Definition'!$B:$B,MATCH($D277,'Attribute Definition'!$A:$A,0))</f>
        <v>Hệ thống HMNT</v>
      </c>
      <c r="F277" s="38" t="s">
        <v>2657</v>
      </c>
      <c r="G277" s="39" t="str" cm="1">
        <f t="array" ref="G277">_xlfn.TEXTJOIN("; ",TRUE,_xlfn.UNIQUE(_xlfn._xlws.FILTER('Product Variant Attribute'!$F$2:$F$3000,('Product Variant Attribute'!$B$2:$B$3000=$A277)*('Product Variant Attribute'!$D$2:$D$3000=$D277),"")))</f>
        <v>2 mảnh</v>
      </c>
      <c r="H277" s="39"/>
      <c r="I277" s="39"/>
      <c r="J277" s="39" t="str" cm="1">
        <f t="array" ref="J277">IF($I277="","",_xlfn.TEXTJOIN("; ",TRUE,_xlfn.UNIQUE(_xlfn._xlws.FILTER($A$2:$A$3000,($C$2:$C$3000=$C277)*($E$2:$E$3000=$E277)*($G$2:$G$3000&lt;&gt;$G277)*($G$2:$G$3000&lt;&gt;""),""))))</f>
        <v/>
      </c>
    </row>
    <row r="278" spans="1:10" x14ac:dyDescent="0.25">
      <c r="A278" s="23" t="s">
        <v>661</v>
      </c>
      <c r="B278" s="37" t="str">
        <f>INDEX(Product!$B:$B,MATCH($A278,Product!$A:$A,0))</f>
        <v>[Ostomy Care] Đế rời túi hậu môn nhân tạo 2 mảnh viền vải không dệt</v>
      </c>
      <c r="C278" s="37" t="str">
        <f>INDEX(Product!$D:$D,MATCH($A278,Product!$A:$A,0))</f>
        <v>Đế hậu môn nhân tạo</v>
      </c>
      <c r="D278" s="23" t="s">
        <v>2471</v>
      </c>
      <c r="E278" s="37" t="str">
        <f>INDEX('Attribute Definition'!$B:$B,MATCH($D278,'Attribute Definition'!$A:$A,0))</f>
        <v>Dạng sản phẩm</v>
      </c>
      <c r="F278" s="38" t="s">
        <v>2657</v>
      </c>
      <c r="G278" s="39" t="str" cm="1">
        <f t="array" ref="G278">_xlfn.TEXTJOIN("; ",TRUE,_xlfn.UNIQUE(_xlfn._xlws.FILTER('Product Variant Attribute'!$F$2:$F$3000,('Product Variant Attribute'!$B$2:$B$3000=$A278)*('Product Variant Attribute'!$D$2:$D$3000=$D278),"")))</f>
        <v>Đế</v>
      </c>
      <c r="H278" s="39"/>
      <c r="I278" s="39"/>
      <c r="J278" s="39" t="str" cm="1">
        <f t="array" ref="J278">IF($I278="","",_xlfn.TEXTJOIN("; ",TRUE,_xlfn.UNIQUE(_xlfn._xlws.FILTER($A$2:$A$3000,($C$2:$C$3000=$C278)*($E$2:$E$3000=$E278)*($G$2:$G$3000&lt;&gt;$G278)*($G$2:$G$3000&lt;&gt;""),""))))</f>
        <v/>
      </c>
    </row>
    <row r="279" spans="1:10" ht="75" x14ac:dyDescent="0.25">
      <c r="A279" s="23" t="s">
        <v>662</v>
      </c>
      <c r="B279" s="37" t="str">
        <f>INDEX(Product!$B:$B,MATCH($A279,Product!$A:$A,0))</f>
        <v>[Mepro] Bộ túi hậu môn nhân tạo 2 mảnh - Khóa cuộn</v>
      </c>
      <c r="C279" s="37" t="str">
        <f>INDEX(Product!$D:$D,MATCH($A279,Product!$A:$A,0))</f>
        <v>Túi hậu môn nhân tạo</v>
      </c>
      <c r="D279" s="23" t="s">
        <v>2397</v>
      </c>
      <c r="E279" s="37" t="str">
        <f>INDEX('Attribute Definition'!$B:$B,MATCH($D279,'Attribute Definition'!$A:$A,0))</f>
        <v>Hệ thống HMNT</v>
      </c>
      <c r="F279" s="38" t="s">
        <v>2657</v>
      </c>
      <c r="G279" s="39" t="str" cm="1">
        <f t="array" ref="G279">_xlfn.TEXTJOIN("; ",TRUE,_xlfn.UNIQUE(_xlfn._xlws.FILTER('Product Variant Attribute'!$F$2:$F$3000,('Product Variant Attribute'!$B$2:$B$3000=$A279)*('Product Variant Attribute'!$D$2:$D$3000=$D279),"")))</f>
        <v>2 mảnh</v>
      </c>
      <c r="H279" s="39"/>
      <c r="I279" s="39" t="s">
        <v>2736</v>
      </c>
      <c r="J279" s="39" t="str" cm="1">
        <f t="array" ref="J279">IF($I279="","",_xlfn.TEXTJOIN("; ",TRUE,_xlfn.UNIQUE(_xlfn._xlws.FILTER($A$2:$A$3000,($C$2:$C$3000=$C279)*($E$2:$E$3000=$E279)*($G$2:$G$3000&lt;&gt;$G279)*($G$2:$G$3000&lt;&gt;""),""))))</f>
        <v>PRODUCT-00074; PRODUCT-00075; PRODUCT-00076; PRODUCT-00077; PRODUCT-00086; PRODUCT-00087; PRODUCT-00088; PRODUCT-00089; PRODUCT-00093</v>
      </c>
    </row>
    <row r="280" spans="1:10" ht="60" x14ac:dyDescent="0.25">
      <c r="A280" s="23" t="s">
        <v>662</v>
      </c>
      <c r="B280" s="37" t="str">
        <f>INDEX(Product!$B:$B,MATCH($A280,Product!$A:$A,0))</f>
        <v>[Mepro] Bộ túi hậu môn nhân tạo 2 mảnh - Khóa cuộn</v>
      </c>
      <c r="C280" s="37" t="str">
        <f>INDEX(Product!$D:$D,MATCH($A280,Product!$A:$A,0))</f>
        <v>Túi hậu môn nhân tạo</v>
      </c>
      <c r="D280" s="23" t="s">
        <v>2401</v>
      </c>
      <c r="E280" s="37" t="str">
        <f>INDEX('Attribute Definition'!$B:$B,MATCH($D280,'Attribute Definition'!$A:$A,0))</f>
        <v>Kiểu khóa / xả</v>
      </c>
      <c r="F280" s="38" t="s">
        <v>2657</v>
      </c>
      <c r="G280" s="39" t="str" cm="1">
        <f t="array" ref="G280">_xlfn.TEXTJOIN("; ",TRUE,_xlfn.UNIQUE(_xlfn._xlws.FILTER('Product Variant Attribute'!$F$2:$F$3000,('Product Variant Attribute'!$B$2:$B$3000=$A280)*('Product Variant Attribute'!$D$2:$D$3000=$D280),"")))</f>
        <v>Khóa cuộn</v>
      </c>
      <c r="H280" s="39"/>
      <c r="I280" s="39" t="s">
        <v>2737</v>
      </c>
      <c r="J280" s="39" t="str" cm="1">
        <f t="array" ref="J280">IF($I280="","",_xlfn.TEXTJOIN("; ",TRUE,_xlfn.UNIQUE(_xlfn._xlws.FILTER($A$2:$A$3000,($C$2:$C$3000=$C280)*($E$2:$E$3000=$E280)*($G$2:$G$3000&lt;&gt;$G280)*($G$2:$G$3000&lt;&gt;""),""))))</f>
        <v>PRODUCT-00086; PRODUCT-00088; PRODUCT-00089; PRODUCT-00095; PRODUCT-00099; PRODUCT-00102; PRODUCT-00108</v>
      </c>
    </row>
    <row r="281" spans="1:10" x14ac:dyDescent="0.25">
      <c r="A281" s="23" t="s">
        <v>662</v>
      </c>
      <c r="B281" s="37" t="str">
        <f>INDEX(Product!$B:$B,MATCH($A281,Product!$A:$A,0))</f>
        <v>[Mepro] Bộ túi hậu môn nhân tạo 2 mảnh - Khóa cuộn</v>
      </c>
      <c r="C281" s="37" t="str">
        <f>INDEX(Product!$D:$D,MATCH($A281,Product!$A:$A,0))</f>
        <v>Túi hậu môn nhân tạo</v>
      </c>
      <c r="D281" s="23" t="s">
        <v>2471</v>
      </c>
      <c r="E281" s="37" t="str">
        <f>INDEX('Attribute Definition'!$B:$B,MATCH($D281,'Attribute Definition'!$A:$A,0))</f>
        <v>Dạng sản phẩm</v>
      </c>
      <c r="F281" s="38" t="s">
        <v>2657</v>
      </c>
      <c r="G281" s="39" t="str" cm="1">
        <f t="array" ref="G281">_xlfn.TEXTJOIN("; ",TRUE,_xlfn.UNIQUE(_xlfn._xlws.FILTER('Product Variant Attribute'!$F$2:$F$3000,('Product Variant Attribute'!$B$2:$B$3000=$A281)*('Product Variant Attribute'!$D$2:$D$3000=$D281),"")))</f>
        <v>Túi</v>
      </c>
      <c r="H281" s="39"/>
      <c r="I281" s="39"/>
      <c r="J281" s="39" t="str" cm="1">
        <f t="array" ref="J281">IF($I281="","",_xlfn.TEXTJOIN("; ",TRUE,_xlfn.UNIQUE(_xlfn._xlws.FILTER($A$2:$A$3000,($C$2:$C$3000=$C281)*($E$2:$E$3000=$E281)*($G$2:$G$3000&lt;&gt;$G281)*($G$2:$G$3000&lt;&gt;""),""))))</f>
        <v/>
      </c>
    </row>
    <row r="282" spans="1:10" ht="75" x14ac:dyDescent="0.25">
      <c r="A282" s="23" t="s">
        <v>663</v>
      </c>
      <c r="B282" s="37" t="str">
        <f>INDEX(Product!$B:$B,MATCH($A282,Product!$A:$A,0))</f>
        <v>[Mepro] Túi hậu môn nhân tạo 2 mảnh - Kẹp rời</v>
      </c>
      <c r="C282" s="37" t="str">
        <f>INDEX(Product!$D:$D,MATCH($A282,Product!$A:$A,0))</f>
        <v>Túi hậu môn nhân tạo</v>
      </c>
      <c r="D282" s="23" t="s">
        <v>2397</v>
      </c>
      <c r="E282" s="37" t="str">
        <f>INDEX('Attribute Definition'!$B:$B,MATCH($D282,'Attribute Definition'!$A:$A,0))</f>
        <v>Hệ thống HMNT</v>
      </c>
      <c r="F282" s="38" t="s">
        <v>2657</v>
      </c>
      <c r="G282" s="39" t="str" cm="1">
        <f t="array" ref="G282">_xlfn.TEXTJOIN("; ",TRUE,_xlfn.UNIQUE(_xlfn._xlws.FILTER('Product Variant Attribute'!$F$2:$F$3000,('Product Variant Attribute'!$B$2:$B$3000=$A282)*('Product Variant Attribute'!$D$2:$D$3000=$D282),"")))</f>
        <v>2 mảnh</v>
      </c>
      <c r="H282" s="39"/>
      <c r="I282" s="39" t="s">
        <v>2736</v>
      </c>
      <c r="J282" s="39" t="str" cm="1">
        <f t="array" ref="J282">IF($I282="","",_xlfn.TEXTJOIN("; ",TRUE,_xlfn.UNIQUE(_xlfn._xlws.FILTER($A$2:$A$3000,($C$2:$C$3000=$C282)*($E$2:$E$3000=$E282)*($G$2:$G$3000&lt;&gt;$G282)*($G$2:$G$3000&lt;&gt;""),""))))</f>
        <v>PRODUCT-00074; PRODUCT-00075; PRODUCT-00076; PRODUCT-00077; PRODUCT-00086; PRODUCT-00087; PRODUCT-00088; PRODUCT-00089; PRODUCT-00093</v>
      </c>
    </row>
    <row r="283" spans="1:10" ht="60" x14ac:dyDescent="0.25">
      <c r="A283" s="23" t="s">
        <v>663</v>
      </c>
      <c r="B283" s="37" t="str">
        <f>INDEX(Product!$B:$B,MATCH($A283,Product!$A:$A,0))</f>
        <v>[Mepro] Túi hậu môn nhân tạo 2 mảnh - Kẹp rời</v>
      </c>
      <c r="C283" s="37" t="str">
        <f>INDEX(Product!$D:$D,MATCH($A283,Product!$A:$A,0))</f>
        <v>Túi hậu môn nhân tạo</v>
      </c>
      <c r="D283" s="23" t="s">
        <v>2401</v>
      </c>
      <c r="E283" s="37" t="str">
        <f>INDEX('Attribute Definition'!$B:$B,MATCH($D283,'Attribute Definition'!$A:$A,0))</f>
        <v>Kiểu khóa / xả</v>
      </c>
      <c r="F283" s="38" t="s">
        <v>2657</v>
      </c>
      <c r="G283" s="39" t="str" cm="1">
        <f t="array" ref="G283">_xlfn.TEXTJOIN("; ",TRUE,_xlfn.UNIQUE(_xlfn._xlws.FILTER('Product Variant Attribute'!$F$2:$F$3000,('Product Variant Attribute'!$B$2:$B$3000=$A283)*('Product Variant Attribute'!$D$2:$D$3000=$D283),"")))</f>
        <v>Kẹp rời</v>
      </c>
      <c r="H283" s="39"/>
      <c r="I283" s="39" t="s">
        <v>2730</v>
      </c>
      <c r="J283" s="39" t="str" cm="1">
        <f t="array" ref="J283">IF($I283="","",_xlfn.TEXTJOIN("; ",TRUE,_xlfn.UNIQUE(_xlfn._xlws.FILTER($A$2:$A$3000,($C$2:$C$3000=$C283)*($E$2:$E$3000=$E283)*($G$2:$G$3000&lt;&gt;$G283)*($G$2:$G$3000&lt;&gt;""),""))))</f>
        <v>PRODUCT-00088; PRODUCT-00089; PRODUCT-00096; PRODUCT-00101; PRODUCT-00103; PRODUCT-00107; PRODUCT-00108</v>
      </c>
    </row>
    <row r="284" spans="1:10" x14ac:dyDescent="0.25">
      <c r="A284" s="23" t="s">
        <v>663</v>
      </c>
      <c r="B284" s="37" t="str">
        <f>INDEX(Product!$B:$B,MATCH($A284,Product!$A:$A,0))</f>
        <v>[Mepro] Túi hậu môn nhân tạo 2 mảnh - Kẹp rời</v>
      </c>
      <c r="C284" s="37" t="str">
        <f>INDEX(Product!$D:$D,MATCH($A284,Product!$A:$A,0))</f>
        <v>Túi hậu môn nhân tạo</v>
      </c>
      <c r="D284" s="23" t="s">
        <v>2471</v>
      </c>
      <c r="E284" s="37" t="str">
        <f>INDEX('Attribute Definition'!$B:$B,MATCH($D284,'Attribute Definition'!$A:$A,0))</f>
        <v>Dạng sản phẩm</v>
      </c>
      <c r="F284" s="38" t="s">
        <v>2657</v>
      </c>
      <c r="G284" s="39" t="str" cm="1">
        <f t="array" ref="G284">_xlfn.TEXTJOIN("; ",TRUE,_xlfn.UNIQUE(_xlfn._xlws.FILTER('Product Variant Attribute'!$F$2:$F$3000,('Product Variant Attribute'!$B$2:$B$3000=$A284)*('Product Variant Attribute'!$D$2:$D$3000=$D284),"")))</f>
        <v>Túi</v>
      </c>
      <c r="H284" s="39"/>
      <c r="I284" s="39"/>
      <c r="J284" s="39" t="str" cm="1">
        <f t="array" ref="J284">IF($I284="","",_xlfn.TEXTJOIN("; ",TRUE,_xlfn.UNIQUE(_xlfn._xlws.FILTER($A$2:$A$3000,($C$2:$C$3000=$C284)*($E$2:$E$3000=$E284)*($G$2:$G$3000&lt;&gt;$G284)*($G$2:$G$3000&lt;&gt;""),""))))</f>
        <v/>
      </c>
    </row>
    <row r="285" spans="1:10" ht="75" x14ac:dyDescent="0.25">
      <c r="A285" s="23" t="s">
        <v>664</v>
      </c>
      <c r="B285" s="37" t="str">
        <f>INDEX(Product!$B:$B,MATCH($A285,Product!$A:$A,0))</f>
        <v>[Mepro] Túi hậu môn nhân tạo 2 mảnh - Khóa cuộn</v>
      </c>
      <c r="C285" s="37" t="str">
        <f>INDEX(Product!$D:$D,MATCH($A285,Product!$A:$A,0))</f>
        <v>Túi hậu môn nhân tạo</v>
      </c>
      <c r="D285" s="23" t="s">
        <v>2397</v>
      </c>
      <c r="E285" s="37" t="str">
        <f>INDEX('Attribute Definition'!$B:$B,MATCH($D285,'Attribute Definition'!$A:$A,0))</f>
        <v>Hệ thống HMNT</v>
      </c>
      <c r="F285" s="38" t="s">
        <v>2657</v>
      </c>
      <c r="G285" s="39" t="str" cm="1">
        <f t="array" ref="G285">_xlfn.TEXTJOIN("; ",TRUE,_xlfn.UNIQUE(_xlfn._xlws.FILTER('Product Variant Attribute'!$F$2:$F$3000,('Product Variant Attribute'!$B$2:$B$3000=$A285)*('Product Variant Attribute'!$D$2:$D$3000=$D285),"")))</f>
        <v>2 mảnh</v>
      </c>
      <c r="H285" s="39"/>
      <c r="I285" s="39" t="s">
        <v>2736</v>
      </c>
      <c r="J285" s="39" t="str" cm="1">
        <f t="array" ref="J285">IF($I285="","",_xlfn.TEXTJOIN("; ",TRUE,_xlfn.UNIQUE(_xlfn._xlws.FILTER($A$2:$A$3000,($C$2:$C$3000=$C285)*($E$2:$E$3000=$E285)*($G$2:$G$3000&lt;&gt;$G285)*($G$2:$G$3000&lt;&gt;""),""))))</f>
        <v>PRODUCT-00074; PRODUCT-00075; PRODUCT-00076; PRODUCT-00077; PRODUCT-00086; PRODUCT-00087; PRODUCT-00088; PRODUCT-00089; PRODUCT-00093</v>
      </c>
    </row>
    <row r="286" spans="1:10" ht="60" x14ac:dyDescent="0.25">
      <c r="A286" s="23" t="s">
        <v>664</v>
      </c>
      <c r="B286" s="37" t="str">
        <f>INDEX(Product!$B:$B,MATCH($A286,Product!$A:$A,0))</f>
        <v>[Mepro] Túi hậu môn nhân tạo 2 mảnh - Khóa cuộn</v>
      </c>
      <c r="C286" s="37" t="str">
        <f>INDEX(Product!$D:$D,MATCH($A286,Product!$A:$A,0))</f>
        <v>Túi hậu môn nhân tạo</v>
      </c>
      <c r="D286" s="23" t="s">
        <v>2401</v>
      </c>
      <c r="E286" s="37" t="str">
        <f>INDEX('Attribute Definition'!$B:$B,MATCH($D286,'Attribute Definition'!$A:$A,0))</f>
        <v>Kiểu khóa / xả</v>
      </c>
      <c r="F286" s="38" t="s">
        <v>2657</v>
      </c>
      <c r="G286" s="39" t="str" cm="1">
        <f t="array" ref="G286">_xlfn.TEXTJOIN("; ",TRUE,_xlfn.UNIQUE(_xlfn._xlws.FILTER('Product Variant Attribute'!$F$2:$F$3000,('Product Variant Attribute'!$B$2:$B$3000=$A286)*('Product Variant Attribute'!$D$2:$D$3000=$D286),"")))</f>
        <v>Khóa cuộn</v>
      </c>
      <c r="H286" s="39"/>
      <c r="I286" s="39" t="s">
        <v>2737</v>
      </c>
      <c r="J286" s="39" t="str" cm="1">
        <f t="array" ref="J286">IF($I286="","",_xlfn.TEXTJOIN("; ",TRUE,_xlfn.UNIQUE(_xlfn._xlws.FILTER($A$2:$A$3000,($C$2:$C$3000=$C286)*($E$2:$E$3000=$E286)*($G$2:$G$3000&lt;&gt;$G286)*($G$2:$G$3000&lt;&gt;""),""))))</f>
        <v>PRODUCT-00086; PRODUCT-00088; PRODUCT-00089; PRODUCT-00095; PRODUCT-00099; PRODUCT-00102; PRODUCT-00108</v>
      </c>
    </row>
    <row r="287" spans="1:10" x14ac:dyDescent="0.25">
      <c r="A287" s="23" t="s">
        <v>664</v>
      </c>
      <c r="B287" s="37" t="str">
        <f>INDEX(Product!$B:$B,MATCH($A287,Product!$A:$A,0))</f>
        <v>[Mepro] Túi hậu môn nhân tạo 2 mảnh - Khóa cuộn</v>
      </c>
      <c r="C287" s="37" t="str">
        <f>INDEX(Product!$D:$D,MATCH($A287,Product!$A:$A,0))</f>
        <v>Túi hậu môn nhân tạo</v>
      </c>
      <c r="D287" s="23" t="s">
        <v>2471</v>
      </c>
      <c r="E287" s="37" t="str">
        <f>INDEX('Attribute Definition'!$B:$B,MATCH($D287,'Attribute Definition'!$A:$A,0))</f>
        <v>Dạng sản phẩm</v>
      </c>
      <c r="F287" s="38" t="s">
        <v>2657</v>
      </c>
      <c r="G287" s="39" t="str" cm="1">
        <f t="array" ref="G287">_xlfn.TEXTJOIN("; ",TRUE,_xlfn.UNIQUE(_xlfn._xlws.FILTER('Product Variant Attribute'!$F$2:$F$3000,('Product Variant Attribute'!$B$2:$B$3000=$A287)*('Product Variant Attribute'!$D$2:$D$3000=$D287),"")))</f>
        <v>Túi</v>
      </c>
      <c r="H287" s="39"/>
      <c r="I287" s="39"/>
      <c r="J287" s="39" t="str" cm="1">
        <f t="array" ref="J287">IF($I287="","",_xlfn.TEXTJOIN("; ",TRUE,_xlfn.UNIQUE(_xlfn._xlws.FILTER($A$2:$A$3000,($C$2:$C$3000=$C287)*($E$2:$E$3000=$E287)*($G$2:$G$3000&lt;&gt;$G287)*($G$2:$G$3000&lt;&gt;""),""))))</f>
        <v/>
      </c>
    </row>
    <row r="288" spans="1:10" ht="30" x14ac:dyDescent="0.25">
      <c r="A288" s="23" t="s">
        <v>665</v>
      </c>
      <c r="B288" s="37" t="str">
        <f>INDEX(Product!$B:$B,MATCH($A288,Product!$A:$A,0))</f>
        <v>[SeaSight] Đế rời túi hậu môn nhân tạo 2 mảnh không viền vải</v>
      </c>
      <c r="C288" s="37" t="str">
        <f>INDEX(Product!$D:$D,MATCH($A288,Product!$A:$A,0))</f>
        <v>Đế hậu môn nhân tạo</v>
      </c>
      <c r="D288" s="23" t="s">
        <v>2367</v>
      </c>
      <c r="E288" s="37" t="str">
        <f>INDEX('Attribute Definition'!$B:$B,MATCH($D288,'Attribute Definition'!$A:$A,0))</f>
        <v>Chất liệu</v>
      </c>
      <c r="F288" s="38" t="s">
        <v>2657</v>
      </c>
      <c r="G288" s="39" t="str" cm="1">
        <f t="array" ref="G288">_xlfn.TEXTJOIN("; ",TRUE,_xlfn.UNIQUE(_xlfn._xlws.FILTER('Product Variant Attribute'!$F$2:$F$3000,('Product Variant Attribute'!$B$2:$B$3000=$A288)*('Product Variant Attribute'!$D$2:$D$3000=$D288),"")))</f>
        <v>Hydrocolloid</v>
      </c>
      <c r="H288" s="39"/>
      <c r="I288" s="39" t="s">
        <v>2738</v>
      </c>
      <c r="J288" s="39" t="str" cm="1">
        <f t="array" ref="J288">IF($I288="","",_xlfn.TEXTJOIN("; ",TRUE,_xlfn.UNIQUE(_xlfn._xlws.FILTER($A$2:$A$3000,($C$2:$C$3000=$C288)*($E$2:$E$3000=$E288)*($G$2:$G$3000&lt;&gt;$G288)*($G$2:$G$3000&lt;&gt;""),""))))</f>
        <v>PRODUCT-00094; PRODUCT-00100</v>
      </c>
    </row>
    <row r="289" spans="1:10" ht="30" x14ac:dyDescent="0.25">
      <c r="A289" s="23" t="s">
        <v>665</v>
      </c>
      <c r="B289" s="37" t="str">
        <f>INDEX(Product!$B:$B,MATCH($A289,Product!$A:$A,0))</f>
        <v>[SeaSight] Đế rời túi hậu môn nhân tạo 2 mảnh không viền vải</v>
      </c>
      <c r="C289" s="37" t="str">
        <f>INDEX(Product!$D:$D,MATCH($A289,Product!$A:$A,0))</f>
        <v>Đế hậu môn nhân tạo</v>
      </c>
      <c r="D289" s="23" t="s">
        <v>2391</v>
      </c>
      <c r="E289" s="37" t="str">
        <f>INDEX('Attribute Definition'!$B:$B,MATCH($D289,'Attribute Definition'!$A:$A,0))</f>
        <v>Kiểu viền</v>
      </c>
      <c r="F289" s="38" t="s">
        <v>2657</v>
      </c>
      <c r="G289" s="39" t="str" cm="1">
        <f t="array" ref="G289">_xlfn.TEXTJOIN("; ",TRUE,_xlfn.UNIQUE(_xlfn._xlws.FILTER('Product Variant Attribute'!$F$2:$F$3000,('Product Variant Attribute'!$B$2:$B$3000=$A289)*('Product Variant Attribute'!$D$2:$D$3000=$D289),"")))</f>
        <v>Không viền vải</v>
      </c>
      <c r="H289" s="39"/>
      <c r="I289" s="39" t="s">
        <v>2739</v>
      </c>
      <c r="J289" s="39" t="str" cm="1">
        <f t="array" ref="J289">IF($I289="","",_xlfn.TEXTJOIN("; ",TRUE,_xlfn.UNIQUE(_xlfn._xlws.FILTER($A$2:$A$3000,($C$2:$C$3000=$C289)*($E$2:$E$3000=$E289)*($G$2:$G$3000&lt;&gt;$G289)*($G$2:$G$3000&lt;&gt;""),""))))</f>
        <v>PRODUCT-00094; PRODUCT-00100</v>
      </c>
    </row>
    <row r="290" spans="1:10" x14ac:dyDescent="0.25">
      <c r="A290" s="23" t="s">
        <v>665</v>
      </c>
      <c r="B290" s="37" t="str">
        <f>INDEX(Product!$B:$B,MATCH($A290,Product!$A:$A,0))</f>
        <v>[SeaSight] Đế rời túi hậu môn nhân tạo 2 mảnh không viền vải</v>
      </c>
      <c r="C290" s="37" t="str">
        <f>INDEX(Product!$D:$D,MATCH($A290,Product!$A:$A,0))</f>
        <v>Đế hậu môn nhân tạo</v>
      </c>
      <c r="D290" s="23" t="s">
        <v>2397</v>
      </c>
      <c r="E290" s="37" t="str">
        <f>INDEX('Attribute Definition'!$B:$B,MATCH($D290,'Attribute Definition'!$A:$A,0))</f>
        <v>Hệ thống HMNT</v>
      </c>
      <c r="F290" s="38" t="s">
        <v>2657</v>
      </c>
      <c r="G290" s="39" t="str" cm="1">
        <f t="array" ref="G290">_xlfn.TEXTJOIN("; ",TRUE,_xlfn.UNIQUE(_xlfn._xlws.FILTER('Product Variant Attribute'!$F$2:$F$3000,('Product Variant Attribute'!$B$2:$B$3000=$A290)*('Product Variant Attribute'!$D$2:$D$3000=$D290),"")))</f>
        <v>2 mảnh</v>
      </c>
      <c r="H290" s="39"/>
      <c r="I290" s="39"/>
      <c r="J290" s="39" t="str" cm="1">
        <f t="array" ref="J290">IF($I290="","",_xlfn.TEXTJOIN("; ",TRUE,_xlfn.UNIQUE(_xlfn._xlws.FILTER($A$2:$A$3000,($C$2:$C$3000=$C290)*($E$2:$E$3000=$E290)*($G$2:$G$3000&lt;&gt;$G290)*($G$2:$G$3000&lt;&gt;""),""))))</f>
        <v/>
      </c>
    </row>
    <row r="291" spans="1:10" x14ac:dyDescent="0.25">
      <c r="A291" s="23" t="s">
        <v>665</v>
      </c>
      <c r="B291" s="37" t="str">
        <f>INDEX(Product!$B:$B,MATCH($A291,Product!$A:$A,0))</f>
        <v>[SeaSight] Đế rời túi hậu môn nhân tạo 2 mảnh không viền vải</v>
      </c>
      <c r="C291" s="37" t="str">
        <f>INDEX(Product!$D:$D,MATCH($A291,Product!$A:$A,0))</f>
        <v>Đế hậu môn nhân tạo</v>
      </c>
      <c r="D291" s="23" t="s">
        <v>2471</v>
      </c>
      <c r="E291" s="37" t="str">
        <f>INDEX('Attribute Definition'!$B:$B,MATCH($D291,'Attribute Definition'!$A:$A,0))</f>
        <v>Dạng sản phẩm</v>
      </c>
      <c r="F291" s="38" t="s">
        <v>2657</v>
      </c>
      <c r="G291" s="39" t="str" cm="1">
        <f t="array" ref="G291">_xlfn.TEXTJOIN("; ",TRUE,_xlfn.UNIQUE(_xlfn._xlws.FILTER('Product Variant Attribute'!$F$2:$F$3000,('Product Variant Attribute'!$B$2:$B$3000=$A291)*('Product Variant Attribute'!$D$2:$D$3000=$D291),"")))</f>
        <v>Đế</v>
      </c>
      <c r="H291" s="39"/>
      <c r="I291" s="39"/>
      <c r="J291" s="39" t="str" cm="1">
        <f t="array" ref="J291">IF($I291="","",_xlfn.TEXTJOIN("; ",TRUE,_xlfn.UNIQUE(_xlfn._xlws.FILTER($A$2:$A$3000,($C$2:$C$3000=$C291)*($E$2:$E$3000=$E291)*($G$2:$G$3000&lt;&gt;$G291)*($G$2:$G$3000&lt;&gt;""),""))))</f>
        <v/>
      </c>
    </row>
    <row r="292" spans="1:10" x14ac:dyDescent="0.25">
      <c r="A292" s="23" t="s">
        <v>666</v>
      </c>
      <c r="B292" s="37" t="str">
        <f>INDEX(Product!$B:$B,MATCH($A292,Product!$A:$A,0))</f>
        <v>[SeaSight] Túi nước tiểu nhân tạo 1 mảnh</v>
      </c>
      <c r="C292" s="37" t="str">
        <f>INDEX(Product!$D:$D,MATCH($A292,Product!$A:$A,0))</f>
        <v>Túi nước tiểu nhân tạo</v>
      </c>
      <c r="D292" s="23" t="s">
        <v>2397</v>
      </c>
      <c r="E292" s="37" t="str">
        <f>INDEX('Attribute Definition'!$B:$B,MATCH($D292,'Attribute Definition'!$A:$A,0))</f>
        <v>Hệ thống HMNT</v>
      </c>
      <c r="F292" s="38" t="s">
        <v>2657</v>
      </c>
      <c r="G292" s="39" t="str" cm="1">
        <f t="array" ref="G292">_xlfn.TEXTJOIN("; ",TRUE,_xlfn.UNIQUE(_xlfn._xlws.FILTER('Product Variant Attribute'!$F$2:$F$3000,('Product Variant Attribute'!$B$2:$B$3000=$A292)*('Product Variant Attribute'!$D$2:$D$3000=$D292),"")))</f>
        <v>1 mảnh</v>
      </c>
      <c r="H292" s="39"/>
      <c r="I292" s="39"/>
      <c r="J292" s="39" t="str" cm="1">
        <f t="array" ref="J292">IF($I292="","",_xlfn.TEXTJOIN("; ",TRUE,_xlfn.UNIQUE(_xlfn._xlws.FILTER($A$2:$A$3000,($C$2:$C$3000=$C292)*($E$2:$E$3000=$E292)*($G$2:$G$3000&lt;&gt;$G292)*($G$2:$G$3000&lt;&gt;""),""))))</f>
        <v/>
      </c>
    </row>
    <row r="293" spans="1:10" x14ac:dyDescent="0.25">
      <c r="A293" s="23" t="s">
        <v>666</v>
      </c>
      <c r="B293" s="37" t="str">
        <f>INDEX(Product!$B:$B,MATCH($A293,Product!$A:$A,0))</f>
        <v>[SeaSight] Túi nước tiểu nhân tạo 1 mảnh</v>
      </c>
      <c r="C293" s="37" t="str">
        <f>INDEX(Product!$D:$D,MATCH($A293,Product!$A:$A,0))</f>
        <v>Túi nước tiểu nhân tạo</v>
      </c>
      <c r="D293" s="23" t="s">
        <v>2471</v>
      </c>
      <c r="E293" s="37" t="str">
        <f>INDEX('Attribute Definition'!$B:$B,MATCH($D293,'Attribute Definition'!$A:$A,0))</f>
        <v>Dạng sản phẩm</v>
      </c>
      <c r="F293" s="38" t="s">
        <v>2657</v>
      </c>
      <c r="G293" s="39" t="str" cm="1">
        <f t="array" ref="G293">_xlfn.TEXTJOIN("; ",TRUE,_xlfn.UNIQUE(_xlfn._xlws.FILTER('Product Variant Attribute'!$F$2:$F$3000,('Product Variant Attribute'!$B$2:$B$3000=$A293)*('Product Variant Attribute'!$D$2:$D$3000=$D293),"")))</f>
        <v>Túi</v>
      </c>
      <c r="H293" s="39"/>
      <c r="I293" s="39"/>
      <c r="J293" s="39" t="str" cm="1">
        <f t="array" ref="J293">IF($I293="","",_xlfn.TEXTJOIN("; ",TRUE,_xlfn.UNIQUE(_xlfn._xlws.FILTER($A$2:$A$3000,($C$2:$C$3000=$C293)*($E$2:$E$3000=$E293)*($G$2:$G$3000&lt;&gt;$G293)*($G$2:$G$3000&lt;&gt;""),""))))</f>
        <v/>
      </c>
    </row>
    <row r="294" spans="1:10" x14ac:dyDescent="0.25">
      <c r="A294" s="23" t="s">
        <v>667</v>
      </c>
      <c r="B294" s="37" t="str">
        <f>INDEX(Product!$B:$B,MATCH($A294,Product!$A:$A,0))</f>
        <v>Keo cong cắt đế hậu môn nhân tạo</v>
      </c>
      <c r="C294" s="37" t="str">
        <f>INDEX(Product!$D:$D,MATCH($A294,Product!$A:$A,0))</f>
        <v>Phụ kiện hậu môn nhân tạo</v>
      </c>
      <c r="D294" s="23" t="s">
        <v>2471</v>
      </c>
      <c r="E294" s="37" t="str">
        <f>INDEX('Attribute Definition'!$B:$B,MATCH($D294,'Attribute Definition'!$A:$A,0))</f>
        <v>Dạng sản phẩm</v>
      </c>
      <c r="F294" s="38" t="s">
        <v>2657</v>
      </c>
      <c r="G294" s="39" t="str" cm="1">
        <f t="array" ref="G294">_xlfn.TEXTJOIN("; ",TRUE,_xlfn.UNIQUE(_xlfn._xlws.FILTER('Product Variant Attribute'!$F$2:$F$3000,('Product Variant Attribute'!$B$2:$B$3000=$A294)*('Product Variant Attribute'!$D$2:$D$3000=$D294),"")))</f>
        <v>Keo / hồ dán</v>
      </c>
      <c r="H294" s="39"/>
      <c r="I294" s="39"/>
      <c r="J294" s="39" t="str" cm="1">
        <f t="array" ref="J294">IF($I294="","",_xlfn.TEXTJOIN("; ",TRUE,_xlfn.UNIQUE(_xlfn._xlws.FILTER($A$2:$A$3000,($C$2:$C$3000=$C294)*($E$2:$E$3000=$E294)*($G$2:$G$3000&lt;&gt;$G294)*($G$2:$G$3000&lt;&gt;""),""))))</f>
        <v/>
      </c>
    </row>
    <row r="295" spans="1:10" ht="75" x14ac:dyDescent="0.25">
      <c r="A295" s="23" t="s">
        <v>668</v>
      </c>
      <c r="B295" s="37" t="str">
        <f>INDEX(Product!$B:$B,MATCH($A295,Product!$A:$A,0))</f>
        <v>[Ostomy Care] Bộ túi hậu môn nhân tạo 2 mảnh - Khóa cuộn</v>
      </c>
      <c r="C295" s="37" t="str">
        <f>INDEX(Product!$D:$D,MATCH($A295,Product!$A:$A,0))</f>
        <v>Túi hậu môn nhân tạo</v>
      </c>
      <c r="D295" s="23" t="s">
        <v>2397</v>
      </c>
      <c r="E295" s="37" t="str">
        <f>INDEX('Attribute Definition'!$B:$B,MATCH($D295,'Attribute Definition'!$A:$A,0))</f>
        <v>Hệ thống HMNT</v>
      </c>
      <c r="F295" s="38" t="s">
        <v>2657</v>
      </c>
      <c r="G295" s="39" t="str" cm="1">
        <f t="array" ref="G295">_xlfn.TEXTJOIN("; ",TRUE,_xlfn.UNIQUE(_xlfn._xlws.FILTER('Product Variant Attribute'!$F$2:$F$3000,('Product Variant Attribute'!$B$2:$B$3000=$A295)*('Product Variant Attribute'!$D$2:$D$3000=$D295),"")))</f>
        <v>2 mảnh</v>
      </c>
      <c r="H295" s="39"/>
      <c r="I295" s="39" t="s">
        <v>2736</v>
      </c>
      <c r="J295" s="39" t="str" cm="1">
        <f t="array" ref="J295">IF($I295="","",_xlfn.TEXTJOIN("; ",TRUE,_xlfn.UNIQUE(_xlfn._xlws.FILTER($A$2:$A$3000,($C$2:$C$3000=$C295)*($E$2:$E$3000=$E295)*($G$2:$G$3000&lt;&gt;$G295)*($G$2:$G$3000&lt;&gt;""),""))))</f>
        <v>PRODUCT-00074; PRODUCT-00075; PRODUCT-00076; PRODUCT-00077; PRODUCT-00086; PRODUCT-00087; PRODUCT-00088; PRODUCT-00089; PRODUCT-00093</v>
      </c>
    </row>
    <row r="296" spans="1:10" ht="60" x14ac:dyDescent="0.25">
      <c r="A296" s="23" t="s">
        <v>668</v>
      </c>
      <c r="B296" s="37" t="str">
        <f>INDEX(Product!$B:$B,MATCH($A296,Product!$A:$A,0))</f>
        <v>[Ostomy Care] Bộ túi hậu môn nhân tạo 2 mảnh - Khóa cuộn</v>
      </c>
      <c r="C296" s="37" t="str">
        <f>INDEX(Product!$D:$D,MATCH($A296,Product!$A:$A,0))</f>
        <v>Túi hậu môn nhân tạo</v>
      </c>
      <c r="D296" s="23" t="s">
        <v>2401</v>
      </c>
      <c r="E296" s="37" t="str">
        <f>INDEX('Attribute Definition'!$B:$B,MATCH($D296,'Attribute Definition'!$A:$A,0))</f>
        <v>Kiểu khóa / xả</v>
      </c>
      <c r="F296" s="38" t="s">
        <v>2657</v>
      </c>
      <c r="G296" s="39" t="str" cm="1">
        <f t="array" ref="G296">_xlfn.TEXTJOIN("; ",TRUE,_xlfn.UNIQUE(_xlfn._xlws.FILTER('Product Variant Attribute'!$F$2:$F$3000,('Product Variant Attribute'!$B$2:$B$3000=$A296)*('Product Variant Attribute'!$D$2:$D$3000=$D296),"")))</f>
        <v>Khóa cuộn</v>
      </c>
      <c r="H296" s="39"/>
      <c r="I296" s="39" t="s">
        <v>2737</v>
      </c>
      <c r="J296" s="39" t="str" cm="1">
        <f t="array" ref="J296">IF($I296="","",_xlfn.TEXTJOIN("; ",TRUE,_xlfn.UNIQUE(_xlfn._xlws.FILTER($A$2:$A$3000,($C$2:$C$3000=$C296)*($E$2:$E$3000=$E296)*($G$2:$G$3000&lt;&gt;$G296)*($G$2:$G$3000&lt;&gt;""),""))))</f>
        <v>PRODUCT-00086; PRODUCT-00088; PRODUCT-00089; PRODUCT-00095; PRODUCT-00099; PRODUCT-00102; PRODUCT-00108</v>
      </c>
    </row>
    <row r="297" spans="1:10" x14ac:dyDescent="0.25">
      <c r="A297" s="23" t="s">
        <v>668</v>
      </c>
      <c r="B297" s="37" t="str">
        <f>INDEX(Product!$B:$B,MATCH($A297,Product!$A:$A,0))</f>
        <v>[Ostomy Care] Bộ túi hậu môn nhân tạo 2 mảnh - Khóa cuộn</v>
      </c>
      <c r="C297" s="37" t="str">
        <f>INDEX(Product!$D:$D,MATCH($A297,Product!$A:$A,0))</f>
        <v>Túi hậu môn nhân tạo</v>
      </c>
      <c r="D297" s="23" t="s">
        <v>2471</v>
      </c>
      <c r="E297" s="37" t="str">
        <f>INDEX('Attribute Definition'!$B:$B,MATCH($D297,'Attribute Definition'!$A:$A,0))</f>
        <v>Dạng sản phẩm</v>
      </c>
      <c r="F297" s="38" t="s">
        <v>2657</v>
      </c>
      <c r="G297" s="39" t="str" cm="1">
        <f t="array" ref="G297">_xlfn.TEXTJOIN("; ",TRUE,_xlfn.UNIQUE(_xlfn._xlws.FILTER('Product Variant Attribute'!$F$2:$F$3000,('Product Variant Attribute'!$B$2:$B$3000=$A297)*('Product Variant Attribute'!$D$2:$D$3000=$D297),"")))</f>
        <v>Túi</v>
      </c>
      <c r="H297" s="39"/>
      <c r="I297" s="39"/>
      <c r="J297" s="39" t="str" cm="1">
        <f t="array" ref="J297">IF($I297="","",_xlfn.TEXTJOIN("; ",TRUE,_xlfn.UNIQUE(_xlfn._xlws.FILTER($A$2:$A$3000,($C$2:$C$3000=$C297)*($E$2:$E$3000=$E297)*($G$2:$G$3000&lt;&gt;$G297)*($G$2:$G$3000&lt;&gt;""),""))))</f>
        <v/>
      </c>
    </row>
    <row r="298" spans="1:10" ht="75" x14ac:dyDescent="0.25">
      <c r="A298" s="23" t="s">
        <v>669</v>
      </c>
      <c r="B298" s="37" t="str">
        <f>INDEX(Product!$B:$B,MATCH($A298,Product!$A:$A,0))</f>
        <v>[Ostomy Care] Túi hậu môn nhân tạo 2 mảnh - Khóa dán liền</v>
      </c>
      <c r="C298" s="37" t="str">
        <f>INDEX(Product!$D:$D,MATCH($A298,Product!$A:$A,0))</f>
        <v>Túi hậu môn nhân tạo</v>
      </c>
      <c r="D298" s="23" t="s">
        <v>2397</v>
      </c>
      <c r="E298" s="37" t="str">
        <f>INDEX('Attribute Definition'!$B:$B,MATCH($D298,'Attribute Definition'!$A:$A,0))</f>
        <v>Hệ thống HMNT</v>
      </c>
      <c r="F298" s="38" t="s">
        <v>2657</v>
      </c>
      <c r="G298" s="39" t="str" cm="1">
        <f t="array" ref="G298">_xlfn.TEXTJOIN("; ",TRUE,_xlfn.UNIQUE(_xlfn._xlws.FILTER('Product Variant Attribute'!$F$2:$F$3000,('Product Variant Attribute'!$B$2:$B$3000=$A298)*('Product Variant Attribute'!$D$2:$D$3000=$D298),"")))</f>
        <v>2 mảnh</v>
      </c>
      <c r="H298" s="39"/>
      <c r="I298" s="39" t="s">
        <v>2736</v>
      </c>
      <c r="J298" s="39" t="str" cm="1">
        <f t="array" ref="J298">IF($I298="","",_xlfn.TEXTJOIN("; ",TRUE,_xlfn.UNIQUE(_xlfn._xlws.FILTER($A$2:$A$3000,($C$2:$C$3000=$C298)*($E$2:$E$3000=$E298)*($G$2:$G$3000&lt;&gt;$G298)*($G$2:$G$3000&lt;&gt;""),""))))</f>
        <v>PRODUCT-00074; PRODUCT-00075; PRODUCT-00076; PRODUCT-00077; PRODUCT-00086; PRODUCT-00087; PRODUCT-00088; PRODUCT-00089; PRODUCT-00093</v>
      </c>
    </row>
    <row r="299" spans="1:10" ht="75" x14ac:dyDescent="0.25">
      <c r="A299" s="23" t="s">
        <v>669</v>
      </c>
      <c r="B299" s="37" t="str">
        <f>INDEX(Product!$B:$B,MATCH($A299,Product!$A:$A,0))</f>
        <v>[Ostomy Care] Túi hậu môn nhân tạo 2 mảnh - Khóa dán liền</v>
      </c>
      <c r="C299" s="37" t="str">
        <f>INDEX(Product!$D:$D,MATCH($A299,Product!$A:$A,0))</f>
        <v>Túi hậu môn nhân tạo</v>
      </c>
      <c r="D299" s="23" t="s">
        <v>2401</v>
      </c>
      <c r="E299" s="37" t="str">
        <f>INDEX('Attribute Definition'!$B:$B,MATCH($D299,'Attribute Definition'!$A:$A,0))</f>
        <v>Kiểu khóa / xả</v>
      </c>
      <c r="F299" s="38" t="s">
        <v>2657</v>
      </c>
      <c r="G299" s="39" t="str" cm="1">
        <f t="array" ref="G299">_xlfn.TEXTJOIN("; ",TRUE,_xlfn.UNIQUE(_xlfn._xlws.FILTER('Product Variant Attribute'!$F$2:$F$3000,('Product Variant Attribute'!$B$2:$B$3000=$A299)*('Product Variant Attribute'!$D$2:$D$3000=$D299),"")))</f>
        <v>Khóa dán liền</v>
      </c>
      <c r="H299" s="39"/>
      <c r="I299" s="39" t="s">
        <v>2732</v>
      </c>
      <c r="J299" s="39" t="str" cm="1">
        <f t="array" ref="J299">IF($I299="","",_xlfn.TEXTJOIN("; ",TRUE,_xlfn.UNIQUE(_xlfn._xlws.FILTER($A$2:$A$3000,($C$2:$C$3000=$C299)*($E$2:$E$3000=$E299)*($G$2:$G$3000&lt;&gt;$G299)*($G$2:$G$3000&lt;&gt;""),""))))</f>
        <v>PRODUCT-00086; PRODUCT-00089; PRODUCT-00095; PRODUCT-00096; PRODUCT-00099; PRODUCT-00101; PRODUCT-00102; PRODUCT-00103; PRODUCT-00107</v>
      </c>
    </row>
    <row r="300" spans="1:10" x14ac:dyDescent="0.25">
      <c r="A300" s="23" t="s">
        <v>669</v>
      </c>
      <c r="B300" s="37" t="str">
        <f>INDEX(Product!$B:$B,MATCH($A300,Product!$A:$A,0))</f>
        <v>[Ostomy Care] Túi hậu môn nhân tạo 2 mảnh - Khóa dán liền</v>
      </c>
      <c r="C300" s="37" t="str">
        <f>INDEX(Product!$D:$D,MATCH($A300,Product!$A:$A,0))</f>
        <v>Túi hậu môn nhân tạo</v>
      </c>
      <c r="D300" s="23" t="s">
        <v>2471</v>
      </c>
      <c r="E300" s="37" t="str">
        <f>INDEX('Attribute Definition'!$B:$B,MATCH($D300,'Attribute Definition'!$A:$A,0))</f>
        <v>Dạng sản phẩm</v>
      </c>
      <c r="F300" s="38" t="s">
        <v>2657</v>
      </c>
      <c r="G300" s="39" t="str" cm="1">
        <f t="array" ref="G300">_xlfn.TEXTJOIN("; ",TRUE,_xlfn.UNIQUE(_xlfn._xlws.FILTER('Product Variant Attribute'!$F$2:$F$3000,('Product Variant Attribute'!$B$2:$B$3000=$A300)*('Product Variant Attribute'!$D$2:$D$3000=$D300),"")))</f>
        <v>Túi</v>
      </c>
      <c r="H300" s="39"/>
      <c r="I300" s="39"/>
      <c r="J300" s="39" t="str" cm="1">
        <f t="array" ref="J300">IF($I300="","",_xlfn.TEXTJOIN("; ",TRUE,_xlfn.UNIQUE(_xlfn._xlws.FILTER($A$2:$A$3000,($C$2:$C$3000=$C300)*($E$2:$E$3000=$E300)*($G$2:$G$3000&lt;&gt;$G300)*($G$2:$G$3000&lt;&gt;""),""))))</f>
        <v/>
      </c>
    </row>
    <row r="301" spans="1:10" ht="75" x14ac:dyDescent="0.25">
      <c r="A301" s="23" t="s">
        <v>670</v>
      </c>
      <c r="B301" s="37" t="str">
        <f>INDEX(Product!$B:$B,MATCH($A301,Product!$A:$A,0))</f>
        <v>Túi hậu môn nhân tạo 2 mảnh</v>
      </c>
      <c r="C301" s="37" t="str">
        <f>INDEX(Product!$D:$D,MATCH($A301,Product!$A:$A,0))</f>
        <v>Túi hậu môn nhân tạo</v>
      </c>
      <c r="D301" s="23" t="s">
        <v>2397</v>
      </c>
      <c r="E301" s="37" t="str">
        <f>INDEX('Attribute Definition'!$B:$B,MATCH($D301,'Attribute Definition'!$A:$A,0))</f>
        <v>Hệ thống HMNT</v>
      </c>
      <c r="F301" s="38" t="s">
        <v>2657</v>
      </c>
      <c r="G301" s="39" t="str" cm="1">
        <f t="array" ref="G301">_xlfn.TEXTJOIN("; ",TRUE,_xlfn.UNIQUE(_xlfn._xlws.FILTER('Product Variant Attribute'!$F$2:$F$3000,('Product Variant Attribute'!$B$2:$B$3000=$A301)*('Product Variant Attribute'!$D$2:$D$3000=$D301),"")))</f>
        <v>2 mảnh</v>
      </c>
      <c r="H301" s="39"/>
      <c r="I301" s="39" t="s">
        <v>2736</v>
      </c>
      <c r="J301" s="39" t="str" cm="1">
        <f t="array" ref="J301">IF($I301="","",_xlfn.TEXTJOIN("; ",TRUE,_xlfn.UNIQUE(_xlfn._xlws.FILTER($A$2:$A$3000,($C$2:$C$3000=$C301)*($E$2:$E$3000=$E301)*($G$2:$G$3000&lt;&gt;$G301)*($G$2:$G$3000&lt;&gt;""),""))))</f>
        <v>PRODUCT-00074; PRODUCT-00075; PRODUCT-00076; PRODUCT-00077; PRODUCT-00086; PRODUCT-00087; PRODUCT-00088; PRODUCT-00089; PRODUCT-00093</v>
      </c>
    </row>
    <row r="302" spans="1:10" x14ac:dyDescent="0.25">
      <c r="A302" s="23" t="s">
        <v>670</v>
      </c>
      <c r="B302" s="37" t="str">
        <f>INDEX(Product!$B:$B,MATCH($A302,Product!$A:$A,0))</f>
        <v>Túi hậu môn nhân tạo 2 mảnh</v>
      </c>
      <c r="C302" s="37" t="str">
        <f>INDEX(Product!$D:$D,MATCH($A302,Product!$A:$A,0))</f>
        <v>Túi hậu môn nhân tạo</v>
      </c>
      <c r="D302" s="23" t="s">
        <v>2471</v>
      </c>
      <c r="E302" s="37" t="str">
        <f>INDEX('Attribute Definition'!$B:$B,MATCH($D302,'Attribute Definition'!$A:$A,0))</f>
        <v>Dạng sản phẩm</v>
      </c>
      <c r="F302" s="38" t="s">
        <v>2657</v>
      </c>
      <c r="G302" s="39" t="str" cm="1">
        <f t="array" ref="G302">_xlfn.TEXTJOIN("; ",TRUE,_xlfn.UNIQUE(_xlfn._xlws.FILTER('Product Variant Attribute'!$F$2:$F$3000,('Product Variant Attribute'!$B$2:$B$3000=$A302)*('Product Variant Attribute'!$D$2:$D$3000=$D302),"")))</f>
        <v>Túi</v>
      </c>
      <c r="H302" s="39"/>
      <c r="I302" s="39"/>
      <c r="J302" s="39" t="str" cm="1">
        <f t="array" ref="J302">IF($I302="","",_xlfn.TEXTJOIN("; ",TRUE,_xlfn.UNIQUE(_xlfn._xlws.FILTER($A$2:$A$3000,($C$2:$C$3000=$C302)*($E$2:$E$3000=$E302)*($G$2:$G$3000&lt;&gt;$G302)*($G$2:$G$3000&lt;&gt;""),""))))</f>
        <v/>
      </c>
    </row>
    <row r="303" spans="1:10" x14ac:dyDescent="0.25">
      <c r="A303" s="23" t="s">
        <v>671</v>
      </c>
      <c r="B303" s="37" t="str">
        <f>INDEX(Product!$B:$B,MATCH($A303,Product!$A:$A,0))</f>
        <v>[Bicakcilar] Dụng cụ tập thở phế dung kế - B-SPIRO 5000</v>
      </c>
      <c r="C303" s="37" t="str">
        <f>INDEX(Product!$D:$D,MATCH($A303,Product!$A:$A,0))</f>
        <v>Dụng cụ tập thở</v>
      </c>
      <c r="D303" s="23" t="s">
        <v>2471</v>
      </c>
      <c r="E303" s="37" t="str">
        <f>INDEX('Attribute Definition'!$B:$B,MATCH($D303,'Attribute Definition'!$A:$A,0))</f>
        <v>Dạng sản phẩm</v>
      </c>
      <c r="F303" s="38" t="s">
        <v>2657</v>
      </c>
      <c r="G303" s="39" t="str" cm="1">
        <f t="array" ref="G303">_xlfn.TEXTJOIN("; ",TRUE,_xlfn.UNIQUE(_xlfn._xlws.FILTER('Product Variant Attribute'!$F$2:$F$3000,('Product Variant Attribute'!$B$2:$B$3000=$A303)*('Product Variant Attribute'!$D$2:$D$3000=$D303),"")))</f>
        <v>Dụng cụ / phụ kiện</v>
      </c>
      <c r="H303" s="39"/>
      <c r="I303" s="39"/>
      <c r="J303" s="39" t="str" cm="1">
        <f t="array" ref="J303">IF($I303="","",_xlfn.TEXTJOIN("; ",TRUE,_xlfn.UNIQUE(_xlfn._xlws.FILTER($A$2:$A$3000,($C$2:$C$3000=$C303)*($E$2:$E$3000=$E303)*($G$2:$G$3000&lt;&gt;$G303)*($G$2:$G$3000&lt;&gt;""),""))))</f>
        <v/>
      </c>
    </row>
    <row r="304" spans="1:10" ht="30" x14ac:dyDescent="0.25">
      <c r="A304" s="23" t="s">
        <v>672</v>
      </c>
      <c r="B304" s="37" t="str">
        <f>INDEX(Product!$B:$B,MATCH($A304,Product!$A:$A,0))</f>
        <v>[Biotek] Mask thanh quản 1 nòng - Laryngeal Mask Airway</v>
      </c>
      <c r="C304" s="37" t="str">
        <f>INDEX(Product!$D:$D,MATCH($A304,Product!$A:$A,0))</f>
        <v>Mask thanh quản</v>
      </c>
      <c r="D304" s="23" t="s">
        <v>2411</v>
      </c>
      <c r="E304" s="37" t="str">
        <f>INDEX('Attribute Definition'!$B:$B,MATCH($D304,'Attribute Definition'!$A:$A,0))</f>
        <v>Số nòng / nhánh</v>
      </c>
      <c r="F304" s="38" t="s">
        <v>2657</v>
      </c>
      <c r="G304" s="39" t="str" cm="1">
        <f t="array" ref="G304">_xlfn.TEXTJOIN("; ",TRUE,_xlfn.UNIQUE(_xlfn._xlws.FILTER('Product Variant Attribute'!$F$2:$F$3000,('Product Variant Attribute'!$B$2:$B$3000=$A304)*('Product Variant Attribute'!$D$2:$D$3000=$D304),"")))</f>
        <v>1 nòng</v>
      </c>
      <c r="H304" s="39"/>
      <c r="I304" s="39" t="s">
        <v>2740</v>
      </c>
      <c r="J304" s="39" t="str" cm="1">
        <f t="array" ref="J304">IF($I304="","",_xlfn.TEXTJOIN("; ",TRUE,_xlfn.UNIQUE(_xlfn._xlws.FILTER($A$2:$A$3000,($C$2:$C$3000=$C304)*($E$2:$E$3000=$E304)*($G$2:$G$3000&lt;&gt;$G304)*($G$2:$G$3000&lt;&gt;""),""))))</f>
        <v>PRODUCT-00112</v>
      </c>
    </row>
    <row r="305" spans="1:10" x14ac:dyDescent="0.25">
      <c r="A305" s="23" t="s">
        <v>672</v>
      </c>
      <c r="B305" s="37" t="str">
        <f>INDEX(Product!$B:$B,MATCH($A305,Product!$A:$A,0))</f>
        <v>[Biotek] Mask thanh quản 1 nòng - Laryngeal Mask Airway</v>
      </c>
      <c r="C305" s="37" t="str">
        <f>INDEX(Product!$D:$D,MATCH($A305,Product!$A:$A,0))</f>
        <v>Mask thanh quản</v>
      </c>
      <c r="D305" s="23" t="s">
        <v>2471</v>
      </c>
      <c r="E305" s="37" t="str">
        <f>INDEX('Attribute Definition'!$B:$B,MATCH($D305,'Attribute Definition'!$A:$A,0))</f>
        <v>Dạng sản phẩm</v>
      </c>
      <c r="F305" s="38" t="s">
        <v>2657</v>
      </c>
      <c r="G305" s="39" t="str" cm="1">
        <f t="array" ref="G305">_xlfn.TEXTJOIN("; ",TRUE,_xlfn.UNIQUE(_xlfn._xlws.FILTER('Product Variant Attribute'!$F$2:$F$3000,('Product Variant Attribute'!$B$2:$B$3000=$A305)*('Product Variant Attribute'!$D$2:$D$3000=$D305),"")))</f>
        <v>Mặt nạ / mask</v>
      </c>
      <c r="H305" s="39"/>
      <c r="I305" s="39"/>
      <c r="J305" s="39" t="str" cm="1">
        <f t="array" ref="J305">IF($I305="","",_xlfn.TEXTJOIN("; ",TRUE,_xlfn.UNIQUE(_xlfn._xlws.FILTER($A$2:$A$3000,($C$2:$C$3000=$C305)*($E$2:$E$3000=$E305)*($G$2:$G$3000&lt;&gt;$G305)*($G$2:$G$3000&lt;&gt;""),""))))</f>
        <v/>
      </c>
    </row>
    <row r="306" spans="1:10" ht="30" x14ac:dyDescent="0.25">
      <c r="A306" s="23" t="s">
        <v>672</v>
      </c>
      <c r="B306" s="37" t="str">
        <f>INDEX(Product!$B:$B,MATCH($A306,Product!$A:$A,0))</f>
        <v>[Biotek] Mask thanh quản 1 nòng - Laryngeal Mask Airway</v>
      </c>
      <c r="C306" s="37" t="str">
        <f>INDEX(Product!$D:$D,MATCH($A306,Product!$A:$A,0))</f>
        <v>Mask thanh quản</v>
      </c>
      <c r="D306" s="23" t="s">
        <v>2656</v>
      </c>
      <c r="E306" s="37" t="str">
        <f>INDEX('Attribute Definition'!$B:$B,MATCH($D306,'Attribute Definition'!$A:$A,0))</f>
        <v>Kích cỡ</v>
      </c>
      <c r="F306" s="38" t="s">
        <v>2485</v>
      </c>
      <c r="G306" s="39" t="str" cm="1">
        <f t="array" ref="G306">_xlfn.TEXTJOIN("; ",TRUE,_xlfn.UNIQUE(_xlfn._xlws.FILTER('Product Variant Attribute'!$F$2:$F$3000,('Product Variant Attribute'!$B$2:$B$3000=$A306)*('Product Variant Attribute'!$D$2:$D$3000=$D306),"")))</f>
        <v>Số 3; Số 4</v>
      </c>
      <c r="H306" s="39" t="s">
        <v>2679</v>
      </c>
      <c r="I306" s="39"/>
      <c r="J306" s="39" t="str" cm="1">
        <f t="array" ref="J306">IF($I306="","",_xlfn.TEXTJOIN("; ",TRUE,_xlfn.UNIQUE(_xlfn._xlws.FILTER($A$2:$A$3000,($C$2:$C$3000=$C306)*($E$2:$E$3000=$E306)*($G$2:$G$3000&lt;&gt;$G306)*($G$2:$G$3000&lt;&gt;""),""))))</f>
        <v/>
      </c>
    </row>
    <row r="307" spans="1:10" x14ac:dyDescent="0.25">
      <c r="A307" s="23" t="s">
        <v>673</v>
      </c>
      <c r="B307" s="37" t="str">
        <f>INDEX(Product!$B:$B,MATCH($A307,Product!$A:$A,0))</f>
        <v>[Biotek] Mask thanh quản 2 nòng - Laryngeal Mask Airway</v>
      </c>
      <c r="C307" s="37" t="str">
        <f>INDEX(Product!$D:$D,MATCH($A307,Product!$A:$A,0))</f>
        <v>Mask thanh quản</v>
      </c>
      <c r="D307" s="23" t="s">
        <v>2367</v>
      </c>
      <c r="E307" s="37" t="str">
        <f>INDEX('Attribute Definition'!$B:$B,MATCH($D307,'Attribute Definition'!$A:$A,0))</f>
        <v>Chất liệu</v>
      </c>
      <c r="F307" s="38" t="s">
        <v>2657</v>
      </c>
      <c r="G307" s="39" t="str" cm="1">
        <f t="array" ref="G307">_xlfn.TEXTJOIN("; ",TRUE,_xlfn.UNIQUE(_xlfn._xlws.FILTER('Product Variant Attribute'!$F$2:$F$3000,('Product Variant Attribute'!$B$2:$B$3000=$A307)*('Product Variant Attribute'!$D$2:$D$3000=$D307),"")))</f>
        <v>Silicone</v>
      </c>
      <c r="H307" s="39"/>
      <c r="I307" s="39"/>
      <c r="J307" s="39" t="str" cm="1">
        <f t="array" ref="J307">IF($I307="","",_xlfn.TEXTJOIN("; ",TRUE,_xlfn.UNIQUE(_xlfn._xlws.FILTER($A$2:$A$3000,($C$2:$C$3000=$C307)*($E$2:$E$3000=$E307)*($G$2:$G$3000&lt;&gt;$G307)*($G$2:$G$3000&lt;&gt;""),""))))</f>
        <v/>
      </c>
    </row>
    <row r="308" spans="1:10" ht="45" x14ac:dyDescent="0.25">
      <c r="A308" s="23" t="s">
        <v>673</v>
      </c>
      <c r="B308" s="37" t="str">
        <f>INDEX(Product!$B:$B,MATCH($A308,Product!$A:$A,0))</f>
        <v>[Biotek] Mask thanh quản 2 nòng - Laryngeal Mask Airway</v>
      </c>
      <c r="C308" s="37" t="str">
        <f>INDEX(Product!$D:$D,MATCH($A308,Product!$A:$A,0))</f>
        <v>Mask thanh quản</v>
      </c>
      <c r="D308" s="23" t="s">
        <v>2411</v>
      </c>
      <c r="E308" s="37" t="str">
        <f>INDEX('Attribute Definition'!$B:$B,MATCH($D308,'Attribute Definition'!$A:$A,0))</f>
        <v>Số nòng / nhánh</v>
      </c>
      <c r="F308" s="38" t="s">
        <v>2657</v>
      </c>
      <c r="G308" s="39" t="str" cm="1">
        <f t="array" ref="G308">_xlfn.TEXTJOIN("; ",TRUE,_xlfn.UNIQUE(_xlfn._xlws.FILTER('Product Variant Attribute'!$F$2:$F$3000,('Product Variant Attribute'!$B$2:$B$3000=$A308)*('Product Variant Attribute'!$D$2:$D$3000=$D308),"")))</f>
        <v>2 nòng</v>
      </c>
      <c r="H308" s="39"/>
      <c r="I308" s="39" t="s">
        <v>2741</v>
      </c>
      <c r="J308" s="39" t="str" cm="1">
        <f t="array" ref="J308">IF($I308="","",_xlfn.TEXTJOIN("; ",TRUE,_xlfn.UNIQUE(_xlfn._xlws.FILTER($A$2:$A$3000,($C$2:$C$3000=$C308)*($E$2:$E$3000=$E308)*($G$2:$G$3000&lt;&gt;$G308)*($G$2:$G$3000&lt;&gt;""),""))))</f>
        <v>PRODUCT-00111; PRODUCT-00124</v>
      </c>
    </row>
    <row r="309" spans="1:10" x14ac:dyDescent="0.25">
      <c r="A309" s="23" t="s">
        <v>673</v>
      </c>
      <c r="B309" s="37" t="str">
        <f>INDEX(Product!$B:$B,MATCH($A309,Product!$A:$A,0))</f>
        <v>[Biotek] Mask thanh quản 2 nòng - Laryngeal Mask Airway</v>
      </c>
      <c r="C309" s="37" t="str">
        <f>INDEX(Product!$D:$D,MATCH($A309,Product!$A:$A,0))</f>
        <v>Mask thanh quản</v>
      </c>
      <c r="D309" s="23" t="s">
        <v>2471</v>
      </c>
      <c r="E309" s="37" t="str">
        <f>INDEX('Attribute Definition'!$B:$B,MATCH($D309,'Attribute Definition'!$A:$A,0))</f>
        <v>Dạng sản phẩm</v>
      </c>
      <c r="F309" s="38" t="s">
        <v>2657</v>
      </c>
      <c r="G309" s="39" t="str" cm="1">
        <f t="array" ref="G309">_xlfn.TEXTJOIN("; ",TRUE,_xlfn.UNIQUE(_xlfn._xlws.FILTER('Product Variant Attribute'!$F$2:$F$3000,('Product Variant Attribute'!$B$2:$B$3000=$A309)*('Product Variant Attribute'!$D$2:$D$3000=$D309),"")))</f>
        <v>Mặt nạ / mask</v>
      </c>
      <c r="H309" s="39"/>
      <c r="I309" s="39"/>
      <c r="J309" s="39" t="str" cm="1">
        <f t="array" ref="J309">IF($I309="","",_xlfn.TEXTJOIN("; ",TRUE,_xlfn.UNIQUE(_xlfn._xlws.FILTER($A$2:$A$3000,($C$2:$C$3000=$C309)*($E$2:$E$3000=$E309)*($G$2:$G$3000&lt;&gt;$G309)*($G$2:$G$3000&lt;&gt;""),""))))</f>
        <v/>
      </c>
    </row>
    <row r="310" spans="1:10" ht="30" x14ac:dyDescent="0.25">
      <c r="A310" s="23" t="s">
        <v>673</v>
      </c>
      <c r="B310" s="37" t="str">
        <f>INDEX(Product!$B:$B,MATCH($A310,Product!$A:$A,0))</f>
        <v>[Biotek] Mask thanh quản 2 nòng - Laryngeal Mask Airway</v>
      </c>
      <c r="C310" s="37" t="str">
        <f>INDEX(Product!$D:$D,MATCH($A310,Product!$A:$A,0))</f>
        <v>Mask thanh quản</v>
      </c>
      <c r="D310" s="23" t="s">
        <v>2656</v>
      </c>
      <c r="E310" s="37" t="str">
        <f>INDEX('Attribute Definition'!$B:$B,MATCH($D310,'Attribute Definition'!$A:$A,0))</f>
        <v>Kích cỡ</v>
      </c>
      <c r="F310" s="38" t="s">
        <v>2485</v>
      </c>
      <c r="G310" s="39" t="str" cm="1">
        <f t="array" ref="G310">_xlfn.TEXTJOIN("; ",TRUE,_xlfn.UNIQUE(_xlfn._xlws.FILTER('Product Variant Attribute'!$F$2:$F$3000,('Product Variant Attribute'!$B$2:$B$3000=$A310)*('Product Variant Attribute'!$D$2:$D$3000=$D310),"")))</f>
        <v>Số 3; Số 4</v>
      </c>
      <c r="H310" s="39" t="s">
        <v>2679</v>
      </c>
      <c r="I310" s="39"/>
      <c r="J310" s="39" t="str" cm="1">
        <f t="array" ref="J310">IF($I310="","",_xlfn.TEXTJOIN("; ",TRUE,_xlfn.UNIQUE(_xlfn._xlws.FILTER($A$2:$A$3000,($C$2:$C$3000=$C310)*($E$2:$E$3000=$E310)*($G$2:$G$3000&lt;&gt;$G310)*($G$2:$G$3000&lt;&gt;""),""))))</f>
        <v/>
      </c>
    </row>
    <row r="311" spans="1:10" x14ac:dyDescent="0.25">
      <c r="A311" s="23" t="s">
        <v>674</v>
      </c>
      <c r="B311" s="37" t="str">
        <f>INDEX(Product!$B:$B,MATCH($A311,Product!$A:$A,0))</f>
        <v>[Bornsun] Dây thở oxy 2 nhánh</v>
      </c>
      <c r="C311" s="37" t="str">
        <f>INDEX(Product!$D:$D,MATCH($A311,Product!$A:$A,0))</f>
        <v>Dây thở oxy</v>
      </c>
      <c r="D311" s="23" t="s">
        <v>2367</v>
      </c>
      <c r="E311" s="37" t="str">
        <f>INDEX('Attribute Definition'!$B:$B,MATCH($D311,'Attribute Definition'!$A:$A,0))</f>
        <v>Chất liệu</v>
      </c>
      <c r="F311" s="38" t="s">
        <v>2657</v>
      </c>
      <c r="G311" s="39" t="str" cm="1">
        <f t="array" ref="G311">_xlfn.TEXTJOIN("; ",TRUE,_xlfn.UNIQUE(_xlfn._xlws.FILTER('Product Variant Attribute'!$F$2:$F$3000,('Product Variant Attribute'!$B$2:$B$3000=$A311)*('Product Variant Attribute'!$D$2:$D$3000=$D311),"")))</f>
        <v>PVC</v>
      </c>
      <c r="H311" s="39"/>
      <c r="I311" s="39"/>
      <c r="J311" s="39" t="str" cm="1">
        <f t="array" ref="J311">IF($I311="","",_xlfn.TEXTJOIN("; ",TRUE,_xlfn.UNIQUE(_xlfn._xlws.FILTER($A$2:$A$3000,($C$2:$C$3000=$C311)*($E$2:$E$3000=$E311)*($G$2:$G$3000&lt;&gt;$G311)*($G$2:$G$3000&lt;&gt;""),""))))</f>
        <v/>
      </c>
    </row>
    <row r="312" spans="1:10" x14ac:dyDescent="0.25">
      <c r="A312" s="23" t="s">
        <v>674</v>
      </c>
      <c r="B312" s="37" t="str">
        <f>INDEX(Product!$B:$B,MATCH($A312,Product!$A:$A,0))</f>
        <v>[Bornsun] Dây thở oxy 2 nhánh</v>
      </c>
      <c r="C312" s="37" t="str">
        <f>INDEX(Product!$D:$D,MATCH($A312,Product!$A:$A,0))</f>
        <v>Dây thở oxy</v>
      </c>
      <c r="D312" s="23" t="s">
        <v>2411</v>
      </c>
      <c r="E312" s="37" t="str">
        <f>INDEX('Attribute Definition'!$B:$B,MATCH($D312,'Attribute Definition'!$A:$A,0))</f>
        <v>Số nòng / nhánh</v>
      </c>
      <c r="F312" s="38" t="s">
        <v>2657</v>
      </c>
      <c r="G312" s="39" t="str" cm="1">
        <f t="array" ref="G312">_xlfn.TEXTJOIN("; ",TRUE,_xlfn.UNIQUE(_xlfn._xlws.FILTER('Product Variant Attribute'!$F$2:$F$3000,('Product Variant Attribute'!$B$2:$B$3000=$A312)*('Product Variant Attribute'!$D$2:$D$3000=$D312),"")))</f>
        <v>2 nhánh</v>
      </c>
      <c r="H312" s="39"/>
      <c r="I312" s="39"/>
      <c r="J312" s="39" t="str" cm="1">
        <f t="array" ref="J312">IF($I312="","",_xlfn.TEXTJOIN("; ",TRUE,_xlfn.UNIQUE(_xlfn._xlws.FILTER($A$2:$A$3000,($C$2:$C$3000=$C312)*($E$2:$E$3000=$E312)*($G$2:$G$3000&lt;&gt;$G312)*($G$2:$G$3000&lt;&gt;""),""))))</f>
        <v/>
      </c>
    </row>
    <row r="313" spans="1:10" x14ac:dyDescent="0.25">
      <c r="A313" s="23" t="s">
        <v>674</v>
      </c>
      <c r="B313" s="37" t="str">
        <f>INDEX(Product!$B:$B,MATCH($A313,Product!$A:$A,0))</f>
        <v>[Bornsun] Dây thở oxy 2 nhánh</v>
      </c>
      <c r="C313" s="37" t="str">
        <f>INDEX(Product!$D:$D,MATCH($A313,Product!$A:$A,0))</f>
        <v>Dây thở oxy</v>
      </c>
      <c r="D313" s="23" t="s">
        <v>2471</v>
      </c>
      <c r="E313" s="37" t="str">
        <f>INDEX('Attribute Definition'!$B:$B,MATCH($D313,'Attribute Definition'!$A:$A,0))</f>
        <v>Dạng sản phẩm</v>
      </c>
      <c r="F313" s="38" t="s">
        <v>2657</v>
      </c>
      <c r="G313" s="39" t="str" cm="1">
        <f t="array" ref="G313">_xlfn.TEXTJOIN("; ",TRUE,_xlfn.UNIQUE(_xlfn._xlws.FILTER('Product Variant Attribute'!$F$2:$F$3000,('Product Variant Attribute'!$B$2:$B$3000=$A313)*('Product Variant Attribute'!$D$2:$D$3000=$D313),"")))</f>
        <v>Ống / dây</v>
      </c>
      <c r="H313" s="39"/>
      <c r="I313" s="39"/>
      <c r="J313" s="39" t="str" cm="1">
        <f t="array" ref="J313">IF($I313="","",_xlfn.TEXTJOIN("; ",TRUE,_xlfn.UNIQUE(_xlfn._xlws.FILTER($A$2:$A$3000,($C$2:$C$3000=$C313)*($E$2:$E$3000=$E313)*($G$2:$G$3000&lt;&gt;$G313)*($G$2:$G$3000&lt;&gt;""),""))))</f>
        <v/>
      </c>
    </row>
    <row r="314" spans="1:10" x14ac:dyDescent="0.25">
      <c r="A314" s="23" t="s">
        <v>674</v>
      </c>
      <c r="B314" s="37" t="str">
        <f>INDEX(Product!$B:$B,MATCH($A314,Product!$A:$A,0))</f>
        <v>[Bornsun] Dây thở oxy 2 nhánh</v>
      </c>
      <c r="C314" s="37" t="str">
        <f>INDEX(Product!$D:$D,MATCH($A314,Product!$A:$A,0))</f>
        <v>Dây thở oxy</v>
      </c>
      <c r="D314" s="23" t="s">
        <v>2656</v>
      </c>
      <c r="E314" s="37" t="str">
        <f>INDEX('Attribute Definition'!$B:$B,MATCH($D314,'Attribute Definition'!$A:$A,0))</f>
        <v>Kích cỡ</v>
      </c>
      <c r="F314" s="38" t="s">
        <v>2485</v>
      </c>
      <c r="G314" s="39" t="str" cm="1">
        <f t="array" ref="G314">_xlfn.TEXTJOIN("; ",TRUE,_xlfn.UNIQUE(_xlfn._xlws.FILTER('Product Variant Attribute'!$F$2:$F$3000,('Product Variant Attribute'!$B$2:$B$3000=$A314)*('Product Variant Attribute'!$D$2:$D$3000=$D314),"")))</f>
        <v>S; L</v>
      </c>
      <c r="H314" s="39" t="s">
        <v>2680</v>
      </c>
      <c r="I314" s="39"/>
      <c r="J314" s="39" t="str" cm="1">
        <f t="array" ref="J314">IF($I314="","",_xlfn.TEXTJOIN("; ",TRUE,_xlfn.UNIQUE(_xlfn._xlws.FILTER($A$2:$A$3000,($C$2:$C$3000=$C314)*($E$2:$E$3000=$E314)*($G$2:$G$3000&lt;&gt;$G314)*($G$2:$G$3000&lt;&gt;""),""))))</f>
        <v/>
      </c>
    </row>
    <row r="315" spans="1:10" x14ac:dyDescent="0.25">
      <c r="A315" s="23" t="s">
        <v>675</v>
      </c>
      <c r="B315" s="37" t="str">
        <f>INDEX(Product!$B:$B,MATCH($A315,Product!$A:$A,0))</f>
        <v>[Bornsun] Mặt nạ thở oxy</v>
      </c>
      <c r="C315" s="37" t="str">
        <f>INDEX(Product!$D:$D,MATCH($A315,Product!$A:$A,0))</f>
        <v>Mặt nạ oxy &amp; xông khí dung</v>
      </c>
      <c r="D315" s="23" t="s">
        <v>2367</v>
      </c>
      <c r="E315" s="37" t="str">
        <f>INDEX('Attribute Definition'!$B:$B,MATCH($D315,'Attribute Definition'!$A:$A,0))</f>
        <v>Chất liệu</v>
      </c>
      <c r="F315" s="38" t="s">
        <v>2657</v>
      </c>
      <c r="G315" s="39" t="str" cm="1">
        <f t="array" ref="G315">_xlfn.TEXTJOIN("; ",TRUE,_xlfn.UNIQUE(_xlfn._xlws.FILTER('Product Variant Attribute'!$F$2:$F$3000,('Product Variant Attribute'!$B$2:$B$3000=$A315)*('Product Variant Attribute'!$D$2:$D$3000=$D315),"")))</f>
        <v>PVC</v>
      </c>
      <c r="H315" s="39"/>
      <c r="I315" s="39"/>
      <c r="J315" s="39" t="str" cm="1">
        <f t="array" ref="J315">IF($I315="","",_xlfn.TEXTJOIN("; ",TRUE,_xlfn.UNIQUE(_xlfn._xlws.FILTER($A$2:$A$3000,($C$2:$C$3000=$C315)*($E$2:$E$3000=$E315)*($G$2:$G$3000&lt;&gt;$G315)*($G$2:$G$3000&lt;&gt;""),""))))</f>
        <v/>
      </c>
    </row>
    <row r="316" spans="1:10" x14ac:dyDescent="0.25">
      <c r="A316" s="23" t="s">
        <v>675</v>
      </c>
      <c r="B316" s="37" t="str">
        <f>INDEX(Product!$B:$B,MATCH($A316,Product!$A:$A,0))</f>
        <v>[Bornsun] Mặt nạ thở oxy</v>
      </c>
      <c r="C316" s="37" t="str">
        <f>INDEX(Product!$D:$D,MATCH($A316,Product!$A:$A,0))</f>
        <v>Mặt nạ oxy &amp; xông khí dung</v>
      </c>
      <c r="D316" s="23" t="s">
        <v>2471</v>
      </c>
      <c r="E316" s="37" t="str">
        <f>INDEX('Attribute Definition'!$B:$B,MATCH($D316,'Attribute Definition'!$A:$A,0))</f>
        <v>Dạng sản phẩm</v>
      </c>
      <c r="F316" s="38" t="s">
        <v>2657</v>
      </c>
      <c r="G316" s="39" t="str" cm="1">
        <f t="array" ref="G316">_xlfn.TEXTJOIN("; ",TRUE,_xlfn.UNIQUE(_xlfn._xlws.FILTER('Product Variant Attribute'!$F$2:$F$3000,('Product Variant Attribute'!$B$2:$B$3000=$A316)*('Product Variant Attribute'!$D$2:$D$3000=$D316),"")))</f>
        <v>Mặt nạ / mask</v>
      </c>
      <c r="H316" s="39"/>
      <c r="I316" s="39"/>
      <c r="J316" s="39" t="str" cm="1">
        <f t="array" ref="J316">IF($I316="","",_xlfn.TEXTJOIN("; ",TRUE,_xlfn.UNIQUE(_xlfn._xlws.FILTER($A$2:$A$3000,($C$2:$C$3000=$C316)*($E$2:$E$3000=$E316)*($G$2:$G$3000&lt;&gt;$G316)*($G$2:$G$3000&lt;&gt;""),""))))</f>
        <v/>
      </c>
    </row>
    <row r="317" spans="1:10" ht="30" x14ac:dyDescent="0.25">
      <c r="A317" s="23" t="s">
        <v>675</v>
      </c>
      <c r="B317" s="37" t="str">
        <f>INDEX(Product!$B:$B,MATCH($A317,Product!$A:$A,0))</f>
        <v>[Bornsun] Mặt nạ thở oxy</v>
      </c>
      <c r="C317" s="37" t="str">
        <f>INDEX(Product!$D:$D,MATCH($A317,Product!$A:$A,0))</f>
        <v>Mặt nạ oxy &amp; xông khí dung</v>
      </c>
      <c r="D317" s="23" t="s">
        <v>2656</v>
      </c>
      <c r="E317" s="37" t="str">
        <f>INDEX('Attribute Definition'!$B:$B,MATCH($D317,'Attribute Definition'!$A:$A,0))</f>
        <v>Kích cỡ</v>
      </c>
      <c r="F317" s="38" t="s">
        <v>2485</v>
      </c>
      <c r="G317" s="39" t="str" cm="1">
        <f t="array" ref="G317">_xlfn.TEXTJOIN("; ",TRUE,_xlfn.UNIQUE(_xlfn._xlws.FILTER('Product Variant Attribute'!$F$2:$F$3000,('Product Variant Attribute'!$B$2:$B$3000=$A317)*('Product Variant Attribute'!$D$2:$D$3000=$D317),"")))</f>
        <v>S; M; L; XL</v>
      </c>
      <c r="H317" s="39" t="s">
        <v>2681</v>
      </c>
      <c r="I317" s="39"/>
      <c r="J317" s="39" t="str" cm="1">
        <f t="array" ref="J317">IF($I317="","",_xlfn.TEXTJOIN("; ",TRUE,_xlfn.UNIQUE(_xlfn._xlws.FILTER($A$2:$A$3000,($C$2:$C$3000=$C317)*($E$2:$E$3000=$E317)*($G$2:$G$3000&lt;&gt;$G317)*($G$2:$G$3000&lt;&gt;""),""))))</f>
        <v/>
      </c>
    </row>
    <row r="318" spans="1:10" x14ac:dyDescent="0.25">
      <c r="A318" s="23" t="s">
        <v>676</v>
      </c>
      <c r="B318" s="37" t="str">
        <f>INDEX(Product!$B:$B,MATCH($A318,Product!$A:$A,0))</f>
        <v>[Bornsun] Mặt nạ xông khí dung</v>
      </c>
      <c r="C318" s="37" t="str">
        <f>INDEX(Product!$D:$D,MATCH($A318,Product!$A:$A,0))</f>
        <v>Mặt nạ oxy &amp; xông khí dung</v>
      </c>
      <c r="D318" s="23" t="s">
        <v>2471</v>
      </c>
      <c r="E318" s="37" t="str">
        <f>INDEX('Attribute Definition'!$B:$B,MATCH($D318,'Attribute Definition'!$A:$A,0))</f>
        <v>Dạng sản phẩm</v>
      </c>
      <c r="F318" s="38" t="s">
        <v>2657</v>
      </c>
      <c r="G318" s="39" t="str" cm="1">
        <f t="array" ref="G318">_xlfn.TEXTJOIN("; ",TRUE,_xlfn.UNIQUE(_xlfn._xlws.FILTER('Product Variant Attribute'!$F$2:$F$3000,('Product Variant Attribute'!$B$2:$B$3000=$A318)*('Product Variant Attribute'!$D$2:$D$3000=$D318),"")))</f>
        <v>Mặt nạ / mask</v>
      </c>
      <c r="H318" s="39"/>
      <c r="I318" s="39"/>
      <c r="J318" s="39" t="str" cm="1">
        <f t="array" ref="J318">IF($I318="","",_xlfn.TEXTJOIN("; ",TRUE,_xlfn.UNIQUE(_xlfn._xlws.FILTER($A$2:$A$3000,($C$2:$C$3000=$C318)*($E$2:$E$3000=$E318)*($G$2:$G$3000&lt;&gt;$G318)*($G$2:$G$3000&lt;&gt;""),""))))</f>
        <v/>
      </c>
    </row>
    <row r="319" spans="1:10" x14ac:dyDescent="0.25">
      <c r="A319" s="23" t="s">
        <v>677</v>
      </c>
      <c r="B319" s="37" t="str">
        <f>INDEX(Product!$B:$B,MATCH($A319,Product!$A:$A,0))</f>
        <v>[Bornsun] Xông hút đờm kín</v>
      </c>
      <c r="C319" s="37" t="str">
        <f>INDEX(Product!$D:$D,MATCH($A319,Product!$A:$A,0))</f>
        <v>Dây hút đàm</v>
      </c>
      <c r="D319" s="23" t="s">
        <v>2471</v>
      </c>
      <c r="E319" s="37" t="str">
        <f>INDEX('Attribute Definition'!$B:$B,MATCH($D319,'Attribute Definition'!$A:$A,0))</f>
        <v>Dạng sản phẩm</v>
      </c>
      <c r="F319" s="38" t="s">
        <v>2657</v>
      </c>
      <c r="G319" s="39" t="str" cm="1">
        <f t="array" ref="G319">_xlfn.TEXTJOIN("; ",TRUE,_xlfn.UNIQUE(_xlfn._xlws.FILTER('Product Variant Attribute'!$F$2:$F$3000,('Product Variant Attribute'!$B$2:$B$3000=$A319)*('Product Variant Attribute'!$D$2:$D$3000=$D319),"")))</f>
        <v>Ống / dây</v>
      </c>
      <c r="H319" s="39"/>
      <c r="I319" s="39"/>
      <c r="J319" s="39" t="str" cm="1">
        <f t="array" ref="J319">IF($I319="","",_xlfn.TEXTJOIN("; ",TRUE,_xlfn.UNIQUE(_xlfn._xlws.FILTER($A$2:$A$3000,($C$2:$C$3000=$C319)*($E$2:$E$3000=$E319)*($G$2:$G$3000&lt;&gt;$G319)*($G$2:$G$3000&lt;&gt;""),""))))</f>
        <v/>
      </c>
    </row>
    <row r="320" spans="1:10" ht="60" x14ac:dyDescent="0.25">
      <c r="A320" s="23" t="s">
        <v>677</v>
      </c>
      <c r="B320" s="37" t="str">
        <f>INDEX(Product!$B:$B,MATCH($A320,Product!$A:$A,0))</f>
        <v>[Bornsun] Xông hút đờm kín</v>
      </c>
      <c r="C320" s="37" t="str">
        <f>INDEX(Product!$D:$D,MATCH($A320,Product!$A:$A,0))</f>
        <v>Dây hút đàm</v>
      </c>
      <c r="D320" s="23" t="s">
        <v>2656</v>
      </c>
      <c r="E320" s="37" t="str">
        <f>INDEX('Attribute Definition'!$B:$B,MATCH($D320,'Attribute Definition'!$A:$A,0))</f>
        <v>Kích cỡ</v>
      </c>
      <c r="F320" s="38" t="s">
        <v>2485</v>
      </c>
      <c r="G320" s="39" t="str" cm="1">
        <f t="array" ref="G320">_xlfn.TEXTJOIN("; ",TRUE,_xlfn.UNIQUE(_xlfn._xlws.FILTER('Product Variant Attribute'!$F$2:$F$3000,('Product Variant Attribute'!$B$2:$B$3000=$A320)*('Product Variant Attribute'!$D$2:$D$3000=$D320),"")))</f>
        <v>12Fr; 14Fr</v>
      </c>
      <c r="H320" s="39" t="s">
        <v>2682</v>
      </c>
      <c r="I320" s="39"/>
      <c r="J320" s="39" t="str" cm="1">
        <f t="array" ref="J320">IF($I320="","",_xlfn.TEXTJOIN("; ",TRUE,_xlfn.UNIQUE(_xlfn._xlws.FILTER($A$2:$A$3000,($C$2:$C$3000=$C320)*($E$2:$E$3000=$E320)*($G$2:$G$3000&lt;&gt;$G320)*($G$2:$G$3000&lt;&gt;""),""))))</f>
        <v/>
      </c>
    </row>
    <row r="321" spans="1:10" x14ac:dyDescent="0.25">
      <c r="A321" s="23" t="s">
        <v>678</v>
      </c>
      <c r="B321" s="37" t="str">
        <f>INDEX(Product!$B:$B,MATCH($A321,Product!$A:$A,0))</f>
        <v>[Covidien] Nòng trong ống mở khí quản - Shiley SIC</v>
      </c>
      <c r="C321" s="37" t="str">
        <f>INDEX(Product!$D:$D,MATCH($A321,Product!$A:$A,0))</f>
        <v>Phụ kiện mở khí quản</v>
      </c>
      <c r="D321" s="23" t="s">
        <v>2471</v>
      </c>
      <c r="E321" s="37" t="str">
        <f>INDEX('Attribute Definition'!$B:$B,MATCH($D321,'Attribute Definition'!$A:$A,0))</f>
        <v>Dạng sản phẩm</v>
      </c>
      <c r="F321" s="38" t="s">
        <v>2657</v>
      </c>
      <c r="G321" s="39" t="str" cm="1">
        <f t="array" ref="G321">_xlfn.TEXTJOIN("; ",TRUE,_xlfn.UNIQUE(_xlfn._xlws.FILTER('Product Variant Attribute'!$F$2:$F$3000,('Product Variant Attribute'!$B$2:$B$3000=$A321)*('Product Variant Attribute'!$D$2:$D$3000=$D321),"")))</f>
        <v>Ống / dây</v>
      </c>
      <c r="H321" s="39"/>
      <c r="I321" s="39"/>
      <c r="J321" s="39" t="str" cm="1">
        <f t="array" ref="J321">IF($I321="","",_xlfn.TEXTJOIN("; ",TRUE,_xlfn.UNIQUE(_xlfn._xlws.FILTER($A$2:$A$3000,($C$2:$C$3000=$C321)*($E$2:$E$3000=$E321)*($G$2:$G$3000&lt;&gt;$G321)*($G$2:$G$3000&lt;&gt;""),""))))</f>
        <v/>
      </c>
    </row>
    <row r="322" spans="1:10" ht="30" x14ac:dyDescent="0.25">
      <c r="A322" s="23" t="s">
        <v>678</v>
      </c>
      <c r="B322" s="37" t="str">
        <f>INDEX(Product!$B:$B,MATCH($A322,Product!$A:$A,0))</f>
        <v>[Covidien] Nòng trong ống mở khí quản - Shiley SIC</v>
      </c>
      <c r="C322" s="37" t="str">
        <f>INDEX(Product!$D:$D,MATCH($A322,Product!$A:$A,0))</f>
        <v>Phụ kiện mở khí quản</v>
      </c>
      <c r="D322" s="23" t="s">
        <v>2656</v>
      </c>
      <c r="E322" s="37" t="str">
        <f>INDEX('Attribute Definition'!$B:$B,MATCH($D322,'Attribute Definition'!$A:$A,0))</f>
        <v>Kích cỡ</v>
      </c>
      <c r="F322" s="38" t="s">
        <v>2485</v>
      </c>
      <c r="G322" s="39" t="str" cm="1">
        <f t="array" ref="G322">_xlfn.TEXTJOIN("; ",TRUE,_xlfn.UNIQUE(_xlfn._xlws.FILTER('Product Variant Attribute'!$F$2:$F$3000,('Product Variant Attribute'!$B$2:$B$3000=$A322)*('Product Variant Attribute'!$D$2:$D$3000=$D322),"")))</f>
        <v>Số 6; Số 8</v>
      </c>
      <c r="H322" s="39" t="s">
        <v>2683</v>
      </c>
      <c r="I322" s="39"/>
      <c r="J322" s="39" t="str" cm="1">
        <f t="array" ref="J322">IF($I322="","",_xlfn.TEXTJOIN("; ",TRUE,_xlfn.UNIQUE(_xlfn._xlws.FILTER($A$2:$A$3000,($C$2:$C$3000=$C322)*($E$2:$E$3000=$E322)*($G$2:$G$3000&lt;&gt;$G322)*($G$2:$G$3000&lt;&gt;""),""))))</f>
        <v/>
      </c>
    </row>
    <row r="323" spans="1:10" x14ac:dyDescent="0.25">
      <c r="A323" s="23" t="s">
        <v>679</v>
      </c>
      <c r="B323" s="37" t="str">
        <f>INDEX(Product!$B:$B,MATCH($A323,Product!$A:$A,0))</f>
        <v>[Covidien] Ống mở khí quản 2 nòng có bóng - Shiley LPC</v>
      </c>
      <c r="C323" s="37" t="str">
        <f>INDEX(Product!$D:$D,MATCH($A323,Product!$A:$A,0))</f>
        <v>Ống mở khí quản</v>
      </c>
      <c r="D323" s="23" t="s">
        <v>2411</v>
      </c>
      <c r="E323" s="37" t="str">
        <f>INDEX('Attribute Definition'!$B:$B,MATCH($D323,'Attribute Definition'!$A:$A,0))</f>
        <v>Số nòng / nhánh</v>
      </c>
      <c r="F323" s="38" t="s">
        <v>2657</v>
      </c>
      <c r="G323" s="39" t="str" cm="1">
        <f t="array" ref="G323">_xlfn.TEXTJOIN("; ",TRUE,_xlfn.UNIQUE(_xlfn._xlws.FILTER('Product Variant Attribute'!$F$2:$F$3000,('Product Variant Attribute'!$B$2:$B$3000=$A323)*('Product Variant Attribute'!$D$2:$D$3000=$D323),"")))</f>
        <v>2 nòng</v>
      </c>
      <c r="H323" s="39"/>
      <c r="I323" s="39"/>
      <c r="J323" s="39" t="str" cm="1">
        <f t="array" ref="J323">IF($I323="","",_xlfn.TEXTJOIN("; ",TRUE,_xlfn.UNIQUE(_xlfn._xlws.FILTER($A$2:$A$3000,($C$2:$C$3000=$C323)*($E$2:$E$3000=$E323)*($G$2:$G$3000&lt;&gt;$G323)*($G$2:$G$3000&lt;&gt;""),""))))</f>
        <v/>
      </c>
    </row>
    <row r="324" spans="1:10" ht="45" x14ac:dyDescent="0.25">
      <c r="A324" s="23" t="s">
        <v>679</v>
      </c>
      <c r="B324" s="37" t="str">
        <f>INDEX(Product!$B:$B,MATCH($A324,Product!$A:$A,0))</f>
        <v>[Covidien] Ống mở khí quản 2 nòng có bóng - Shiley LPC</v>
      </c>
      <c r="C324" s="37" t="str">
        <f>INDEX(Product!$D:$D,MATCH($A324,Product!$A:$A,0))</f>
        <v>Ống mở khí quản</v>
      </c>
      <c r="D324" s="23" t="s">
        <v>2416</v>
      </c>
      <c r="E324" s="37" t="str">
        <f>INDEX('Attribute Definition'!$B:$B,MATCH($D324,'Attribute Definition'!$A:$A,0))</f>
        <v>Bóng chèn</v>
      </c>
      <c r="F324" s="38" t="s">
        <v>2657</v>
      </c>
      <c r="G324" s="39" t="str" cm="1">
        <f t="array" ref="G324">_xlfn.TEXTJOIN("; ",TRUE,_xlfn.UNIQUE(_xlfn._xlws.FILTER('Product Variant Attribute'!$F$2:$F$3000,('Product Variant Attribute'!$B$2:$B$3000=$A324)*('Product Variant Attribute'!$D$2:$D$3000=$D324),"")))</f>
        <v>Có bóng</v>
      </c>
      <c r="H324" s="39"/>
      <c r="I324" s="39" t="s">
        <v>2742</v>
      </c>
      <c r="J324" s="39" t="str" cm="1">
        <f t="array" ref="J324">IF($I324="","",_xlfn.TEXTJOIN("; ",TRUE,_xlfn.UNIQUE(_xlfn._xlws.FILTER($A$2:$A$3000,($C$2:$C$3000=$C324)*($E$2:$E$3000=$E324)*($G$2:$G$3000&lt;&gt;$G324)*($G$2:$G$3000&lt;&gt;""),""))))</f>
        <v>PRODUCT-00120; PRODUCT-00144; PRODUCT-00145; PRODUCT-00165; PRODUCT-00166</v>
      </c>
    </row>
    <row r="325" spans="1:10" x14ac:dyDescent="0.25">
      <c r="A325" s="23" t="s">
        <v>679</v>
      </c>
      <c r="B325" s="37" t="str">
        <f>INDEX(Product!$B:$B,MATCH($A325,Product!$A:$A,0))</f>
        <v>[Covidien] Ống mở khí quản 2 nòng có bóng - Shiley LPC</v>
      </c>
      <c r="C325" s="37" t="str">
        <f>INDEX(Product!$D:$D,MATCH($A325,Product!$A:$A,0))</f>
        <v>Ống mở khí quản</v>
      </c>
      <c r="D325" s="23" t="s">
        <v>2471</v>
      </c>
      <c r="E325" s="37" t="str">
        <f>INDEX('Attribute Definition'!$B:$B,MATCH($D325,'Attribute Definition'!$A:$A,0))</f>
        <v>Dạng sản phẩm</v>
      </c>
      <c r="F325" s="38" t="s">
        <v>2657</v>
      </c>
      <c r="G325" s="39" t="str" cm="1">
        <f t="array" ref="G325">_xlfn.TEXTJOIN("; ",TRUE,_xlfn.UNIQUE(_xlfn._xlws.FILTER('Product Variant Attribute'!$F$2:$F$3000,('Product Variant Attribute'!$B$2:$B$3000=$A325)*('Product Variant Attribute'!$D$2:$D$3000=$D325),"")))</f>
        <v>Ống / dây</v>
      </c>
      <c r="H325" s="39"/>
      <c r="I325" s="39"/>
      <c r="J325" s="39" t="str" cm="1">
        <f t="array" ref="J325">IF($I325="","",_xlfn.TEXTJOIN("; ",TRUE,_xlfn.UNIQUE(_xlfn._xlws.FILTER($A$2:$A$3000,($C$2:$C$3000=$C325)*($E$2:$E$3000=$E325)*($G$2:$G$3000&lt;&gt;$G325)*($G$2:$G$3000&lt;&gt;""),""))))</f>
        <v/>
      </c>
    </row>
    <row r="326" spans="1:10" ht="45" x14ac:dyDescent="0.25">
      <c r="A326" s="23" t="s">
        <v>679</v>
      </c>
      <c r="B326" s="37" t="str">
        <f>INDEX(Product!$B:$B,MATCH($A326,Product!$A:$A,0))</f>
        <v>[Covidien] Ống mở khí quản 2 nòng có bóng - Shiley LPC</v>
      </c>
      <c r="C326" s="37" t="str">
        <f>INDEX(Product!$D:$D,MATCH($A326,Product!$A:$A,0))</f>
        <v>Ống mở khí quản</v>
      </c>
      <c r="D326" s="23" t="s">
        <v>2656</v>
      </c>
      <c r="E326" s="37" t="str">
        <f>INDEX('Attribute Definition'!$B:$B,MATCH($D326,'Attribute Definition'!$A:$A,0))</f>
        <v>Kích cỡ</v>
      </c>
      <c r="F326" s="38" t="s">
        <v>2485</v>
      </c>
      <c r="G326" s="39" t="str" cm="1">
        <f t="array" ref="G326">_xlfn.TEXTJOIN("; ",TRUE,_xlfn.UNIQUE(_xlfn._xlws.FILTER('Product Variant Attribute'!$F$2:$F$3000,('Product Variant Attribute'!$B$2:$B$3000=$A326)*('Product Variant Attribute'!$D$2:$D$3000=$D326),"")))</f>
        <v>Số 6; Số 8</v>
      </c>
      <c r="H326" s="39" t="s">
        <v>2684</v>
      </c>
      <c r="I326" s="39"/>
      <c r="J326" s="39" t="str" cm="1">
        <f t="array" ref="J326">IF($I326="","",_xlfn.TEXTJOIN("; ",TRUE,_xlfn.UNIQUE(_xlfn._xlws.FILTER($A$2:$A$3000,($C$2:$C$3000=$C326)*($E$2:$E$3000=$E326)*($G$2:$G$3000&lt;&gt;$G326)*($G$2:$G$3000&lt;&gt;""),""))))</f>
        <v/>
      </c>
    </row>
    <row r="327" spans="1:10" x14ac:dyDescent="0.25">
      <c r="A327" s="23" t="s">
        <v>680</v>
      </c>
      <c r="B327" s="37" t="str">
        <f>INDEX(Product!$B:$B,MATCH($A327,Product!$A:$A,0))</f>
        <v>[Covidien] Ống mở khí quản 2 nòng có bóng, có cửa sổ - Shiley FEN</v>
      </c>
      <c r="C327" s="37" t="str">
        <f>INDEX(Product!$D:$D,MATCH($A327,Product!$A:$A,0))</f>
        <v>Ống mở khí quản</v>
      </c>
      <c r="D327" s="23" t="s">
        <v>2411</v>
      </c>
      <c r="E327" s="37" t="str">
        <f>INDEX('Attribute Definition'!$B:$B,MATCH($D327,'Attribute Definition'!$A:$A,0))</f>
        <v>Số nòng / nhánh</v>
      </c>
      <c r="F327" s="38" t="s">
        <v>2657</v>
      </c>
      <c r="G327" s="39" t="str" cm="1">
        <f t="array" ref="G327">_xlfn.TEXTJOIN("; ",TRUE,_xlfn.UNIQUE(_xlfn._xlws.FILTER('Product Variant Attribute'!$F$2:$F$3000,('Product Variant Attribute'!$B$2:$B$3000=$A327)*('Product Variant Attribute'!$D$2:$D$3000=$D327),"")))</f>
        <v>2 nòng</v>
      </c>
      <c r="H327" s="39"/>
      <c r="I327" s="39"/>
      <c r="J327" s="39" t="str" cm="1">
        <f t="array" ref="J327">IF($I327="","",_xlfn.TEXTJOIN("; ",TRUE,_xlfn.UNIQUE(_xlfn._xlws.FILTER($A$2:$A$3000,($C$2:$C$3000=$C327)*($E$2:$E$3000=$E327)*($G$2:$G$3000&lt;&gt;$G327)*($G$2:$G$3000&lt;&gt;""),""))))</f>
        <v/>
      </c>
    </row>
    <row r="328" spans="1:10" ht="45" x14ac:dyDescent="0.25">
      <c r="A328" s="23" t="s">
        <v>680</v>
      </c>
      <c r="B328" s="37" t="str">
        <f>INDEX(Product!$B:$B,MATCH($A328,Product!$A:$A,0))</f>
        <v>[Covidien] Ống mở khí quản 2 nòng có bóng, có cửa sổ - Shiley FEN</v>
      </c>
      <c r="C328" s="37" t="str">
        <f>INDEX(Product!$D:$D,MATCH($A328,Product!$A:$A,0))</f>
        <v>Ống mở khí quản</v>
      </c>
      <c r="D328" s="23" t="s">
        <v>2416</v>
      </c>
      <c r="E328" s="37" t="str">
        <f>INDEX('Attribute Definition'!$B:$B,MATCH($D328,'Attribute Definition'!$A:$A,0))</f>
        <v>Bóng chèn</v>
      </c>
      <c r="F328" s="38" t="s">
        <v>2657</v>
      </c>
      <c r="G328" s="39" t="str" cm="1">
        <f t="array" ref="G328">_xlfn.TEXTJOIN("; ",TRUE,_xlfn.UNIQUE(_xlfn._xlws.FILTER('Product Variant Attribute'!$F$2:$F$3000,('Product Variant Attribute'!$B$2:$B$3000=$A328)*('Product Variant Attribute'!$D$2:$D$3000=$D328),"")))</f>
        <v>Có bóng</v>
      </c>
      <c r="H328" s="39"/>
      <c r="I328" s="39" t="s">
        <v>2742</v>
      </c>
      <c r="J328" s="39" t="str" cm="1">
        <f t="array" ref="J328">IF($I328="","",_xlfn.TEXTJOIN("; ",TRUE,_xlfn.UNIQUE(_xlfn._xlws.FILTER($A$2:$A$3000,($C$2:$C$3000=$C328)*($E$2:$E$3000=$E328)*($G$2:$G$3000&lt;&gt;$G328)*($G$2:$G$3000&lt;&gt;""),""))))</f>
        <v>PRODUCT-00120; PRODUCT-00144; PRODUCT-00145; PRODUCT-00165; PRODUCT-00166</v>
      </c>
    </row>
    <row r="329" spans="1:10" ht="45" x14ac:dyDescent="0.25">
      <c r="A329" s="23" t="s">
        <v>680</v>
      </c>
      <c r="B329" s="37" t="str">
        <f>INDEX(Product!$B:$B,MATCH($A329,Product!$A:$A,0))</f>
        <v>[Covidien] Ống mở khí quản 2 nòng có bóng, có cửa sổ - Shiley FEN</v>
      </c>
      <c r="C329" s="37" t="str">
        <f>INDEX(Product!$D:$D,MATCH($A329,Product!$A:$A,0))</f>
        <v>Ống mở khí quản</v>
      </c>
      <c r="D329" s="23" t="s">
        <v>2421</v>
      </c>
      <c r="E329" s="37" t="str">
        <f>INDEX('Attribute Definition'!$B:$B,MATCH($D329,'Attribute Definition'!$A:$A,0))</f>
        <v>Cửa sổ</v>
      </c>
      <c r="F329" s="38" t="s">
        <v>2657</v>
      </c>
      <c r="G329" s="39" t="str" cm="1">
        <f t="array" ref="G329">_xlfn.TEXTJOIN("; ",TRUE,_xlfn.UNIQUE(_xlfn._xlws.FILTER('Product Variant Attribute'!$F$2:$F$3000,('Product Variant Attribute'!$B$2:$B$3000=$A329)*('Product Variant Attribute'!$D$2:$D$3000=$D329),"")))</f>
        <v>Có cửa sổ</v>
      </c>
      <c r="H329" s="39"/>
      <c r="I329" s="39" t="s">
        <v>2743</v>
      </c>
      <c r="J329" s="39" t="str" cm="1">
        <f t="array" ref="J329">IF($I329="","",_xlfn.TEXTJOIN("; ",TRUE,_xlfn.UNIQUE(_xlfn._xlws.FILTER($A$2:$A$3000,($C$2:$C$3000=$C329)*($E$2:$E$3000=$E329)*($G$2:$G$3000&lt;&gt;$G329)*($G$2:$G$3000&lt;&gt;""),""))))</f>
        <v>PRODUCT-00164; PRODUCT-00166</v>
      </c>
    </row>
    <row r="330" spans="1:10" x14ac:dyDescent="0.25">
      <c r="A330" s="23" t="s">
        <v>680</v>
      </c>
      <c r="B330" s="37" t="str">
        <f>INDEX(Product!$B:$B,MATCH($A330,Product!$A:$A,0))</f>
        <v>[Covidien] Ống mở khí quản 2 nòng có bóng, có cửa sổ - Shiley FEN</v>
      </c>
      <c r="C330" s="37" t="str">
        <f>INDEX(Product!$D:$D,MATCH($A330,Product!$A:$A,0))</f>
        <v>Ống mở khí quản</v>
      </c>
      <c r="D330" s="23" t="s">
        <v>2471</v>
      </c>
      <c r="E330" s="37" t="str">
        <f>INDEX('Attribute Definition'!$B:$B,MATCH($D330,'Attribute Definition'!$A:$A,0))</f>
        <v>Dạng sản phẩm</v>
      </c>
      <c r="F330" s="38" t="s">
        <v>2657</v>
      </c>
      <c r="G330" s="39" t="str" cm="1">
        <f t="array" ref="G330">_xlfn.TEXTJOIN("; ",TRUE,_xlfn.UNIQUE(_xlfn._xlws.FILTER('Product Variant Attribute'!$F$2:$F$3000,('Product Variant Attribute'!$B$2:$B$3000=$A330)*('Product Variant Attribute'!$D$2:$D$3000=$D330),"")))</f>
        <v>Ống / dây</v>
      </c>
      <c r="H330" s="39"/>
      <c r="I330" s="39"/>
      <c r="J330" s="39" t="str" cm="1">
        <f t="array" ref="J330">IF($I330="","",_xlfn.TEXTJOIN("; ",TRUE,_xlfn.UNIQUE(_xlfn._xlws.FILTER($A$2:$A$3000,($C$2:$C$3000=$C330)*($E$2:$E$3000=$E330)*($G$2:$G$3000&lt;&gt;$G330)*($G$2:$G$3000&lt;&gt;""),""))))</f>
        <v/>
      </c>
    </row>
    <row r="331" spans="1:10" ht="45" x14ac:dyDescent="0.25">
      <c r="A331" s="23" t="s">
        <v>680</v>
      </c>
      <c r="B331" s="37" t="str">
        <f>INDEX(Product!$B:$B,MATCH($A331,Product!$A:$A,0))</f>
        <v>[Covidien] Ống mở khí quản 2 nòng có bóng, có cửa sổ - Shiley FEN</v>
      </c>
      <c r="C331" s="37" t="str">
        <f>INDEX(Product!$D:$D,MATCH($A331,Product!$A:$A,0))</f>
        <v>Ống mở khí quản</v>
      </c>
      <c r="D331" s="23" t="s">
        <v>2656</v>
      </c>
      <c r="E331" s="37" t="str">
        <f>INDEX('Attribute Definition'!$B:$B,MATCH($D331,'Attribute Definition'!$A:$A,0))</f>
        <v>Kích cỡ</v>
      </c>
      <c r="F331" s="38" t="s">
        <v>2485</v>
      </c>
      <c r="G331" s="39" t="str" cm="1">
        <f t="array" ref="G331">_xlfn.TEXTJOIN("; ",TRUE,_xlfn.UNIQUE(_xlfn._xlws.FILTER('Product Variant Attribute'!$F$2:$F$3000,('Product Variant Attribute'!$B$2:$B$3000=$A331)*('Product Variant Attribute'!$D$2:$D$3000=$D331),"")))</f>
        <v>Số 6; Số 8</v>
      </c>
      <c r="H331" s="39" t="s">
        <v>2684</v>
      </c>
      <c r="I331" s="39"/>
      <c r="J331" s="39" t="str" cm="1">
        <f t="array" ref="J331">IF($I331="","",_xlfn.TEXTJOIN("; ",TRUE,_xlfn.UNIQUE(_xlfn._xlws.FILTER($A$2:$A$3000,($C$2:$C$3000=$C331)*($E$2:$E$3000=$E331)*($G$2:$G$3000&lt;&gt;$G331)*($G$2:$G$3000&lt;&gt;""),""))))</f>
        <v/>
      </c>
    </row>
    <row r="332" spans="1:10" x14ac:dyDescent="0.25">
      <c r="A332" s="23" t="s">
        <v>681</v>
      </c>
      <c r="B332" s="37" t="str">
        <f>INDEX(Product!$B:$B,MATCH($A332,Product!$A:$A,0))</f>
        <v>[Covidien] Ống mở khí quản 2 nòng không bóng, có cửa sổ - Shiley CFN</v>
      </c>
      <c r="C332" s="37" t="str">
        <f>INDEX(Product!$D:$D,MATCH($A332,Product!$A:$A,0))</f>
        <v>Ống mở khí quản</v>
      </c>
      <c r="D332" s="23" t="s">
        <v>2411</v>
      </c>
      <c r="E332" s="37" t="str">
        <f>INDEX('Attribute Definition'!$B:$B,MATCH($D332,'Attribute Definition'!$A:$A,0))</f>
        <v>Số nòng / nhánh</v>
      </c>
      <c r="F332" s="38" t="s">
        <v>2657</v>
      </c>
      <c r="G332" s="39" t="str" cm="1">
        <f t="array" ref="G332">_xlfn.TEXTJOIN("; ",TRUE,_xlfn.UNIQUE(_xlfn._xlws.FILTER('Product Variant Attribute'!$F$2:$F$3000,('Product Variant Attribute'!$B$2:$B$3000=$A332)*('Product Variant Attribute'!$D$2:$D$3000=$D332),"")))</f>
        <v>2 nòng</v>
      </c>
      <c r="H332" s="39"/>
      <c r="I332" s="39"/>
      <c r="J332" s="39" t="str" cm="1">
        <f t="array" ref="J332">IF($I332="","",_xlfn.TEXTJOIN("; ",TRUE,_xlfn.UNIQUE(_xlfn._xlws.FILTER($A$2:$A$3000,($C$2:$C$3000=$C332)*($E$2:$E$3000=$E332)*($G$2:$G$3000&lt;&gt;$G332)*($G$2:$G$3000&lt;&gt;""),""))))</f>
        <v/>
      </c>
    </row>
    <row r="333" spans="1:10" ht="60" x14ac:dyDescent="0.25">
      <c r="A333" s="23" t="s">
        <v>681</v>
      </c>
      <c r="B333" s="37" t="str">
        <f>INDEX(Product!$B:$B,MATCH($A333,Product!$A:$A,0))</f>
        <v>[Covidien] Ống mở khí quản 2 nòng không bóng, có cửa sổ - Shiley CFN</v>
      </c>
      <c r="C333" s="37" t="str">
        <f>INDEX(Product!$D:$D,MATCH($A333,Product!$A:$A,0))</f>
        <v>Ống mở khí quản</v>
      </c>
      <c r="D333" s="23" t="s">
        <v>2416</v>
      </c>
      <c r="E333" s="37" t="str">
        <f>INDEX('Attribute Definition'!$B:$B,MATCH($D333,'Attribute Definition'!$A:$A,0))</f>
        <v>Bóng chèn</v>
      </c>
      <c r="F333" s="38" t="s">
        <v>2657</v>
      </c>
      <c r="G333" s="39" t="str" cm="1">
        <f t="array" ref="G333">_xlfn.TEXTJOIN("; ",TRUE,_xlfn.UNIQUE(_xlfn._xlws.FILTER('Product Variant Attribute'!$F$2:$F$3000,('Product Variant Attribute'!$B$2:$B$3000=$A333)*('Product Variant Attribute'!$D$2:$D$3000=$D333),"")))</f>
        <v>Không bóng</v>
      </c>
      <c r="H333" s="39"/>
      <c r="I333" s="39" t="s">
        <v>2744</v>
      </c>
      <c r="J333" s="39" t="str" cm="1">
        <f t="array" ref="J333">IF($I333="","",_xlfn.TEXTJOIN("; ",TRUE,_xlfn.UNIQUE(_xlfn._xlws.FILTER($A$2:$A$3000,($C$2:$C$3000=$C333)*($E$2:$E$3000=$E333)*($G$2:$G$3000&lt;&gt;$G333)*($G$2:$G$3000&lt;&gt;""),""))))</f>
        <v>PRODUCT-00118; PRODUCT-00119; PRODUCT-00140; PRODUCT-00141; PRODUCT-00142; PRODUCT-00143; PRODUCT-00163; PRODUCT-00164</v>
      </c>
    </row>
    <row r="334" spans="1:10" ht="45" x14ac:dyDescent="0.25">
      <c r="A334" s="23" t="s">
        <v>681</v>
      </c>
      <c r="B334" s="37" t="str">
        <f>INDEX(Product!$B:$B,MATCH($A334,Product!$A:$A,0))</f>
        <v>[Covidien] Ống mở khí quản 2 nòng không bóng, có cửa sổ - Shiley CFN</v>
      </c>
      <c r="C334" s="37" t="str">
        <f>INDEX(Product!$D:$D,MATCH($A334,Product!$A:$A,0))</f>
        <v>Ống mở khí quản</v>
      </c>
      <c r="D334" s="23" t="s">
        <v>2421</v>
      </c>
      <c r="E334" s="37" t="str">
        <f>INDEX('Attribute Definition'!$B:$B,MATCH($D334,'Attribute Definition'!$A:$A,0))</f>
        <v>Cửa sổ</v>
      </c>
      <c r="F334" s="38" t="s">
        <v>2657</v>
      </c>
      <c r="G334" s="39" t="str" cm="1">
        <f t="array" ref="G334">_xlfn.TEXTJOIN("; ",TRUE,_xlfn.UNIQUE(_xlfn._xlws.FILTER('Product Variant Attribute'!$F$2:$F$3000,('Product Variant Attribute'!$B$2:$B$3000=$A334)*('Product Variant Attribute'!$D$2:$D$3000=$D334),"")))</f>
        <v>Có cửa sổ</v>
      </c>
      <c r="H334" s="39"/>
      <c r="I334" s="39" t="s">
        <v>2743</v>
      </c>
      <c r="J334" s="39" t="str" cm="1">
        <f t="array" ref="J334">IF($I334="","",_xlfn.TEXTJOIN("; ",TRUE,_xlfn.UNIQUE(_xlfn._xlws.FILTER($A$2:$A$3000,($C$2:$C$3000=$C334)*($E$2:$E$3000=$E334)*($G$2:$G$3000&lt;&gt;$G334)*($G$2:$G$3000&lt;&gt;""),""))))</f>
        <v>PRODUCT-00164; PRODUCT-00166</v>
      </c>
    </row>
    <row r="335" spans="1:10" x14ac:dyDescent="0.25">
      <c r="A335" s="23" t="s">
        <v>681</v>
      </c>
      <c r="B335" s="37" t="str">
        <f>INDEX(Product!$B:$B,MATCH($A335,Product!$A:$A,0))</f>
        <v>[Covidien] Ống mở khí quản 2 nòng không bóng, có cửa sổ - Shiley CFN</v>
      </c>
      <c r="C335" s="37" t="str">
        <f>INDEX(Product!$D:$D,MATCH($A335,Product!$A:$A,0))</f>
        <v>Ống mở khí quản</v>
      </c>
      <c r="D335" s="23" t="s">
        <v>2471</v>
      </c>
      <c r="E335" s="37" t="str">
        <f>INDEX('Attribute Definition'!$B:$B,MATCH($D335,'Attribute Definition'!$A:$A,0))</f>
        <v>Dạng sản phẩm</v>
      </c>
      <c r="F335" s="38" t="s">
        <v>2657</v>
      </c>
      <c r="G335" s="39" t="str" cm="1">
        <f t="array" ref="G335">_xlfn.TEXTJOIN("; ",TRUE,_xlfn.UNIQUE(_xlfn._xlws.FILTER('Product Variant Attribute'!$F$2:$F$3000,('Product Variant Attribute'!$B$2:$B$3000=$A335)*('Product Variant Attribute'!$D$2:$D$3000=$D335),"")))</f>
        <v>Ống / dây</v>
      </c>
      <c r="H335" s="39"/>
      <c r="I335" s="39"/>
      <c r="J335" s="39" t="str" cm="1">
        <f t="array" ref="J335">IF($I335="","",_xlfn.TEXTJOIN("; ",TRUE,_xlfn.UNIQUE(_xlfn._xlws.FILTER($A$2:$A$3000,($C$2:$C$3000=$C335)*($E$2:$E$3000=$E335)*($G$2:$G$3000&lt;&gt;$G335)*($G$2:$G$3000&lt;&gt;""),""))))</f>
        <v/>
      </c>
    </row>
    <row r="336" spans="1:10" ht="45" x14ac:dyDescent="0.25">
      <c r="A336" s="23" t="s">
        <v>681</v>
      </c>
      <c r="B336" s="37" t="str">
        <f>INDEX(Product!$B:$B,MATCH($A336,Product!$A:$A,0))</f>
        <v>[Covidien] Ống mở khí quản 2 nòng không bóng, có cửa sổ - Shiley CFN</v>
      </c>
      <c r="C336" s="37" t="str">
        <f>INDEX(Product!$D:$D,MATCH($A336,Product!$A:$A,0))</f>
        <v>Ống mở khí quản</v>
      </c>
      <c r="D336" s="23" t="s">
        <v>2656</v>
      </c>
      <c r="E336" s="37" t="str">
        <f>INDEX('Attribute Definition'!$B:$B,MATCH($D336,'Attribute Definition'!$A:$A,0))</f>
        <v>Kích cỡ</v>
      </c>
      <c r="F336" s="38" t="s">
        <v>2485</v>
      </c>
      <c r="G336" s="39" t="str" cm="1">
        <f t="array" ref="G336">_xlfn.TEXTJOIN("; ",TRUE,_xlfn.UNIQUE(_xlfn._xlws.FILTER('Product Variant Attribute'!$F$2:$F$3000,('Product Variant Attribute'!$B$2:$B$3000=$A336)*('Product Variant Attribute'!$D$2:$D$3000=$D336),"")))</f>
        <v>Số 6; Số 8</v>
      </c>
      <c r="H336" s="39" t="s">
        <v>2684</v>
      </c>
      <c r="I336" s="39"/>
      <c r="J336" s="39" t="str" cm="1">
        <f t="array" ref="J336">IF($I336="","",_xlfn.TEXTJOIN("; ",TRUE,_xlfn.UNIQUE(_xlfn._xlws.FILTER($A$2:$A$3000,($C$2:$C$3000=$C336)*($E$2:$E$3000=$E336)*($G$2:$G$3000&lt;&gt;$G336)*($G$2:$G$3000&lt;&gt;""),""))))</f>
        <v/>
      </c>
    </row>
    <row r="337" spans="1:10" x14ac:dyDescent="0.25">
      <c r="A337" s="23" t="s">
        <v>682</v>
      </c>
      <c r="B337" s="37" t="str">
        <f>INDEX(Product!$B:$B,MATCH($A337,Product!$A:$A,0))</f>
        <v>[Fuji System] Ống chẹn phế quản cô lập phổi - Uniblocker</v>
      </c>
      <c r="C337" s="37" t="str">
        <f>INDEX(Product!$D:$D,MATCH($A337,Product!$A:$A,0))</f>
        <v>Ống nội khí quản</v>
      </c>
      <c r="D337" s="23" t="s">
        <v>2471</v>
      </c>
      <c r="E337" s="37" t="str">
        <f>INDEX('Attribute Definition'!$B:$B,MATCH($D337,'Attribute Definition'!$A:$A,0))</f>
        <v>Dạng sản phẩm</v>
      </c>
      <c r="F337" s="38" t="s">
        <v>2657</v>
      </c>
      <c r="G337" s="39" t="str" cm="1">
        <f t="array" ref="G337">_xlfn.TEXTJOIN("; ",TRUE,_xlfn.UNIQUE(_xlfn._xlws.FILTER('Product Variant Attribute'!$F$2:$F$3000,('Product Variant Attribute'!$B$2:$B$3000=$A337)*('Product Variant Attribute'!$D$2:$D$3000=$D337),"")))</f>
        <v>Ống / dây</v>
      </c>
      <c r="H337" s="39"/>
      <c r="I337" s="39"/>
      <c r="J337" s="39" t="str" cm="1">
        <f t="array" ref="J337">IF($I337="","",_xlfn.TEXTJOIN("; ",TRUE,_xlfn.UNIQUE(_xlfn._xlws.FILTER($A$2:$A$3000,($C$2:$C$3000=$C337)*($E$2:$E$3000=$E337)*($G$2:$G$3000&lt;&gt;$G337)*($G$2:$G$3000&lt;&gt;""),""))))</f>
        <v/>
      </c>
    </row>
    <row r="338" spans="1:10" ht="45" x14ac:dyDescent="0.25">
      <c r="A338" s="23" t="s">
        <v>682</v>
      </c>
      <c r="B338" s="37" t="str">
        <f>INDEX(Product!$B:$B,MATCH($A338,Product!$A:$A,0))</f>
        <v>[Fuji System] Ống chẹn phế quản cô lập phổi - Uniblocker</v>
      </c>
      <c r="C338" s="37" t="str">
        <f>INDEX(Product!$D:$D,MATCH($A338,Product!$A:$A,0))</f>
        <v>Ống nội khí quản</v>
      </c>
      <c r="D338" s="23" t="s">
        <v>2656</v>
      </c>
      <c r="E338" s="37" t="str">
        <f>INDEX('Attribute Definition'!$B:$B,MATCH($D338,'Attribute Definition'!$A:$A,0))</f>
        <v>Kích cỡ</v>
      </c>
      <c r="F338" s="38" t="s">
        <v>2485</v>
      </c>
      <c r="G338" s="39" t="str" cm="1">
        <f t="array" ref="G338">_xlfn.TEXTJOIN("; ",TRUE,_xlfn.UNIQUE(_xlfn._xlws.FILTER('Product Variant Attribute'!$F$2:$F$3000,('Product Variant Attribute'!$B$2:$B$3000=$A338)*('Product Variant Attribute'!$D$2:$D$3000=$D338),"")))</f>
        <v>5Fr; 9Fr</v>
      </c>
      <c r="H338" s="39" t="s">
        <v>2685</v>
      </c>
      <c r="I338" s="39"/>
      <c r="J338" s="39" t="str" cm="1">
        <f t="array" ref="J338">IF($I338="","",_xlfn.TEXTJOIN("; ",TRUE,_xlfn.UNIQUE(_xlfn._xlws.FILTER($A$2:$A$3000,($C$2:$C$3000=$C338)*($E$2:$E$3000=$E338)*($G$2:$G$3000&lt;&gt;$G338)*($G$2:$G$3000&lt;&gt;""),""))))</f>
        <v/>
      </c>
    </row>
    <row r="339" spans="1:10" x14ac:dyDescent="0.25">
      <c r="A339" s="23" t="s">
        <v>683</v>
      </c>
      <c r="B339" s="37" t="str">
        <f>INDEX(Product!$B:$B,MATCH($A339,Product!$A:$A,0))</f>
        <v>[Fuji System] Ống nội khí quản 2 nòng - Silbroncho (Carlens)</v>
      </c>
      <c r="C339" s="37" t="str">
        <f>INDEX(Product!$D:$D,MATCH($A339,Product!$A:$A,0))</f>
        <v>Ống nội khí quản</v>
      </c>
      <c r="D339" s="23" t="s">
        <v>2367</v>
      </c>
      <c r="E339" s="37" t="str">
        <f>INDEX('Attribute Definition'!$B:$B,MATCH($D339,'Attribute Definition'!$A:$A,0))</f>
        <v>Chất liệu</v>
      </c>
      <c r="F339" s="38" t="s">
        <v>2657</v>
      </c>
      <c r="G339" s="39" t="str" cm="1">
        <f t="array" ref="G339">_xlfn.TEXTJOIN("; ",TRUE,_xlfn.UNIQUE(_xlfn._xlws.FILTER('Product Variant Attribute'!$F$2:$F$3000,('Product Variant Attribute'!$B$2:$B$3000=$A339)*('Product Variant Attribute'!$D$2:$D$3000=$D339),"")))</f>
        <v>Silicone</v>
      </c>
      <c r="H339" s="39"/>
      <c r="I339" s="39"/>
      <c r="J339" s="39" t="str" cm="1">
        <f t="array" ref="J339">IF($I339="","",_xlfn.TEXTJOIN("; ",TRUE,_xlfn.UNIQUE(_xlfn._xlws.FILTER($A$2:$A$3000,($C$2:$C$3000=$C339)*($E$2:$E$3000=$E339)*($G$2:$G$3000&lt;&gt;$G339)*($G$2:$G$3000&lt;&gt;""),""))))</f>
        <v/>
      </c>
    </row>
    <row r="340" spans="1:10" x14ac:dyDescent="0.25">
      <c r="A340" s="23" t="s">
        <v>683</v>
      </c>
      <c r="B340" s="37" t="str">
        <f>INDEX(Product!$B:$B,MATCH($A340,Product!$A:$A,0))</f>
        <v>[Fuji System] Ống nội khí quản 2 nòng - Silbroncho (Carlens)</v>
      </c>
      <c r="C340" s="37" t="str">
        <f>INDEX(Product!$D:$D,MATCH($A340,Product!$A:$A,0))</f>
        <v>Ống nội khí quản</v>
      </c>
      <c r="D340" s="23" t="s">
        <v>2411</v>
      </c>
      <c r="E340" s="37" t="str">
        <f>INDEX('Attribute Definition'!$B:$B,MATCH($D340,'Attribute Definition'!$A:$A,0))</f>
        <v>Số nòng / nhánh</v>
      </c>
      <c r="F340" s="38" t="s">
        <v>2657</v>
      </c>
      <c r="G340" s="39" t="str" cm="1">
        <f t="array" ref="G340">_xlfn.TEXTJOIN("; ",TRUE,_xlfn.UNIQUE(_xlfn._xlws.FILTER('Product Variant Attribute'!$F$2:$F$3000,('Product Variant Attribute'!$B$2:$B$3000=$A340)*('Product Variant Attribute'!$D$2:$D$3000=$D340),"")))</f>
        <v>2 nòng</v>
      </c>
      <c r="H340" s="39"/>
      <c r="I340" s="39"/>
      <c r="J340" s="39" t="str" cm="1">
        <f t="array" ref="J340">IF($I340="","",_xlfn.TEXTJOIN("; ",TRUE,_xlfn.UNIQUE(_xlfn._xlws.FILTER($A$2:$A$3000,($C$2:$C$3000=$C340)*($E$2:$E$3000=$E340)*($G$2:$G$3000&lt;&gt;$G340)*($G$2:$G$3000&lt;&gt;""),""))))</f>
        <v/>
      </c>
    </row>
    <row r="341" spans="1:10" x14ac:dyDescent="0.25">
      <c r="A341" s="23" t="s">
        <v>683</v>
      </c>
      <c r="B341" s="37" t="str">
        <f>INDEX(Product!$B:$B,MATCH($A341,Product!$A:$A,0))</f>
        <v>[Fuji System] Ống nội khí quản 2 nòng - Silbroncho (Carlens)</v>
      </c>
      <c r="C341" s="37" t="str">
        <f>INDEX(Product!$D:$D,MATCH($A341,Product!$A:$A,0))</f>
        <v>Ống nội khí quản</v>
      </c>
      <c r="D341" s="23" t="s">
        <v>2471</v>
      </c>
      <c r="E341" s="37" t="str">
        <f>INDEX('Attribute Definition'!$B:$B,MATCH($D341,'Attribute Definition'!$A:$A,0))</f>
        <v>Dạng sản phẩm</v>
      </c>
      <c r="F341" s="38" t="s">
        <v>2657</v>
      </c>
      <c r="G341" s="39" t="str" cm="1">
        <f t="array" ref="G341">_xlfn.TEXTJOIN("; ",TRUE,_xlfn.UNIQUE(_xlfn._xlws.FILTER('Product Variant Attribute'!$F$2:$F$3000,('Product Variant Attribute'!$B$2:$B$3000=$A341)*('Product Variant Attribute'!$D$2:$D$3000=$D341),"")))</f>
        <v>Ống / dây</v>
      </c>
      <c r="H341" s="39"/>
      <c r="I341" s="39"/>
      <c r="J341" s="39" t="str" cm="1">
        <f t="array" ref="J341">IF($I341="","",_xlfn.TEXTJOIN("; ",TRUE,_xlfn.UNIQUE(_xlfn._xlws.FILTER($A$2:$A$3000,($C$2:$C$3000=$C341)*($E$2:$E$3000=$E341)*($G$2:$G$3000&lt;&gt;$G341)*($G$2:$G$3000&lt;&gt;""),""))))</f>
        <v/>
      </c>
    </row>
    <row r="342" spans="1:10" ht="45" x14ac:dyDescent="0.25">
      <c r="A342" s="23" t="s">
        <v>683</v>
      </c>
      <c r="B342" s="37" t="str">
        <f>INDEX(Product!$B:$B,MATCH($A342,Product!$A:$A,0))</f>
        <v>[Fuji System] Ống nội khí quản 2 nòng - Silbroncho (Carlens)</v>
      </c>
      <c r="C342" s="37" t="str">
        <f>INDEX(Product!$D:$D,MATCH($A342,Product!$A:$A,0))</f>
        <v>Ống nội khí quản</v>
      </c>
      <c r="D342" s="23" t="s">
        <v>2656</v>
      </c>
      <c r="E342" s="37" t="str">
        <f>INDEX('Attribute Definition'!$B:$B,MATCH($D342,'Attribute Definition'!$A:$A,0))</f>
        <v>Kích cỡ</v>
      </c>
      <c r="F342" s="38" t="s">
        <v>2485</v>
      </c>
      <c r="G342" s="39" t="str" cm="1">
        <f t="array" ref="G342">_xlfn.TEXTJOIN("; ",TRUE,_xlfn.UNIQUE(_xlfn._xlws.FILTER('Product Variant Attribute'!$F$2:$F$3000,('Product Variant Attribute'!$B$2:$B$3000=$A342)*('Product Variant Attribute'!$D$2:$D$3000=$D342),"")))</f>
        <v>33Fr; 35Fr; 37Fr</v>
      </c>
      <c r="H342" s="39" t="s">
        <v>2686</v>
      </c>
      <c r="I342" s="39"/>
      <c r="J342" s="39" t="str" cm="1">
        <f t="array" ref="J342">IF($I342="","",_xlfn.TEXTJOIN("; ",TRUE,_xlfn.UNIQUE(_xlfn._xlws.FILTER($A$2:$A$3000,($C$2:$C$3000=$C342)*($E$2:$E$3000=$E342)*($G$2:$G$3000&lt;&gt;$G342)*($G$2:$G$3000&lt;&gt;""),""))))</f>
        <v/>
      </c>
    </row>
    <row r="343" spans="1:10" x14ac:dyDescent="0.25">
      <c r="A343" s="23" t="s">
        <v>684</v>
      </c>
      <c r="B343" s="37" t="str">
        <f>INDEX(Product!$B:$B,MATCH($A343,Product!$A:$A,0))</f>
        <v>[Fuji System] Ống nội khí quản tích hợp sẵn ống chặn phổi - Univent™</v>
      </c>
      <c r="C343" s="37" t="str">
        <f>INDEX(Product!$D:$D,MATCH($A343,Product!$A:$A,0))</f>
        <v>Ống nội khí quản</v>
      </c>
      <c r="D343" s="23" t="s">
        <v>2471</v>
      </c>
      <c r="E343" s="37" t="str">
        <f>INDEX('Attribute Definition'!$B:$B,MATCH($D343,'Attribute Definition'!$A:$A,0))</f>
        <v>Dạng sản phẩm</v>
      </c>
      <c r="F343" s="38" t="s">
        <v>2657</v>
      </c>
      <c r="G343" s="39" t="str" cm="1">
        <f t="array" ref="G343">_xlfn.TEXTJOIN("; ",TRUE,_xlfn.UNIQUE(_xlfn._xlws.FILTER('Product Variant Attribute'!$F$2:$F$3000,('Product Variant Attribute'!$B$2:$B$3000=$A343)*('Product Variant Attribute'!$D$2:$D$3000=$D343),"")))</f>
        <v>Ống / dây</v>
      </c>
      <c r="H343" s="39"/>
      <c r="I343" s="39"/>
      <c r="J343" s="39" t="str" cm="1">
        <f t="array" ref="J343">IF($I343="","",_xlfn.TEXTJOIN("; ",TRUE,_xlfn.UNIQUE(_xlfn._xlws.FILTER($A$2:$A$3000,($C$2:$C$3000=$C343)*($E$2:$E$3000=$E343)*($G$2:$G$3000&lt;&gt;$G343)*($G$2:$G$3000&lt;&gt;""),""))))</f>
        <v/>
      </c>
    </row>
    <row r="344" spans="1:10" ht="30" x14ac:dyDescent="0.25">
      <c r="A344" s="23" t="s">
        <v>685</v>
      </c>
      <c r="B344" s="37" t="str">
        <f>INDEX(Product!$B:$B,MATCH($A344,Product!$A:$A,0))</f>
        <v>[HangZhou] Mask thanh quản 1 nòng dùng 1 lần</v>
      </c>
      <c r="C344" s="37" t="str">
        <f>INDEX(Product!$D:$D,MATCH($A344,Product!$A:$A,0))</f>
        <v>Mask thanh quản</v>
      </c>
      <c r="D344" s="23" t="s">
        <v>2411</v>
      </c>
      <c r="E344" s="37" t="str">
        <f>INDEX('Attribute Definition'!$B:$B,MATCH($D344,'Attribute Definition'!$A:$A,0))</f>
        <v>Số nòng / nhánh</v>
      </c>
      <c r="F344" s="38" t="s">
        <v>2657</v>
      </c>
      <c r="G344" s="39" t="str" cm="1">
        <f t="array" ref="G344">_xlfn.TEXTJOIN("; ",TRUE,_xlfn.UNIQUE(_xlfn._xlws.FILTER('Product Variant Attribute'!$F$2:$F$3000,('Product Variant Attribute'!$B$2:$B$3000=$A344)*('Product Variant Attribute'!$D$2:$D$3000=$D344),"")))</f>
        <v>1 nòng</v>
      </c>
      <c r="H344" s="39"/>
      <c r="I344" s="39" t="s">
        <v>2740</v>
      </c>
      <c r="J344" s="39" t="str" cm="1">
        <f t="array" ref="J344">IF($I344="","",_xlfn.TEXTJOIN("; ",TRUE,_xlfn.UNIQUE(_xlfn._xlws.FILTER($A$2:$A$3000,($C$2:$C$3000=$C344)*($E$2:$E$3000=$E344)*($G$2:$G$3000&lt;&gt;$G344)*($G$2:$G$3000&lt;&gt;""),""))))</f>
        <v>PRODUCT-00112</v>
      </c>
    </row>
    <row r="345" spans="1:10" x14ac:dyDescent="0.25">
      <c r="A345" s="23" t="s">
        <v>685</v>
      </c>
      <c r="B345" s="37" t="str">
        <f>INDEX(Product!$B:$B,MATCH($A345,Product!$A:$A,0))</f>
        <v>[HangZhou] Mask thanh quản 1 nòng dùng 1 lần</v>
      </c>
      <c r="C345" s="37" t="str">
        <f>INDEX(Product!$D:$D,MATCH($A345,Product!$A:$A,0))</f>
        <v>Mask thanh quản</v>
      </c>
      <c r="D345" s="23" t="s">
        <v>2454</v>
      </c>
      <c r="E345" s="37" t="str">
        <f>INDEX('Attribute Definition'!$B:$B,MATCH($D345,'Attribute Definition'!$A:$A,0))</f>
        <v>Thời gian sử dụng</v>
      </c>
      <c r="F345" s="38" t="s">
        <v>2657</v>
      </c>
      <c r="G345" s="39" t="str" cm="1">
        <f t="array" ref="G345">_xlfn.TEXTJOIN("; ",TRUE,_xlfn.UNIQUE(_xlfn._xlws.FILTER('Product Variant Attribute'!$F$2:$F$3000,('Product Variant Attribute'!$B$2:$B$3000=$A345)*('Product Variant Attribute'!$D$2:$D$3000=$D345),"")))</f>
        <v>Dùng 1 lần</v>
      </c>
      <c r="H345" s="39"/>
      <c r="I345" s="39"/>
      <c r="J345" s="39" t="str" cm="1">
        <f t="array" ref="J345">IF($I345="","",_xlfn.TEXTJOIN("; ",TRUE,_xlfn.UNIQUE(_xlfn._xlws.FILTER($A$2:$A$3000,($C$2:$C$3000=$C345)*($E$2:$E$3000=$E345)*($G$2:$G$3000&lt;&gt;$G345)*($G$2:$G$3000&lt;&gt;""),""))))</f>
        <v/>
      </c>
    </row>
    <row r="346" spans="1:10" x14ac:dyDescent="0.25">
      <c r="A346" s="23" t="s">
        <v>685</v>
      </c>
      <c r="B346" s="37" t="str">
        <f>INDEX(Product!$B:$B,MATCH($A346,Product!$A:$A,0))</f>
        <v>[HangZhou] Mask thanh quản 1 nòng dùng 1 lần</v>
      </c>
      <c r="C346" s="37" t="str">
        <f>INDEX(Product!$D:$D,MATCH($A346,Product!$A:$A,0))</f>
        <v>Mask thanh quản</v>
      </c>
      <c r="D346" s="23" t="s">
        <v>2471</v>
      </c>
      <c r="E346" s="37" t="str">
        <f>INDEX('Attribute Definition'!$B:$B,MATCH($D346,'Attribute Definition'!$A:$A,0))</f>
        <v>Dạng sản phẩm</v>
      </c>
      <c r="F346" s="38" t="s">
        <v>2657</v>
      </c>
      <c r="G346" s="39" t="str" cm="1">
        <f t="array" ref="G346">_xlfn.TEXTJOIN("; ",TRUE,_xlfn.UNIQUE(_xlfn._xlws.FILTER('Product Variant Attribute'!$F$2:$F$3000,('Product Variant Attribute'!$B$2:$B$3000=$A346)*('Product Variant Attribute'!$D$2:$D$3000=$D346),"")))</f>
        <v>Mặt nạ / mask</v>
      </c>
      <c r="H346" s="39"/>
      <c r="I346" s="39"/>
      <c r="J346" s="39" t="str" cm="1">
        <f t="array" ref="J346">IF($I346="","",_xlfn.TEXTJOIN("; ",TRUE,_xlfn.UNIQUE(_xlfn._xlws.FILTER($A$2:$A$3000,($C$2:$C$3000=$C346)*($E$2:$E$3000=$E346)*($G$2:$G$3000&lt;&gt;$G346)*($G$2:$G$3000&lt;&gt;""),""))))</f>
        <v/>
      </c>
    </row>
    <row r="347" spans="1:10" ht="45" x14ac:dyDescent="0.25">
      <c r="A347" s="23" t="s">
        <v>685</v>
      </c>
      <c r="B347" s="37" t="str">
        <f>INDEX(Product!$B:$B,MATCH($A347,Product!$A:$A,0))</f>
        <v>[HangZhou] Mask thanh quản 1 nòng dùng 1 lần</v>
      </c>
      <c r="C347" s="37" t="str">
        <f>INDEX(Product!$D:$D,MATCH($A347,Product!$A:$A,0))</f>
        <v>Mask thanh quản</v>
      </c>
      <c r="D347" s="23" t="s">
        <v>2656</v>
      </c>
      <c r="E347" s="37" t="str">
        <f>INDEX('Attribute Definition'!$B:$B,MATCH($D347,'Attribute Definition'!$A:$A,0))</f>
        <v>Kích cỡ</v>
      </c>
      <c r="F347" s="38" t="s">
        <v>2485</v>
      </c>
      <c r="G347" s="39" t="str" cm="1">
        <f t="array" ref="G347">_xlfn.TEXTJOIN("; ",TRUE,_xlfn.UNIQUE(_xlfn._xlws.FILTER('Product Variant Attribute'!$F$2:$F$3000,('Product Variant Attribute'!$B$2:$B$3000=$A347)*('Product Variant Attribute'!$D$2:$D$3000=$D347),"")))</f>
        <v>Số 1.5; Số 2; Số 2.5; Số 3; Số 4; Số 5</v>
      </c>
      <c r="H347" s="39" t="s">
        <v>2687</v>
      </c>
      <c r="I347" s="39"/>
      <c r="J347" s="39" t="str" cm="1">
        <f t="array" ref="J347">IF($I347="","",_xlfn.TEXTJOIN("; ",TRUE,_xlfn.UNIQUE(_xlfn._xlws.FILTER($A$2:$A$3000,($C$2:$C$3000=$C347)*($E$2:$E$3000=$E347)*($G$2:$G$3000&lt;&gt;$G347)*($G$2:$G$3000&lt;&gt;""),""))))</f>
        <v/>
      </c>
    </row>
    <row r="348" spans="1:10" x14ac:dyDescent="0.25">
      <c r="A348" s="23" t="s">
        <v>686</v>
      </c>
      <c r="B348" s="37" t="str">
        <f>INDEX(Product!$B:$B,MATCH($A348,Product!$A:$A,0))</f>
        <v>[Hoàng Sơn] Dây hút đàm nhớt có kiểm soát</v>
      </c>
      <c r="C348" s="37" t="str">
        <f>INDEX(Product!$D:$D,MATCH($A348,Product!$A:$A,0))</f>
        <v>Dây hút đàm</v>
      </c>
      <c r="D348" s="23" t="s">
        <v>2471</v>
      </c>
      <c r="E348" s="37" t="str">
        <f>INDEX('Attribute Definition'!$B:$B,MATCH($D348,'Attribute Definition'!$A:$A,0))</f>
        <v>Dạng sản phẩm</v>
      </c>
      <c r="F348" s="38" t="s">
        <v>2657</v>
      </c>
      <c r="G348" s="39" t="str" cm="1">
        <f t="array" ref="G348">_xlfn.TEXTJOIN("; ",TRUE,_xlfn.UNIQUE(_xlfn._xlws.FILTER('Product Variant Attribute'!$F$2:$F$3000,('Product Variant Attribute'!$B$2:$B$3000=$A348)*('Product Variant Attribute'!$D$2:$D$3000=$D348),"")))</f>
        <v>Ống / dây</v>
      </c>
      <c r="H348" s="39"/>
      <c r="I348" s="39"/>
      <c r="J348" s="39" t="str" cm="1">
        <f t="array" ref="J348">IF($I348="","",_xlfn.TEXTJOIN("; ",TRUE,_xlfn.UNIQUE(_xlfn._xlws.FILTER($A$2:$A$3000,($C$2:$C$3000=$C348)*($E$2:$E$3000=$E348)*($G$2:$G$3000&lt;&gt;$G348)*($G$2:$G$3000&lt;&gt;""),""))))</f>
        <v/>
      </c>
    </row>
    <row r="349" spans="1:10" ht="45" x14ac:dyDescent="0.25">
      <c r="A349" s="23" t="s">
        <v>686</v>
      </c>
      <c r="B349" s="37" t="str">
        <f>INDEX(Product!$B:$B,MATCH($A349,Product!$A:$A,0))</f>
        <v>[Hoàng Sơn] Dây hút đàm nhớt có kiểm soát</v>
      </c>
      <c r="C349" s="37" t="str">
        <f>INDEX(Product!$D:$D,MATCH($A349,Product!$A:$A,0))</f>
        <v>Dây hút đàm</v>
      </c>
      <c r="D349" s="23" t="s">
        <v>2656</v>
      </c>
      <c r="E349" s="37" t="str">
        <f>INDEX('Attribute Definition'!$B:$B,MATCH($D349,'Attribute Definition'!$A:$A,0))</f>
        <v>Kích cỡ</v>
      </c>
      <c r="F349" s="38" t="s">
        <v>2485</v>
      </c>
      <c r="G349" s="39" t="str" cm="1">
        <f t="array" ref="G349">_xlfn.TEXTJOIN("; ",TRUE,_xlfn.UNIQUE(_xlfn._xlws.FILTER('Product Variant Attribute'!$F$2:$F$3000,('Product Variant Attribute'!$B$2:$B$3000=$A349)*('Product Variant Attribute'!$D$2:$D$3000=$D349),"")))</f>
        <v>8Fr; 10Fr; 12Fr; 14Fr</v>
      </c>
      <c r="H349" s="39" t="s">
        <v>2688</v>
      </c>
      <c r="I349" s="39"/>
      <c r="J349" s="39" t="str" cm="1">
        <f t="array" ref="J349">IF($I349="","",_xlfn.TEXTJOIN("; ",TRUE,_xlfn.UNIQUE(_xlfn._xlws.FILTER($A$2:$A$3000,($C$2:$C$3000=$C349)*($E$2:$E$3000=$E349)*($G$2:$G$3000&lt;&gt;$G349)*($G$2:$G$3000&lt;&gt;""),""))))</f>
        <v/>
      </c>
    </row>
    <row r="350" spans="1:10" x14ac:dyDescent="0.25">
      <c r="A350" s="23" t="s">
        <v>687</v>
      </c>
      <c r="B350" s="37" t="str">
        <f>INDEX(Product!$B:$B,MATCH($A350,Product!$A:$A,0))</f>
        <v>[Hoàng Sơn] Dây hút đàm nhớt không kiểm soát</v>
      </c>
      <c r="C350" s="37" t="str">
        <f>INDEX(Product!$D:$D,MATCH($A350,Product!$A:$A,0))</f>
        <v>Dây hút đàm</v>
      </c>
      <c r="D350" s="23" t="s">
        <v>2471</v>
      </c>
      <c r="E350" s="37" t="str">
        <f>INDEX('Attribute Definition'!$B:$B,MATCH($D350,'Attribute Definition'!$A:$A,0))</f>
        <v>Dạng sản phẩm</v>
      </c>
      <c r="F350" s="38" t="s">
        <v>2657</v>
      </c>
      <c r="G350" s="39" t="str" cm="1">
        <f t="array" ref="G350">_xlfn.TEXTJOIN("; ",TRUE,_xlfn.UNIQUE(_xlfn._xlws.FILTER('Product Variant Attribute'!$F$2:$F$3000,('Product Variant Attribute'!$B$2:$B$3000=$A350)*('Product Variant Attribute'!$D$2:$D$3000=$D350),"")))</f>
        <v>Ống / dây</v>
      </c>
      <c r="H350" s="39"/>
      <c r="I350" s="39"/>
      <c r="J350" s="39" t="str" cm="1">
        <f t="array" ref="J350">IF($I350="","",_xlfn.TEXTJOIN("; ",TRUE,_xlfn.UNIQUE(_xlfn._xlws.FILTER($A$2:$A$3000,($C$2:$C$3000=$C350)*($E$2:$E$3000=$E350)*($G$2:$G$3000&lt;&gt;$G350)*($G$2:$G$3000&lt;&gt;""),""))))</f>
        <v/>
      </c>
    </row>
    <row r="351" spans="1:10" ht="45" x14ac:dyDescent="0.25">
      <c r="A351" s="23" t="s">
        <v>687</v>
      </c>
      <c r="B351" s="37" t="str">
        <f>INDEX(Product!$B:$B,MATCH($A351,Product!$A:$A,0))</f>
        <v>[Hoàng Sơn] Dây hút đàm nhớt không kiểm soát</v>
      </c>
      <c r="C351" s="37" t="str">
        <f>INDEX(Product!$D:$D,MATCH($A351,Product!$A:$A,0))</f>
        <v>Dây hút đàm</v>
      </c>
      <c r="D351" s="23" t="s">
        <v>2656</v>
      </c>
      <c r="E351" s="37" t="str">
        <f>INDEX('Attribute Definition'!$B:$B,MATCH($D351,'Attribute Definition'!$A:$A,0))</f>
        <v>Kích cỡ</v>
      </c>
      <c r="F351" s="38" t="s">
        <v>2485</v>
      </c>
      <c r="G351" s="39" t="str" cm="1">
        <f t="array" ref="G351">_xlfn.TEXTJOIN("; ",TRUE,_xlfn.UNIQUE(_xlfn._xlws.FILTER('Product Variant Attribute'!$F$2:$F$3000,('Product Variant Attribute'!$B$2:$B$3000=$A351)*('Product Variant Attribute'!$D$2:$D$3000=$D351),"")))</f>
        <v>8Fr; 12Fr; 14Fr</v>
      </c>
      <c r="H351" s="39" t="s">
        <v>2689</v>
      </c>
      <c r="I351" s="39"/>
      <c r="J351" s="39" t="str" cm="1">
        <f t="array" ref="J351">IF($I351="","",_xlfn.TEXTJOIN("; ",TRUE,_xlfn.UNIQUE(_xlfn._xlws.FILTER($A$2:$A$3000,($C$2:$C$3000=$C351)*($E$2:$E$3000=$E351)*($G$2:$G$3000&lt;&gt;$G351)*($G$2:$G$3000&lt;&gt;""),""))))</f>
        <v/>
      </c>
    </row>
    <row r="352" spans="1:10" x14ac:dyDescent="0.25">
      <c r="A352" s="23" t="s">
        <v>688</v>
      </c>
      <c r="B352" s="37" t="str">
        <f>INDEX(Product!$B:$B,MATCH($A352,Product!$A:$A,0))</f>
        <v>[Hollister] Dụng cụ cố định ống nội khí quản chống cắn - AnchorFast 9800</v>
      </c>
      <c r="C352" s="37" t="str">
        <f>INDEX(Product!$D:$D,MATCH($A352,Product!$A:$A,0))</f>
        <v>Dụng cụ đặt &amp; cố định nội khí quản</v>
      </c>
      <c r="D352" s="23" t="s">
        <v>2471</v>
      </c>
      <c r="E352" s="37" t="str">
        <f>INDEX('Attribute Definition'!$B:$B,MATCH($D352,'Attribute Definition'!$A:$A,0))</f>
        <v>Dạng sản phẩm</v>
      </c>
      <c r="F352" s="38" t="s">
        <v>2657</v>
      </c>
      <c r="G352" s="39" t="str" cm="1">
        <f t="array" ref="G352">_xlfn.TEXTJOIN("; ",TRUE,_xlfn.UNIQUE(_xlfn._xlws.FILTER('Product Variant Attribute'!$F$2:$F$3000,('Product Variant Attribute'!$B$2:$B$3000=$A352)*('Product Variant Attribute'!$D$2:$D$3000=$D352),"")))</f>
        <v>Dụng cụ / phụ kiện</v>
      </c>
      <c r="H352" s="39"/>
      <c r="I352" s="39"/>
      <c r="J352" s="39" t="str" cm="1">
        <f t="array" ref="J352">IF($I352="","",_xlfn.TEXTJOIN("; ",TRUE,_xlfn.UNIQUE(_xlfn._xlws.FILTER($A$2:$A$3000,($C$2:$C$3000=$C352)*($E$2:$E$3000=$E352)*($G$2:$G$3000&lt;&gt;$G352)*($G$2:$G$3000&lt;&gt;""),""))))</f>
        <v/>
      </c>
    </row>
    <row r="353" spans="1:10" x14ac:dyDescent="0.25">
      <c r="A353" s="23" t="s">
        <v>689</v>
      </c>
      <c r="B353" s="37" t="str">
        <f>INDEX(Product!$B:$B,MATCH($A353,Product!$A:$A,0))</f>
        <v>[ICU Medical] Bộ mở khí quản nhanh qua da - PORTEX Percutaneous Dilation Tracheostomy Kit</v>
      </c>
      <c r="C353" s="37" t="str">
        <f>INDEX(Product!$D:$D,MATCH($A353,Product!$A:$A,0))</f>
        <v>Bộ mở khí quản</v>
      </c>
      <c r="D353" s="23" t="s">
        <v>2471</v>
      </c>
      <c r="E353" s="37" t="str">
        <f>INDEX('Attribute Definition'!$B:$B,MATCH($D353,'Attribute Definition'!$A:$A,0))</f>
        <v>Dạng sản phẩm</v>
      </c>
      <c r="F353" s="38" t="s">
        <v>2657</v>
      </c>
      <c r="G353" s="39" t="str" cm="1">
        <f t="array" ref="G353">_xlfn.TEXTJOIN("; ",TRUE,_xlfn.UNIQUE(_xlfn._xlws.FILTER('Product Variant Attribute'!$F$2:$F$3000,('Product Variant Attribute'!$B$2:$B$3000=$A353)*('Product Variant Attribute'!$D$2:$D$3000=$D353),"")))</f>
        <v>Bộ dụng cụ</v>
      </c>
      <c r="H353" s="39"/>
      <c r="I353" s="39"/>
      <c r="J353" s="39" t="str" cm="1">
        <f t="array" ref="J353">IF($I353="","",_xlfn.TEXTJOIN("; ",TRUE,_xlfn.UNIQUE(_xlfn._xlws.FILTER($A$2:$A$3000,($C$2:$C$3000=$C353)*($E$2:$E$3000=$E353)*($G$2:$G$3000&lt;&gt;$G353)*($G$2:$G$3000&lt;&gt;""),""))))</f>
        <v/>
      </c>
    </row>
    <row r="354" spans="1:10" x14ac:dyDescent="0.25">
      <c r="A354" s="23" t="s">
        <v>690</v>
      </c>
      <c r="B354" s="37" t="str">
        <f>INDEX(Product!$B:$B,MATCH($A354,Product!$A:$A,0))</f>
        <v>[Idealcare] Cây nòng đặt nội khí quản thường - Stylet</v>
      </c>
      <c r="C354" s="37" t="str">
        <f>INDEX(Product!$D:$D,MATCH($A354,Product!$A:$A,0))</f>
        <v>Dụng cụ đặt &amp; cố định nội khí quản</v>
      </c>
      <c r="D354" s="23" t="s">
        <v>2367</v>
      </c>
      <c r="E354" s="37" t="str">
        <f>INDEX('Attribute Definition'!$B:$B,MATCH($D354,'Attribute Definition'!$A:$A,0))</f>
        <v>Chất liệu</v>
      </c>
      <c r="F354" s="38" t="s">
        <v>2657</v>
      </c>
      <c r="G354" s="39" t="str" cm="1">
        <f t="array" ref="G354">_xlfn.TEXTJOIN("; ",TRUE,_xlfn.UNIQUE(_xlfn._xlws.FILTER('Product Variant Attribute'!$F$2:$F$3000,('Product Variant Attribute'!$B$2:$B$3000=$A354)*('Product Variant Attribute'!$D$2:$D$3000=$D354),"")))</f>
        <v>PVC</v>
      </c>
      <c r="H354" s="39"/>
      <c r="I354" s="39"/>
      <c r="J354" s="39" t="str" cm="1">
        <f t="array" ref="J354">IF($I354="","",_xlfn.TEXTJOIN("; ",TRUE,_xlfn.UNIQUE(_xlfn._xlws.FILTER($A$2:$A$3000,($C$2:$C$3000=$C354)*($E$2:$E$3000=$E354)*($G$2:$G$3000&lt;&gt;$G354)*($G$2:$G$3000&lt;&gt;""),""))))</f>
        <v/>
      </c>
    </row>
    <row r="355" spans="1:10" x14ac:dyDescent="0.25">
      <c r="A355" s="23" t="s">
        <v>690</v>
      </c>
      <c r="B355" s="37" t="str">
        <f>INDEX(Product!$B:$B,MATCH($A355,Product!$A:$A,0))</f>
        <v>[Idealcare] Cây nòng đặt nội khí quản thường - Stylet</v>
      </c>
      <c r="C355" s="37" t="str">
        <f>INDEX(Product!$D:$D,MATCH($A355,Product!$A:$A,0))</f>
        <v>Dụng cụ đặt &amp; cố định nội khí quản</v>
      </c>
      <c r="D355" s="23" t="s">
        <v>2471</v>
      </c>
      <c r="E355" s="37" t="str">
        <f>INDEX('Attribute Definition'!$B:$B,MATCH($D355,'Attribute Definition'!$A:$A,0))</f>
        <v>Dạng sản phẩm</v>
      </c>
      <c r="F355" s="38" t="s">
        <v>2657</v>
      </c>
      <c r="G355" s="39" t="str" cm="1">
        <f t="array" ref="G355">_xlfn.TEXTJOIN("; ",TRUE,_xlfn.UNIQUE(_xlfn._xlws.FILTER('Product Variant Attribute'!$F$2:$F$3000,('Product Variant Attribute'!$B$2:$B$3000=$A355)*('Product Variant Attribute'!$D$2:$D$3000=$D355),"")))</f>
        <v>Ống / dây</v>
      </c>
      <c r="H355" s="39"/>
      <c r="I355" s="39"/>
      <c r="J355" s="39" t="str" cm="1">
        <f t="array" ref="J355">IF($I355="","",_xlfn.TEXTJOIN("; ",TRUE,_xlfn.UNIQUE(_xlfn._xlws.FILTER($A$2:$A$3000,($C$2:$C$3000=$C355)*($E$2:$E$3000=$E355)*($G$2:$G$3000&lt;&gt;$G355)*($G$2:$G$3000&lt;&gt;""),""))))</f>
        <v/>
      </c>
    </row>
    <row r="356" spans="1:10" ht="45" x14ac:dyDescent="0.25">
      <c r="A356" s="23" t="s">
        <v>690</v>
      </c>
      <c r="B356" s="37" t="str">
        <f>INDEX(Product!$B:$B,MATCH($A356,Product!$A:$A,0))</f>
        <v>[Idealcare] Cây nòng đặt nội khí quản thường - Stylet</v>
      </c>
      <c r="C356" s="37" t="str">
        <f>INDEX(Product!$D:$D,MATCH($A356,Product!$A:$A,0))</f>
        <v>Dụng cụ đặt &amp; cố định nội khí quản</v>
      </c>
      <c r="D356" s="23" t="s">
        <v>2656</v>
      </c>
      <c r="E356" s="37" t="str">
        <f>INDEX('Attribute Definition'!$B:$B,MATCH($D356,'Attribute Definition'!$A:$A,0))</f>
        <v>Kích cỡ</v>
      </c>
      <c r="F356" s="38" t="s">
        <v>2485</v>
      </c>
      <c r="G356" s="39" t="str" cm="1">
        <f t="array" ref="G356">_xlfn.TEXTJOIN("; ",TRUE,_xlfn.UNIQUE(_xlfn._xlws.FILTER('Product Variant Attribute'!$F$2:$F$3000,('Product Variant Attribute'!$B$2:$B$3000=$A356)*('Product Variant Attribute'!$D$2:$D$3000=$D356),"")))</f>
        <v>6Fr; 10Fr; 14Fr</v>
      </c>
      <c r="H356" s="39" t="s">
        <v>2690</v>
      </c>
      <c r="I356" s="39"/>
      <c r="J356" s="39" t="str" cm="1">
        <f t="array" ref="J356">IF($I356="","",_xlfn.TEXTJOIN("; ",TRUE,_xlfn.UNIQUE(_xlfn._xlws.FILTER($A$2:$A$3000,($C$2:$C$3000=$C356)*($E$2:$E$3000=$E356)*($G$2:$G$3000&lt;&gt;$G356)*($G$2:$G$3000&lt;&gt;""),""))))</f>
        <v/>
      </c>
    </row>
    <row r="357" spans="1:10" ht="30" x14ac:dyDescent="0.25">
      <c r="A357" s="23" t="s">
        <v>691</v>
      </c>
      <c r="B357" s="37" t="str">
        <f>INDEX(Product!$B:$B,MATCH($A357,Product!$A:$A,0))</f>
        <v>[iMedicare] Máy tạo oxy 5 lít - OC-5LH</v>
      </c>
      <c r="C357" s="37" t="str">
        <f>INDEX(Product!$D:$D,MATCH($A357,Product!$A:$A,0))</f>
        <v>Máy tạo oxy</v>
      </c>
      <c r="D357" s="23" t="s">
        <v>2459</v>
      </c>
      <c r="E357" s="37" t="str">
        <f>INDEX('Attribute Definition'!$B:$B,MATCH($D357,'Attribute Definition'!$A:$A,0))</f>
        <v>Lưu lượng oxy</v>
      </c>
      <c r="F357" s="38" t="s">
        <v>2657</v>
      </c>
      <c r="G357" s="39" t="str" cm="1">
        <f t="array" ref="G357">_xlfn.TEXTJOIN("; ",TRUE,_xlfn.UNIQUE(_xlfn._xlws.FILTER('Product Variant Attribute'!$F$2:$F$3000,('Product Variant Attribute'!$B$2:$B$3000=$A357)*('Product Variant Attribute'!$D$2:$D$3000=$D357),"")))</f>
        <v>5 lít/phút</v>
      </c>
      <c r="H357" s="39"/>
      <c r="I357" s="39" t="s">
        <v>2745</v>
      </c>
      <c r="J357" s="39" t="str" cm="1">
        <f t="array" ref="J357">IF($I357="","",_xlfn.TEXTJOIN("; ",TRUE,_xlfn.UNIQUE(_xlfn._xlws.FILTER($A$2:$A$3000,($C$2:$C$3000=$C357)*($E$2:$E$3000=$E357)*($G$2:$G$3000&lt;&gt;$G357)*($G$2:$G$3000&lt;&gt;""),""))))</f>
        <v>PRODUCT-00150</v>
      </c>
    </row>
    <row r="358" spans="1:10" x14ac:dyDescent="0.25">
      <c r="A358" s="23" t="s">
        <v>691</v>
      </c>
      <c r="B358" s="37" t="str">
        <f>INDEX(Product!$B:$B,MATCH($A358,Product!$A:$A,0))</f>
        <v>[iMedicare] Máy tạo oxy 5 lít - OC-5LH</v>
      </c>
      <c r="C358" s="37" t="str">
        <f>INDEX(Product!$D:$D,MATCH($A358,Product!$A:$A,0))</f>
        <v>Máy tạo oxy</v>
      </c>
      <c r="D358" s="23" t="s">
        <v>2471</v>
      </c>
      <c r="E358" s="37" t="str">
        <f>INDEX('Attribute Definition'!$B:$B,MATCH($D358,'Attribute Definition'!$A:$A,0))</f>
        <v>Dạng sản phẩm</v>
      </c>
      <c r="F358" s="38" t="s">
        <v>2657</v>
      </c>
      <c r="G358" s="39" t="str" cm="1">
        <f t="array" ref="G358">_xlfn.TEXTJOIN("; ",TRUE,_xlfn.UNIQUE(_xlfn._xlws.FILTER('Product Variant Attribute'!$F$2:$F$3000,('Product Variant Attribute'!$B$2:$B$3000=$A358)*('Product Variant Attribute'!$D$2:$D$3000=$D358),"")))</f>
        <v>Máy / thiết bị điện tử</v>
      </c>
      <c r="H358" s="39"/>
      <c r="I358" s="39"/>
      <c r="J358" s="39" t="str" cm="1">
        <f t="array" ref="J358">IF($I358="","",_xlfn.TEXTJOIN("; ",TRUE,_xlfn.UNIQUE(_xlfn._xlws.FILTER($A$2:$A$3000,($C$2:$C$3000=$C358)*($E$2:$E$3000=$E358)*($G$2:$G$3000&lt;&gt;$G358)*($G$2:$G$3000&lt;&gt;""),""))))</f>
        <v/>
      </c>
    </row>
    <row r="359" spans="1:10" x14ac:dyDescent="0.25">
      <c r="A359" s="23" t="s">
        <v>692</v>
      </c>
      <c r="B359" s="37" t="str">
        <f>INDEX(Product!$B:$B,MATCH($A359,Product!$A:$A,0))</f>
        <v>[Lohmann-Rauscher] Gạc mở khí quản vô trùng - Metalline (8cmx9cm)</v>
      </c>
      <c r="C359" s="37" t="str">
        <f>INDEX(Product!$D:$D,MATCH($A359,Product!$A:$A,0))</f>
        <v>Phụ kiện mở khí quản</v>
      </c>
      <c r="D359" s="23" t="s">
        <v>2342</v>
      </c>
      <c r="E359" s="37" t="str">
        <f>INDEX('Attribute Definition'!$B:$B,MATCH($D359,'Attribute Definition'!$A:$A,0))</f>
        <v>Kích thước</v>
      </c>
      <c r="F359" s="38" t="s">
        <v>2657</v>
      </c>
      <c r="G359" s="39" t="str" cm="1">
        <f t="array" ref="G359">_xlfn.TEXTJOIN("; ",TRUE,_xlfn.UNIQUE(_xlfn._xlws.FILTER('Product Variant Attribute'!$F$2:$F$3000,('Product Variant Attribute'!$B$2:$B$3000=$A359)*('Product Variant Attribute'!$D$2:$D$3000=$D359),"")))</f>
        <v>8cmx9cm</v>
      </c>
      <c r="H359" s="39"/>
      <c r="I359" s="39"/>
      <c r="J359" s="39" t="str" cm="1">
        <f t="array" ref="J359">IF($I359="","",_xlfn.TEXTJOIN("; ",TRUE,_xlfn.UNIQUE(_xlfn._xlws.FILTER($A$2:$A$3000,($C$2:$C$3000=$C359)*($E$2:$E$3000=$E359)*($G$2:$G$3000&lt;&gt;$G359)*($G$2:$G$3000&lt;&gt;""),""))))</f>
        <v/>
      </c>
    </row>
    <row r="360" spans="1:10" x14ac:dyDescent="0.25">
      <c r="A360" s="23" t="s">
        <v>692</v>
      </c>
      <c r="B360" s="37" t="str">
        <f>INDEX(Product!$B:$B,MATCH($A360,Product!$A:$A,0))</f>
        <v>[Lohmann-Rauscher] Gạc mở khí quản vô trùng - Metalline (8cmx9cm)</v>
      </c>
      <c r="C360" s="37" t="str">
        <f>INDEX(Product!$D:$D,MATCH($A360,Product!$A:$A,0))</f>
        <v>Phụ kiện mở khí quản</v>
      </c>
      <c r="D360" s="23" t="s">
        <v>2374</v>
      </c>
      <c r="E360" s="37" t="str">
        <f>INDEX('Attribute Definition'!$B:$B,MATCH($D360,'Attribute Definition'!$A:$A,0))</f>
        <v>Vô trùng</v>
      </c>
      <c r="F360" s="38" t="s">
        <v>2657</v>
      </c>
      <c r="G360" s="39" t="str" cm="1">
        <f t="array" ref="G360">_xlfn.TEXTJOIN("; ",TRUE,_xlfn.UNIQUE(_xlfn._xlws.FILTER('Product Variant Attribute'!$F$2:$F$3000,('Product Variant Attribute'!$B$2:$B$3000=$A360)*('Product Variant Attribute'!$D$2:$D$3000=$D360),"")))</f>
        <v>Có</v>
      </c>
      <c r="H360" s="39"/>
      <c r="I360" s="39"/>
      <c r="J360" s="39" t="str" cm="1">
        <f t="array" ref="J360">IF($I360="","",_xlfn.TEXTJOIN("; ",TRUE,_xlfn.UNIQUE(_xlfn._xlws.FILTER($A$2:$A$3000,($C$2:$C$3000=$C360)*($E$2:$E$3000=$E360)*($G$2:$G$3000&lt;&gt;$G360)*($G$2:$G$3000&lt;&gt;""),""))))</f>
        <v/>
      </c>
    </row>
    <row r="361" spans="1:10" x14ac:dyDescent="0.25">
      <c r="A361" s="23" t="s">
        <v>692</v>
      </c>
      <c r="B361" s="37" t="str">
        <f>INDEX(Product!$B:$B,MATCH($A361,Product!$A:$A,0))</f>
        <v>[Lohmann-Rauscher] Gạc mở khí quản vô trùng - Metalline (8cmx9cm)</v>
      </c>
      <c r="C361" s="37" t="str">
        <f>INDEX(Product!$D:$D,MATCH($A361,Product!$A:$A,0))</f>
        <v>Phụ kiện mở khí quản</v>
      </c>
      <c r="D361" s="23" t="s">
        <v>2471</v>
      </c>
      <c r="E361" s="37" t="str">
        <f>INDEX('Attribute Definition'!$B:$B,MATCH($D361,'Attribute Definition'!$A:$A,0))</f>
        <v>Dạng sản phẩm</v>
      </c>
      <c r="F361" s="38" t="s">
        <v>2657</v>
      </c>
      <c r="G361" s="39" t="str" cm="1">
        <f t="array" ref="G361">_xlfn.TEXTJOIN("; ",TRUE,_xlfn.UNIQUE(_xlfn._xlws.FILTER('Product Variant Attribute'!$F$2:$F$3000,('Product Variant Attribute'!$B$2:$B$3000=$A361)*('Product Variant Attribute'!$D$2:$D$3000=$D361),"")))</f>
        <v>Miếng dán / gạc</v>
      </c>
      <c r="H361" s="39"/>
      <c r="I361" s="39"/>
      <c r="J361" s="39" t="str" cm="1">
        <f t="array" ref="J361">IF($I361="","",_xlfn.TEXTJOIN("; ",TRUE,_xlfn.UNIQUE(_xlfn._xlws.FILTER($A$2:$A$3000,($C$2:$C$3000=$C361)*($E$2:$E$3000=$E361)*($G$2:$G$3000&lt;&gt;$G361)*($G$2:$G$3000&lt;&gt;""),""))))</f>
        <v/>
      </c>
    </row>
    <row r="362" spans="1:10" x14ac:dyDescent="0.25">
      <c r="A362" s="23" t="s">
        <v>693</v>
      </c>
      <c r="B362" s="37" t="str">
        <f>INDEX(Product!$B:$B,MATCH($A362,Product!$A:$A,0))</f>
        <v>[Long-term Health] Gạc xốp đặt xung quanh ống mở khí quản (7cmx11cm)</v>
      </c>
      <c r="C362" s="37" t="str">
        <f>INDEX(Product!$D:$D,MATCH($A362,Product!$A:$A,0))</f>
        <v>Phụ kiện mở khí quản</v>
      </c>
      <c r="D362" s="23" t="s">
        <v>2342</v>
      </c>
      <c r="E362" s="37" t="str">
        <f>INDEX('Attribute Definition'!$B:$B,MATCH($D362,'Attribute Definition'!$A:$A,0))</f>
        <v>Kích thước</v>
      </c>
      <c r="F362" s="38" t="s">
        <v>2657</v>
      </c>
      <c r="G362" s="39" t="str" cm="1">
        <f t="array" ref="G362">_xlfn.TEXTJOIN("; ",TRUE,_xlfn.UNIQUE(_xlfn._xlws.FILTER('Product Variant Attribute'!$F$2:$F$3000,('Product Variant Attribute'!$B$2:$B$3000=$A362)*('Product Variant Attribute'!$D$2:$D$3000=$D362),"")))</f>
        <v>7cmx11cm</v>
      </c>
      <c r="H362" s="39"/>
      <c r="I362" s="39"/>
      <c r="J362" s="39" t="str" cm="1">
        <f t="array" ref="J362">IF($I362="","",_xlfn.TEXTJOIN("; ",TRUE,_xlfn.UNIQUE(_xlfn._xlws.FILTER($A$2:$A$3000,($C$2:$C$3000=$C362)*($E$2:$E$3000=$E362)*($G$2:$G$3000&lt;&gt;$G362)*($G$2:$G$3000&lt;&gt;""),""))))</f>
        <v/>
      </c>
    </row>
    <row r="363" spans="1:10" x14ac:dyDescent="0.25">
      <c r="A363" s="23" t="s">
        <v>693</v>
      </c>
      <c r="B363" s="37" t="str">
        <f>INDEX(Product!$B:$B,MATCH($A363,Product!$A:$A,0))</f>
        <v>[Long-term Health] Gạc xốp đặt xung quanh ống mở khí quản (7cmx11cm)</v>
      </c>
      <c r="C363" s="37" t="str">
        <f>INDEX(Product!$D:$D,MATCH($A363,Product!$A:$A,0))</f>
        <v>Phụ kiện mở khí quản</v>
      </c>
      <c r="D363" s="23" t="s">
        <v>2471</v>
      </c>
      <c r="E363" s="37" t="str">
        <f>INDEX('Attribute Definition'!$B:$B,MATCH($D363,'Attribute Definition'!$A:$A,0))</f>
        <v>Dạng sản phẩm</v>
      </c>
      <c r="F363" s="38" t="s">
        <v>2657</v>
      </c>
      <c r="G363" s="39" t="str" cm="1">
        <f t="array" ref="G363">_xlfn.TEXTJOIN("; ",TRUE,_xlfn.UNIQUE(_xlfn._xlws.FILTER('Product Variant Attribute'!$F$2:$F$3000,('Product Variant Attribute'!$B$2:$B$3000=$A363)*('Product Variant Attribute'!$D$2:$D$3000=$D363),"")))</f>
        <v>Miếng dán / gạc</v>
      </c>
      <c r="H363" s="39"/>
      <c r="I363" s="39"/>
      <c r="J363" s="39" t="str" cm="1">
        <f t="array" ref="J363">IF($I363="","",_xlfn.TEXTJOIN("; ",TRUE,_xlfn.UNIQUE(_xlfn._xlws.FILTER($A$2:$A$3000,($C$2:$C$3000=$C363)*($E$2:$E$3000=$E363)*($G$2:$G$3000&lt;&gt;$G363)*($G$2:$G$3000&lt;&gt;""),""))))</f>
        <v/>
      </c>
    </row>
    <row r="364" spans="1:10" x14ac:dyDescent="0.25">
      <c r="A364" s="23" t="s">
        <v>694</v>
      </c>
      <c r="B364" s="37" t="str">
        <f>INDEX(Product!$B:$B,MATCH($A364,Product!$A:$A,0))</f>
        <v>[Long-term Health] Gạc xốp răng cưa đặt xung quanh ống mở khí quản (10cmx10cm)</v>
      </c>
      <c r="C364" s="37" t="str">
        <f>INDEX(Product!$D:$D,MATCH($A364,Product!$A:$A,0))</f>
        <v>Phụ kiện mở khí quản</v>
      </c>
      <c r="D364" s="23" t="s">
        <v>2342</v>
      </c>
      <c r="E364" s="37" t="str">
        <f>INDEX('Attribute Definition'!$B:$B,MATCH($D364,'Attribute Definition'!$A:$A,0))</f>
        <v>Kích thước</v>
      </c>
      <c r="F364" s="38" t="s">
        <v>2657</v>
      </c>
      <c r="G364" s="39" t="str" cm="1">
        <f t="array" ref="G364">_xlfn.TEXTJOIN("; ",TRUE,_xlfn.UNIQUE(_xlfn._xlws.FILTER('Product Variant Attribute'!$F$2:$F$3000,('Product Variant Attribute'!$B$2:$B$3000=$A364)*('Product Variant Attribute'!$D$2:$D$3000=$D364),"")))</f>
        <v>10cmx10cm</v>
      </c>
      <c r="H364" s="39"/>
      <c r="I364" s="39"/>
      <c r="J364" s="39" t="str" cm="1">
        <f t="array" ref="J364">IF($I364="","",_xlfn.TEXTJOIN("; ",TRUE,_xlfn.UNIQUE(_xlfn._xlws.FILTER($A$2:$A$3000,($C$2:$C$3000=$C364)*($E$2:$E$3000=$E364)*($G$2:$G$3000&lt;&gt;$G364)*($G$2:$G$3000&lt;&gt;""),""))))</f>
        <v/>
      </c>
    </row>
    <row r="365" spans="1:10" x14ac:dyDescent="0.25">
      <c r="A365" s="23" t="s">
        <v>694</v>
      </c>
      <c r="B365" s="37" t="str">
        <f>INDEX(Product!$B:$B,MATCH($A365,Product!$A:$A,0))</f>
        <v>[Long-term Health] Gạc xốp răng cưa đặt xung quanh ống mở khí quản (10cmx10cm)</v>
      </c>
      <c r="C365" s="37" t="str">
        <f>INDEX(Product!$D:$D,MATCH($A365,Product!$A:$A,0))</f>
        <v>Phụ kiện mở khí quản</v>
      </c>
      <c r="D365" s="23" t="s">
        <v>2471</v>
      </c>
      <c r="E365" s="37" t="str">
        <f>INDEX('Attribute Definition'!$B:$B,MATCH($D365,'Attribute Definition'!$A:$A,0))</f>
        <v>Dạng sản phẩm</v>
      </c>
      <c r="F365" s="38" t="s">
        <v>2657</v>
      </c>
      <c r="G365" s="39" t="str" cm="1">
        <f t="array" ref="G365">_xlfn.TEXTJOIN("; ",TRUE,_xlfn.UNIQUE(_xlfn._xlws.FILTER('Product Variant Attribute'!$F$2:$F$3000,('Product Variant Attribute'!$B$2:$B$3000=$A365)*('Product Variant Attribute'!$D$2:$D$3000=$D365),"")))</f>
        <v>Miếng dán / gạc</v>
      </c>
      <c r="H365" s="39"/>
      <c r="I365" s="39"/>
      <c r="J365" s="39" t="str" cm="1">
        <f t="array" ref="J365">IF($I365="","",_xlfn.TEXTJOIN("; ",TRUE,_xlfn.UNIQUE(_xlfn._xlws.FILTER($A$2:$A$3000,($C$2:$C$3000=$C365)*($E$2:$E$3000=$E365)*($G$2:$G$3000&lt;&gt;$G365)*($G$2:$G$3000&lt;&gt;""),""))))</f>
        <v/>
      </c>
    </row>
    <row r="366" spans="1:10" x14ac:dyDescent="0.25">
      <c r="A366" s="23" t="s">
        <v>695</v>
      </c>
      <c r="B366" s="37" t="str">
        <f>INDEX(Product!$B:$B,MATCH($A366,Product!$A:$A,0))</f>
        <v>[Medis Medical] Ống nội khí quản có bóng kèm van đo áp lực bóng - Cuff-Safe® AccuCuff</v>
      </c>
      <c r="C366" s="37" t="str">
        <f>INDEX(Product!$D:$D,MATCH($A366,Product!$A:$A,0))</f>
        <v>Ống nội khí quản</v>
      </c>
      <c r="D366" s="23" t="s">
        <v>2416</v>
      </c>
      <c r="E366" s="37" t="str">
        <f>INDEX('Attribute Definition'!$B:$B,MATCH($D366,'Attribute Definition'!$A:$A,0))</f>
        <v>Bóng chèn</v>
      </c>
      <c r="F366" s="38" t="s">
        <v>2657</v>
      </c>
      <c r="G366" s="39" t="str" cm="1">
        <f t="array" ref="G366">_xlfn.TEXTJOIN("; ",TRUE,_xlfn.UNIQUE(_xlfn._xlws.FILTER('Product Variant Attribute'!$F$2:$F$3000,('Product Variant Attribute'!$B$2:$B$3000=$A366)*('Product Variant Attribute'!$D$2:$D$3000=$D366),"")))</f>
        <v>Có bóng</v>
      </c>
      <c r="H366" s="39"/>
      <c r="I366" s="39"/>
      <c r="J366" s="39" t="str" cm="1">
        <f t="array" ref="J366">IF($I366="","",_xlfn.TEXTJOIN("; ",TRUE,_xlfn.UNIQUE(_xlfn._xlws.FILTER($A$2:$A$3000,($C$2:$C$3000=$C366)*($E$2:$E$3000=$E366)*($G$2:$G$3000&lt;&gt;$G366)*($G$2:$G$3000&lt;&gt;""),""))))</f>
        <v/>
      </c>
    </row>
    <row r="367" spans="1:10" x14ac:dyDescent="0.25">
      <c r="A367" s="23" t="s">
        <v>695</v>
      </c>
      <c r="B367" s="37" t="str">
        <f>INDEX(Product!$B:$B,MATCH($A367,Product!$A:$A,0))</f>
        <v>[Medis Medical] Ống nội khí quản có bóng kèm van đo áp lực bóng - Cuff-Safe® AccuCuff</v>
      </c>
      <c r="C367" s="37" t="str">
        <f>INDEX(Product!$D:$D,MATCH($A367,Product!$A:$A,0))</f>
        <v>Ống nội khí quản</v>
      </c>
      <c r="D367" s="23" t="s">
        <v>2471</v>
      </c>
      <c r="E367" s="37" t="str">
        <f>INDEX('Attribute Definition'!$B:$B,MATCH($D367,'Attribute Definition'!$A:$A,0))</f>
        <v>Dạng sản phẩm</v>
      </c>
      <c r="F367" s="38" t="s">
        <v>2657</v>
      </c>
      <c r="G367" s="39" t="str" cm="1">
        <f t="array" ref="G367">_xlfn.TEXTJOIN("; ",TRUE,_xlfn.UNIQUE(_xlfn._xlws.FILTER('Product Variant Attribute'!$F$2:$F$3000,('Product Variant Attribute'!$B$2:$B$3000=$A367)*('Product Variant Attribute'!$D$2:$D$3000=$D367),"")))</f>
        <v>Ống / dây</v>
      </c>
      <c r="H367" s="39"/>
      <c r="I367" s="39"/>
      <c r="J367" s="39" t="str" cm="1">
        <f t="array" ref="J367">IF($I367="","",_xlfn.TEXTJOIN("; ",TRUE,_xlfn.UNIQUE(_xlfn._xlws.FILTER($A$2:$A$3000,($C$2:$C$3000=$C367)*($E$2:$E$3000=$E367)*($G$2:$G$3000&lt;&gt;$G367)*($G$2:$G$3000&lt;&gt;""),""))))</f>
        <v/>
      </c>
    </row>
    <row r="368" spans="1:10" x14ac:dyDescent="0.25">
      <c r="A368" s="23" t="s">
        <v>696</v>
      </c>
      <c r="B368" s="37" t="str">
        <f>INDEX(Product!$B:$B,MATCH($A368,Product!$A:$A,0))</f>
        <v>[Medis Medical] Ống nội khí quản có hút trên bóng kèm van đo áp lực bóng - AccuCuff</v>
      </c>
      <c r="C368" s="37" t="str">
        <f>INDEX(Product!$D:$D,MATCH($A368,Product!$A:$A,0))</f>
        <v>Ống nội khí quản</v>
      </c>
      <c r="D368" s="23" t="s">
        <v>2426</v>
      </c>
      <c r="E368" s="37" t="str">
        <f>INDEX('Attribute Definition'!$B:$B,MATCH($D368,'Attribute Definition'!$A:$A,0))</f>
        <v>Hút trên bóng</v>
      </c>
      <c r="F368" s="38" t="s">
        <v>2657</v>
      </c>
      <c r="G368" s="39" t="str" cm="1">
        <f t="array" ref="G368">_xlfn.TEXTJOIN("; ",TRUE,_xlfn.UNIQUE(_xlfn._xlws.FILTER('Product Variant Attribute'!$F$2:$F$3000,('Product Variant Attribute'!$B$2:$B$3000=$A368)*('Product Variant Attribute'!$D$2:$D$3000=$D368),"")))</f>
        <v>Có</v>
      </c>
      <c r="H368" s="39"/>
      <c r="I368" s="39"/>
      <c r="J368" s="39" t="str" cm="1">
        <f t="array" ref="J368">IF($I368="","",_xlfn.TEXTJOIN("; ",TRUE,_xlfn.UNIQUE(_xlfn._xlws.FILTER($A$2:$A$3000,($C$2:$C$3000=$C368)*($E$2:$E$3000=$E368)*($G$2:$G$3000&lt;&gt;$G368)*($G$2:$G$3000&lt;&gt;""),""))))</f>
        <v/>
      </c>
    </row>
    <row r="369" spans="1:10" x14ac:dyDescent="0.25">
      <c r="A369" s="23" t="s">
        <v>696</v>
      </c>
      <c r="B369" s="37" t="str">
        <f>INDEX(Product!$B:$B,MATCH($A369,Product!$A:$A,0))</f>
        <v>[Medis Medical] Ống nội khí quản có hút trên bóng kèm van đo áp lực bóng - AccuCuff</v>
      </c>
      <c r="C369" s="37" t="str">
        <f>INDEX(Product!$D:$D,MATCH($A369,Product!$A:$A,0))</f>
        <v>Ống nội khí quản</v>
      </c>
      <c r="D369" s="23" t="s">
        <v>2471</v>
      </c>
      <c r="E369" s="37" t="str">
        <f>INDEX('Attribute Definition'!$B:$B,MATCH($D369,'Attribute Definition'!$A:$A,0))</f>
        <v>Dạng sản phẩm</v>
      </c>
      <c r="F369" s="38" t="s">
        <v>2657</v>
      </c>
      <c r="G369" s="39" t="str" cm="1">
        <f t="array" ref="G369">_xlfn.TEXTJOIN("; ",TRUE,_xlfn.UNIQUE(_xlfn._xlws.FILTER('Product Variant Attribute'!$F$2:$F$3000,('Product Variant Attribute'!$B$2:$B$3000=$A369)*('Product Variant Attribute'!$D$2:$D$3000=$D369),"")))</f>
        <v>Ống / dây</v>
      </c>
      <c r="H369" s="39"/>
      <c r="I369" s="39"/>
      <c r="J369" s="39" t="str" cm="1">
        <f t="array" ref="J369">IF($I369="","",_xlfn.TEXTJOIN("; ",TRUE,_xlfn.UNIQUE(_xlfn._xlws.FILTER($A$2:$A$3000,($C$2:$C$3000=$C369)*($E$2:$E$3000=$E369)*($G$2:$G$3000&lt;&gt;$G369)*($G$2:$G$3000&lt;&gt;""),""))))</f>
        <v/>
      </c>
    </row>
    <row r="370" spans="1:10" x14ac:dyDescent="0.25">
      <c r="A370" s="23" t="s">
        <v>697</v>
      </c>
      <c r="B370" s="37" t="str">
        <f>INDEX(Product!$B:$B,MATCH($A370,Product!$A:$A,0))</f>
        <v>[Meditera] Làm ẩm mở khí quản (mũi nhân tạo)</v>
      </c>
      <c r="C370" s="37" t="str">
        <f>INDEX(Product!$D:$D,MATCH($A370,Product!$A:$A,0))</f>
        <v>Phụ kiện mở khí quản</v>
      </c>
      <c r="D370" s="23" t="s">
        <v>2471</v>
      </c>
      <c r="E370" s="37" t="str">
        <f>INDEX('Attribute Definition'!$B:$B,MATCH($D370,'Attribute Definition'!$A:$A,0))</f>
        <v>Dạng sản phẩm</v>
      </c>
      <c r="F370" s="38" t="s">
        <v>2657</v>
      </c>
      <c r="G370" s="39" t="str" cm="1">
        <f t="array" ref="G370">_xlfn.TEXTJOIN("; ",TRUE,_xlfn.UNIQUE(_xlfn._xlws.FILTER('Product Variant Attribute'!$F$2:$F$3000,('Product Variant Attribute'!$B$2:$B$3000=$A370)*('Product Variant Attribute'!$D$2:$D$3000=$D370),"")))</f>
        <v>Dụng cụ / phụ kiện</v>
      </c>
      <c r="H370" s="39"/>
      <c r="I370" s="39"/>
      <c r="J370" s="39" t="str" cm="1">
        <f t="array" ref="J370">IF($I370="","",_xlfn.TEXTJOIN("; ",TRUE,_xlfn.UNIQUE(_xlfn._xlws.FILTER($A$2:$A$3000,($C$2:$C$3000=$C370)*($E$2:$E$3000=$E370)*($G$2:$G$3000&lt;&gt;$G370)*($G$2:$G$3000&lt;&gt;""),""))))</f>
        <v/>
      </c>
    </row>
    <row r="371" spans="1:10" x14ac:dyDescent="0.25">
      <c r="A371" s="23" t="s">
        <v>698</v>
      </c>
      <c r="B371" s="37" t="str">
        <f>INDEX(Product!$B:$B,MATCH($A371,Product!$A:$A,0))</f>
        <v>[Meditera] Phin lọc máy thở 3 chức năng - HME</v>
      </c>
      <c r="C371" s="37" t="str">
        <f>INDEX(Product!$D:$D,MATCH($A371,Product!$A:$A,0))</f>
        <v>Phin lọc máy thở</v>
      </c>
      <c r="D371" s="23" t="s">
        <v>2471</v>
      </c>
      <c r="E371" s="37" t="str">
        <f>INDEX('Attribute Definition'!$B:$B,MATCH($D371,'Attribute Definition'!$A:$A,0))</f>
        <v>Dạng sản phẩm</v>
      </c>
      <c r="F371" s="38" t="s">
        <v>2657</v>
      </c>
      <c r="G371" s="39" t="str" cm="1">
        <f t="array" ref="G371">_xlfn.TEXTJOIN("; ",TRUE,_xlfn.UNIQUE(_xlfn._xlws.FILTER('Product Variant Attribute'!$F$2:$F$3000,('Product Variant Attribute'!$B$2:$B$3000=$A371)*('Product Variant Attribute'!$D$2:$D$3000=$D371),"")))</f>
        <v>Dụng cụ / phụ kiện</v>
      </c>
      <c r="H371" s="39"/>
      <c r="I371" s="39"/>
      <c r="J371" s="39" t="str" cm="1">
        <f t="array" ref="J371">IF($I371="","",_xlfn.TEXTJOIN("; ",TRUE,_xlfn.UNIQUE(_xlfn._xlws.FILTER($A$2:$A$3000,($C$2:$C$3000=$C371)*($E$2:$E$3000=$E371)*($G$2:$G$3000&lt;&gt;$G371)*($G$2:$G$3000&lt;&gt;""),""))))</f>
        <v/>
      </c>
    </row>
    <row r="372" spans="1:10" x14ac:dyDescent="0.25">
      <c r="A372" s="23" t="s">
        <v>698</v>
      </c>
      <c r="B372" s="37" t="str">
        <f>INDEX(Product!$B:$B,MATCH($A372,Product!$A:$A,0))</f>
        <v>[Meditera] Phin lọc máy thở 3 chức năng - HME</v>
      </c>
      <c r="C372" s="37" t="str">
        <f>INDEX(Product!$D:$D,MATCH($A372,Product!$A:$A,0))</f>
        <v>Phin lọc máy thở</v>
      </c>
      <c r="D372" s="23" t="s">
        <v>2656</v>
      </c>
      <c r="E372" s="37" t="str">
        <f>INDEX('Attribute Definition'!$B:$B,MATCH($D372,'Attribute Definition'!$A:$A,0))</f>
        <v>Kích cỡ</v>
      </c>
      <c r="F372" s="38" t="s">
        <v>2485</v>
      </c>
      <c r="G372" s="39" t="str" cm="1">
        <f t="array" ref="G372">_xlfn.TEXTJOIN("; ",TRUE,_xlfn.UNIQUE(_xlfn._xlws.FILTER('Product Variant Attribute'!$F$2:$F$3000,('Product Variant Attribute'!$B$2:$B$3000=$A372)*('Product Variant Attribute'!$D$2:$D$3000=$D372),"")))</f>
        <v>L; S</v>
      </c>
      <c r="H372" s="39" t="s">
        <v>2691</v>
      </c>
      <c r="I372" s="39"/>
      <c r="J372" s="39" t="str" cm="1">
        <f t="array" ref="J372">IF($I372="","",_xlfn.TEXTJOIN("; ",TRUE,_xlfn.UNIQUE(_xlfn._xlws.FILTER($A$2:$A$3000,($C$2:$C$3000=$C372)*($E$2:$E$3000=$E372)*($G$2:$G$3000&lt;&gt;$G372)*($G$2:$G$3000&lt;&gt;""),""))))</f>
        <v/>
      </c>
    </row>
    <row r="373" spans="1:10" ht="30" x14ac:dyDescent="0.25">
      <c r="A373" s="23" t="s">
        <v>699</v>
      </c>
      <c r="B373" s="37" t="str">
        <f>INDEX(Product!$B:$B,MATCH($A373,Product!$A:$A,0))</f>
        <v>[Mera Senko] Nòng trong ống mở khí quản có cửa sổ - Sofit Canula</v>
      </c>
      <c r="C373" s="37" t="str">
        <f>INDEX(Product!$D:$D,MATCH($A373,Product!$A:$A,0))</f>
        <v>Phụ kiện mở khí quản</v>
      </c>
      <c r="D373" s="23" t="s">
        <v>2421</v>
      </c>
      <c r="E373" s="37" t="str">
        <f>INDEX('Attribute Definition'!$B:$B,MATCH($D373,'Attribute Definition'!$A:$A,0))</f>
        <v>Cửa sổ</v>
      </c>
      <c r="F373" s="38" t="s">
        <v>2657</v>
      </c>
      <c r="G373" s="39" t="str" cm="1">
        <f t="array" ref="G373">_xlfn.TEXTJOIN("; ",TRUE,_xlfn.UNIQUE(_xlfn._xlws.FILTER('Product Variant Attribute'!$F$2:$F$3000,('Product Variant Attribute'!$B$2:$B$3000=$A373)*('Product Variant Attribute'!$D$2:$D$3000=$D373),"")))</f>
        <v>Có cửa sổ</v>
      </c>
      <c r="H373" s="39"/>
      <c r="I373" s="39" t="s">
        <v>2746</v>
      </c>
      <c r="J373" s="39" t="str" cm="1">
        <f t="array" ref="J373">IF($I373="","",_xlfn.TEXTJOIN("; ",TRUE,_xlfn.UNIQUE(_xlfn._xlws.FILTER($A$2:$A$3000,($C$2:$C$3000=$C373)*($E$2:$E$3000=$E373)*($G$2:$G$3000&lt;&gt;$G373)*($G$2:$G$3000&lt;&gt;""),""))))</f>
        <v>PRODUCT-00139</v>
      </c>
    </row>
    <row r="374" spans="1:10" x14ac:dyDescent="0.25">
      <c r="A374" s="23" t="s">
        <v>699</v>
      </c>
      <c r="B374" s="37" t="str">
        <f>INDEX(Product!$B:$B,MATCH($A374,Product!$A:$A,0))</f>
        <v>[Mera Senko] Nòng trong ống mở khí quản có cửa sổ - Sofit Canula</v>
      </c>
      <c r="C374" s="37" t="str">
        <f>INDEX(Product!$D:$D,MATCH($A374,Product!$A:$A,0))</f>
        <v>Phụ kiện mở khí quản</v>
      </c>
      <c r="D374" s="23" t="s">
        <v>2471</v>
      </c>
      <c r="E374" s="37" t="str">
        <f>INDEX('Attribute Definition'!$B:$B,MATCH($D374,'Attribute Definition'!$A:$A,0))</f>
        <v>Dạng sản phẩm</v>
      </c>
      <c r="F374" s="38" t="s">
        <v>2657</v>
      </c>
      <c r="G374" s="39" t="str" cm="1">
        <f t="array" ref="G374">_xlfn.TEXTJOIN("; ",TRUE,_xlfn.UNIQUE(_xlfn._xlws.FILTER('Product Variant Attribute'!$F$2:$F$3000,('Product Variant Attribute'!$B$2:$B$3000=$A374)*('Product Variant Attribute'!$D$2:$D$3000=$D374),"")))</f>
        <v>Ống / dây</v>
      </c>
      <c r="H374" s="39"/>
      <c r="I374" s="39"/>
      <c r="J374" s="39" t="str" cm="1">
        <f t="array" ref="J374">IF($I374="","",_xlfn.TEXTJOIN("; ",TRUE,_xlfn.UNIQUE(_xlfn._xlws.FILTER($A$2:$A$3000,($C$2:$C$3000=$C374)*($E$2:$E$3000=$E374)*($G$2:$G$3000&lt;&gt;$G374)*($G$2:$G$3000&lt;&gt;""),""))))</f>
        <v/>
      </c>
    </row>
    <row r="375" spans="1:10" ht="30" x14ac:dyDescent="0.25">
      <c r="A375" s="23" t="s">
        <v>699</v>
      </c>
      <c r="B375" s="37" t="str">
        <f>INDEX(Product!$B:$B,MATCH($A375,Product!$A:$A,0))</f>
        <v>[Mera Senko] Nòng trong ống mở khí quản có cửa sổ - Sofit Canula</v>
      </c>
      <c r="C375" s="37" t="str">
        <f>INDEX(Product!$D:$D,MATCH($A375,Product!$A:$A,0))</f>
        <v>Phụ kiện mở khí quản</v>
      </c>
      <c r="D375" s="23" t="s">
        <v>2656</v>
      </c>
      <c r="E375" s="37" t="str">
        <f>INDEX('Attribute Definition'!$B:$B,MATCH($D375,'Attribute Definition'!$A:$A,0))</f>
        <v>Kích cỡ</v>
      </c>
      <c r="F375" s="38" t="s">
        <v>2485</v>
      </c>
      <c r="G375" s="39" t="str" cm="1">
        <f t="array" ref="G375">_xlfn.TEXTJOIN("; ",TRUE,_xlfn.UNIQUE(_xlfn._xlws.FILTER('Product Variant Attribute'!$F$2:$F$3000,('Product Variant Attribute'!$B$2:$B$3000=$A375)*('Product Variant Attribute'!$D$2:$D$3000=$D375),"")))</f>
        <v>Số 7; Số 8</v>
      </c>
      <c r="H375" s="39" t="s">
        <v>2692</v>
      </c>
      <c r="I375" s="39"/>
      <c r="J375" s="39" t="str" cm="1">
        <f t="array" ref="J375">IF($I375="","",_xlfn.TEXTJOIN("; ",TRUE,_xlfn.UNIQUE(_xlfn._xlws.FILTER($A$2:$A$3000,($C$2:$C$3000=$C375)*($E$2:$E$3000=$E375)*($G$2:$G$3000&lt;&gt;$G375)*($G$2:$G$3000&lt;&gt;""),""))))</f>
        <v/>
      </c>
    </row>
    <row r="376" spans="1:10" ht="30" x14ac:dyDescent="0.25">
      <c r="A376" s="23" t="s">
        <v>700</v>
      </c>
      <c r="B376" s="37" t="str">
        <f>INDEX(Product!$B:$B,MATCH($A376,Product!$A:$A,0))</f>
        <v>[Mera Senko] Nòng trong ống mở khí quản không cửa sổ - Sofit Canula</v>
      </c>
      <c r="C376" s="37" t="str">
        <f>INDEX(Product!$D:$D,MATCH($A376,Product!$A:$A,0))</f>
        <v>Phụ kiện mở khí quản</v>
      </c>
      <c r="D376" s="23" t="s">
        <v>2421</v>
      </c>
      <c r="E376" s="37" t="str">
        <f>INDEX('Attribute Definition'!$B:$B,MATCH($D376,'Attribute Definition'!$A:$A,0))</f>
        <v>Cửa sổ</v>
      </c>
      <c r="F376" s="38" t="s">
        <v>2657</v>
      </c>
      <c r="G376" s="39" t="str" cm="1">
        <f t="array" ref="G376">_xlfn.TEXTJOIN("; ",TRUE,_xlfn.UNIQUE(_xlfn._xlws.FILTER('Product Variant Attribute'!$F$2:$F$3000,('Product Variant Attribute'!$B$2:$B$3000=$A376)*('Product Variant Attribute'!$D$2:$D$3000=$D376),"")))</f>
        <v>Không cửa sổ</v>
      </c>
      <c r="H376" s="39"/>
      <c r="I376" s="39" t="s">
        <v>2747</v>
      </c>
      <c r="J376" s="39" t="str" cm="1">
        <f t="array" ref="J376">IF($I376="","",_xlfn.TEXTJOIN("; ",TRUE,_xlfn.UNIQUE(_xlfn._xlws.FILTER($A$2:$A$3000,($C$2:$C$3000=$C376)*($E$2:$E$3000=$E376)*($G$2:$G$3000&lt;&gt;$G376)*($G$2:$G$3000&lt;&gt;""),""))))</f>
        <v>PRODUCT-00138</v>
      </c>
    </row>
    <row r="377" spans="1:10" x14ac:dyDescent="0.25">
      <c r="A377" s="23" t="s">
        <v>700</v>
      </c>
      <c r="B377" s="37" t="str">
        <f>INDEX(Product!$B:$B,MATCH($A377,Product!$A:$A,0))</f>
        <v>[Mera Senko] Nòng trong ống mở khí quản không cửa sổ - Sofit Canula</v>
      </c>
      <c r="C377" s="37" t="str">
        <f>INDEX(Product!$D:$D,MATCH($A377,Product!$A:$A,0))</f>
        <v>Phụ kiện mở khí quản</v>
      </c>
      <c r="D377" s="23" t="s">
        <v>2471</v>
      </c>
      <c r="E377" s="37" t="str">
        <f>INDEX('Attribute Definition'!$B:$B,MATCH($D377,'Attribute Definition'!$A:$A,0))</f>
        <v>Dạng sản phẩm</v>
      </c>
      <c r="F377" s="38" t="s">
        <v>2657</v>
      </c>
      <c r="G377" s="39" t="str" cm="1">
        <f t="array" ref="G377">_xlfn.TEXTJOIN("; ",TRUE,_xlfn.UNIQUE(_xlfn._xlws.FILTER('Product Variant Attribute'!$F$2:$F$3000,('Product Variant Attribute'!$B$2:$B$3000=$A377)*('Product Variant Attribute'!$D$2:$D$3000=$D377),"")))</f>
        <v>Ống / dây</v>
      </c>
      <c r="H377" s="39"/>
      <c r="I377" s="39"/>
      <c r="J377" s="39" t="str" cm="1">
        <f t="array" ref="J377">IF($I377="","",_xlfn.TEXTJOIN("; ",TRUE,_xlfn.UNIQUE(_xlfn._xlws.FILTER($A$2:$A$3000,($C$2:$C$3000=$C377)*($E$2:$E$3000=$E377)*($G$2:$G$3000&lt;&gt;$G377)*($G$2:$G$3000&lt;&gt;""),""))))</f>
        <v/>
      </c>
    </row>
    <row r="378" spans="1:10" ht="30" x14ac:dyDescent="0.25">
      <c r="A378" s="23" t="s">
        <v>700</v>
      </c>
      <c r="B378" s="37" t="str">
        <f>INDEX(Product!$B:$B,MATCH($A378,Product!$A:$A,0))</f>
        <v>[Mera Senko] Nòng trong ống mở khí quản không cửa sổ - Sofit Canula</v>
      </c>
      <c r="C378" s="37" t="str">
        <f>INDEX(Product!$D:$D,MATCH($A378,Product!$A:$A,0))</f>
        <v>Phụ kiện mở khí quản</v>
      </c>
      <c r="D378" s="23" t="s">
        <v>2656</v>
      </c>
      <c r="E378" s="37" t="str">
        <f>INDEX('Attribute Definition'!$B:$B,MATCH($D378,'Attribute Definition'!$A:$A,0))</f>
        <v>Kích cỡ</v>
      </c>
      <c r="F378" s="38" t="s">
        <v>2485</v>
      </c>
      <c r="G378" s="39" t="str" cm="1">
        <f t="array" ref="G378">_xlfn.TEXTJOIN("; ",TRUE,_xlfn.UNIQUE(_xlfn._xlws.FILTER('Product Variant Attribute'!$F$2:$F$3000,('Product Variant Attribute'!$B$2:$B$3000=$A378)*('Product Variant Attribute'!$D$2:$D$3000=$D378),"")))</f>
        <v>Số 7; Số 8</v>
      </c>
      <c r="H378" s="39" t="s">
        <v>2692</v>
      </c>
      <c r="I378" s="39"/>
      <c r="J378" s="39" t="str" cm="1">
        <f t="array" ref="J378">IF($I378="","",_xlfn.TEXTJOIN("; ",TRUE,_xlfn.UNIQUE(_xlfn._xlws.FILTER($A$2:$A$3000,($C$2:$C$3000=$C378)*($E$2:$E$3000=$E378)*($G$2:$G$3000&lt;&gt;$G378)*($G$2:$G$3000&lt;&gt;""),""))))</f>
        <v/>
      </c>
    </row>
    <row r="379" spans="1:10" x14ac:dyDescent="0.25">
      <c r="A379" s="23" t="s">
        <v>701</v>
      </c>
      <c r="B379" s="37" t="str">
        <f>INDEX(Product!$B:$B,MATCH($A379,Product!$A:$A,0))</f>
        <v>[Mera Senko] Ống mở khí quản 2 nòng có bóng - Sofit D-C</v>
      </c>
      <c r="C379" s="37" t="str">
        <f>INDEX(Product!$D:$D,MATCH($A379,Product!$A:$A,0))</f>
        <v>Ống mở khí quản</v>
      </c>
      <c r="D379" s="23" t="s">
        <v>2411</v>
      </c>
      <c r="E379" s="37" t="str">
        <f>INDEX('Attribute Definition'!$B:$B,MATCH($D379,'Attribute Definition'!$A:$A,0))</f>
        <v>Số nòng / nhánh</v>
      </c>
      <c r="F379" s="38" t="s">
        <v>2657</v>
      </c>
      <c r="G379" s="39" t="str" cm="1">
        <f t="array" ref="G379">_xlfn.TEXTJOIN("; ",TRUE,_xlfn.UNIQUE(_xlfn._xlws.FILTER('Product Variant Attribute'!$F$2:$F$3000,('Product Variant Attribute'!$B$2:$B$3000=$A379)*('Product Variant Attribute'!$D$2:$D$3000=$D379),"")))</f>
        <v>2 nòng</v>
      </c>
      <c r="H379" s="39"/>
      <c r="I379" s="39"/>
      <c r="J379" s="39" t="str" cm="1">
        <f t="array" ref="J379">IF($I379="","",_xlfn.TEXTJOIN("; ",TRUE,_xlfn.UNIQUE(_xlfn._xlws.FILTER($A$2:$A$3000,($C$2:$C$3000=$C379)*($E$2:$E$3000=$E379)*($G$2:$G$3000&lt;&gt;$G379)*($G$2:$G$3000&lt;&gt;""),""))))</f>
        <v/>
      </c>
    </row>
    <row r="380" spans="1:10" ht="45" x14ac:dyDescent="0.25">
      <c r="A380" s="23" t="s">
        <v>701</v>
      </c>
      <c r="B380" s="37" t="str">
        <f>INDEX(Product!$B:$B,MATCH($A380,Product!$A:$A,0))</f>
        <v>[Mera Senko] Ống mở khí quản 2 nòng có bóng - Sofit D-C</v>
      </c>
      <c r="C380" s="37" t="str">
        <f>INDEX(Product!$D:$D,MATCH($A380,Product!$A:$A,0))</f>
        <v>Ống mở khí quản</v>
      </c>
      <c r="D380" s="23" t="s">
        <v>2416</v>
      </c>
      <c r="E380" s="37" t="str">
        <f>INDEX('Attribute Definition'!$B:$B,MATCH($D380,'Attribute Definition'!$A:$A,0))</f>
        <v>Bóng chèn</v>
      </c>
      <c r="F380" s="38" t="s">
        <v>2657</v>
      </c>
      <c r="G380" s="39" t="str" cm="1">
        <f t="array" ref="G380">_xlfn.TEXTJOIN("; ",TRUE,_xlfn.UNIQUE(_xlfn._xlws.FILTER('Product Variant Attribute'!$F$2:$F$3000,('Product Variant Attribute'!$B$2:$B$3000=$A380)*('Product Variant Attribute'!$D$2:$D$3000=$D380),"")))</f>
        <v>Có bóng</v>
      </c>
      <c r="H380" s="39"/>
      <c r="I380" s="39" t="s">
        <v>2742</v>
      </c>
      <c r="J380" s="39" t="str" cm="1">
        <f t="array" ref="J380">IF($I380="","",_xlfn.TEXTJOIN("; ",TRUE,_xlfn.UNIQUE(_xlfn._xlws.FILTER($A$2:$A$3000,($C$2:$C$3000=$C380)*($E$2:$E$3000=$E380)*($G$2:$G$3000&lt;&gt;$G380)*($G$2:$G$3000&lt;&gt;""),""))))</f>
        <v>PRODUCT-00120; PRODUCT-00144; PRODUCT-00145; PRODUCT-00165; PRODUCT-00166</v>
      </c>
    </row>
    <row r="381" spans="1:10" x14ac:dyDescent="0.25">
      <c r="A381" s="23" t="s">
        <v>701</v>
      </c>
      <c r="B381" s="37" t="str">
        <f>INDEX(Product!$B:$B,MATCH($A381,Product!$A:$A,0))</f>
        <v>[Mera Senko] Ống mở khí quản 2 nòng có bóng - Sofit D-C</v>
      </c>
      <c r="C381" s="37" t="str">
        <f>INDEX(Product!$D:$D,MATCH($A381,Product!$A:$A,0))</f>
        <v>Ống mở khí quản</v>
      </c>
      <c r="D381" s="23" t="s">
        <v>2471</v>
      </c>
      <c r="E381" s="37" t="str">
        <f>INDEX('Attribute Definition'!$B:$B,MATCH($D381,'Attribute Definition'!$A:$A,0))</f>
        <v>Dạng sản phẩm</v>
      </c>
      <c r="F381" s="38" t="s">
        <v>2657</v>
      </c>
      <c r="G381" s="39" t="str" cm="1">
        <f t="array" ref="G381">_xlfn.TEXTJOIN("; ",TRUE,_xlfn.UNIQUE(_xlfn._xlws.FILTER('Product Variant Attribute'!$F$2:$F$3000,('Product Variant Attribute'!$B$2:$B$3000=$A381)*('Product Variant Attribute'!$D$2:$D$3000=$D381),"")))</f>
        <v>Ống / dây</v>
      </c>
      <c r="H381" s="39"/>
      <c r="I381" s="39"/>
      <c r="J381" s="39" t="str" cm="1">
        <f t="array" ref="J381">IF($I381="","",_xlfn.TEXTJOIN("; ",TRUE,_xlfn.UNIQUE(_xlfn._xlws.FILTER($A$2:$A$3000,($C$2:$C$3000=$C381)*($E$2:$E$3000=$E381)*($G$2:$G$3000&lt;&gt;$G381)*($G$2:$G$3000&lt;&gt;""),""))))</f>
        <v/>
      </c>
    </row>
    <row r="382" spans="1:10" ht="45" x14ac:dyDescent="0.25">
      <c r="A382" s="23" t="s">
        <v>701</v>
      </c>
      <c r="B382" s="37" t="str">
        <f>INDEX(Product!$B:$B,MATCH($A382,Product!$A:$A,0))</f>
        <v>[Mera Senko] Ống mở khí quản 2 nòng có bóng - Sofit D-C</v>
      </c>
      <c r="C382" s="37" t="str">
        <f>INDEX(Product!$D:$D,MATCH($A382,Product!$A:$A,0))</f>
        <v>Ống mở khí quản</v>
      </c>
      <c r="D382" s="23" t="s">
        <v>2656</v>
      </c>
      <c r="E382" s="37" t="str">
        <f>INDEX('Attribute Definition'!$B:$B,MATCH($D382,'Attribute Definition'!$A:$A,0))</f>
        <v>Kích cỡ</v>
      </c>
      <c r="F382" s="38" t="s">
        <v>2485</v>
      </c>
      <c r="G382" s="39" t="str" cm="1">
        <f t="array" ref="G382">_xlfn.TEXTJOIN("; ",TRUE,_xlfn.UNIQUE(_xlfn._xlws.FILTER('Product Variant Attribute'!$F$2:$F$3000,('Product Variant Attribute'!$B$2:$B$3000=$A382)*('Product Variant Attribute'!$D$2:$D$3000=$D382),"")))</f>
        <v>Số 5; Số 6; Số 7; Số 8</v>
      </c>
      <c r="H382" s="39" t="s">
        <v>2693</v>
      </c>
      <c r="I382" s="39"/>
      <c r="J382" s="39" t="str" cm="1">
        <f t="array" ref="J382">IF($I382="","",_xlfn.TEXTJOIN("; ",TRUE,_xlfn.UNIQUE(_xlfn._xlws.FILTER($A$2:$A$3000,($C$2:$C$3000=$C382)*($E$2:$E$3000=$E382)*($G$2:$G$3000&lt;&gt;$G382)*($G$2:$G$3000&lt;&gt;""),""))))</f>
        <v/>
      </c>
    </row>
    <row r="383" spans="1:10" x14ac:dyDescent="0.25">
      <c r="A383" s="23" t="s">
        <v>702</v>
      </c>
      <c r="B383" s="37" t="str">
        <f>INDEX(Product!$B:$B,MATCH($A383,Product!$A:$A,0))</f>
        <v>[Mera Senko] Ống mở khí quản 2 nòng có bóng kèm ống hút trên bóng - Sofit D-CS</v>
      </c>
      <c r="C383" s="37" t="str">
        <f>INDEX(Product!$D:$D,MATCH($A383,Product!$A:$A,0))</f>
        <v>Ống mở khí quản</v>
      </c>
      <c r="D383" s="23" t="s">
        <v>2411</v>
      </c>
      <c r="E383" s="37" t="str">
        <f>INDEX('Attribute Definition'!$B:$B,MATCH($D383,'Attribute Definition'!$A:$A,0))</f>
        <v>Số nòng / nhánh</v>
      </c>
      <c r="F383" s="38" t="s">
        <v>2657</v>
      </c>
      <c r="G383" s="39" t="str" cm="1">
        <f t="array" ref="G383">_xlfn.TEXTJOIN("; ",TRUE,_xlfn.UNIQUE(_xlfn._xlws.FILTER('Product Variant Attribute'!$F$2:$F$3000,('Product Variant Attribute'!$B$2:$B$3000=$A383)*('Product Variant Attribute'!$D$2:$D$3000=$D383),"")))</f>
        <v>2 nòng</v>
      </c>
      <c r="H383" s="39"/>
      <c r="I383" s="39"/>
      <c r="J383" s="39" t="str" cm="1">
        <f t="array" ref="J383">IF($I383="","",_xlfn.TEXTJOIN("; ",TRUE,_xlfn.UNIQUE(_xlfn._xlws.FILTER($A$2:$A$3000,($C$2:$C$3000=$C383)*($E$2:$E$3000=$E383)*($G$2:$G$3000&lt;&gt;$G383)*($G$2:$G$3000&lt;&gt;""),""))))</f>
        <v/>
      </c>
    </row>
    <row r="384" spans="1:10" ht="45" x14ac:dyDescent="0.25">
      <c r="A384" s="23" t="s">
        <v>702</v>
      </c>
      <c r="B384" s="37" t="str">
        <f>INDEX(Product!$B:$B,MATCH($A384,Product!$A:$A,0))</f>
        <v>[Mera Senko] Ống mở khí quản 2 nòng có bóng kèm ống hút trên bóng - Sofit D-CS</v>
      </c>
      <c r="C384" s="37" t="str">
        <f>INDEX(Product!$D:$D,MATCH($A384,Product!$A:$A,0))</f>
        <v>Ống mở khí quản</v>
      </c>
      <c r="D384" s="23" t="s">
        <v>2416</v>
      </c>
      <c r="E384" s="37" t="str">
        <f>INDEX('Attribute Definition'!$B:$B,MATCH($D384,'Attribute Definition'!$A:$A,0))</f>
        <v>Bóng chèn</v>
      </c>
      <c r="F384" s="38" t="s">
        <v>2657</v>
      </c>
      <c r="G384" s="39" t="str" cm="1">
        <f t="array" ref="G384">_xlfn.TEXTJOIN("; ",TRUE,_xlfn.UNIQUE(_xlfn._xlws.FILTER('Product Variant Attribute'!$F$2:$F$3000,('Product Variant Attribute'!$B$2:$B$3000=$A384)*('Product Variant Attribute'!$D$2:$D$3000=$D384),"")))</f>
        <v>Có bóng</v>
      </c>
      <c r="H384" s="39"/>
      <c r="I384" s="39" t="s">
        <v>2742</v>
      </c>
      <c r="J384" s="39" t="str" cm="1">
        <f t="array" ref="J384">IF($I384="","",_xlfn.TEXTJOIN("; ",TRUE,_xlfn.UNIQUE(_xlfn._xlws.FILTER($A$2:$A$3000,($C$2:$C$3000=$C384)*($E$2:$E$3000=$E384)*($G$2:$G$3000&lt;&gt;$G384)*($G$2:$G$3000&lt;&gt;""),""))))</f>
        <v>PRODUCT-00120; PRODUCT-00144; PRODUCT-00145; PRODUCT-00165; PRODUCT-00166</v>
      </c>
    </row>
    <row r="385" spans="1:10" x14ac:dyDescent="0.25">
      <c r="A385" s="23" t="s">
        <v>702</v>
      </c>
      <c r="B385" s="37" t="str">
        <f>INDEX(Product!$B:$B,MATCH($A385,Product!$A:$A,0))</f>
        <v>[Mera Senko] Ống mở khí quản 2 nòng có bóng kèm ống hút trên bóng - Sofit D-CS</v>
      </c>
      <c r="C385" s="37" t="str">
        <f>INDEX(Product!$D:$D,MATCH($A385,Product!$A:$A,0))</f>
        <v>Ống mở khí quản</v>
      </c>
      <c r="D385" s="23" t="s">
        <v>2426</v>
      </c>
      <c r="E385" s="37" t="str">
        <f>INDEX('Attribute Definition'!$B:$B,MATCH($D385,'Attribute Definition'!$A:$A,0))</f>
        <v>Hút trên bóng</v>
      </c>
      <c r="F385" s="38" t="s">
        <v>2657</v>
      </c>
      <c r="G385" s="39" t="str" cm="1">
        <f t="array" ref="G385">_xlfn.TEXTJOIN("; ",TRUE,_xlfn.UNIQUE(_xlfn._xlws.FILTER('Product Variant Attribute'!$F$2:$F$3000,('Product Variant Attribute'!$B$2:$B$3000=$A385)*('Product Variant Attribute'!$D$2:$D$3000=$D385),"")))</f>
        <v>Có</v>
      </c>
      <c r="H385" s="39"/>
      <c r="I385" s="39"/>
      <c r="J385" s="39" t="str" cm="1">
        <f t="array" ref="J385">IF($I385="","",_xlfn.TEXTJOIN("; ",TRUE,_xlfn.UNIQUE(_xlfn._xlws.FILTER($A$2:$A$3000,($C$2:$C$3000=$C385)*($E$2:$E$3000=$E385)*($G$2:$G$3000&lt;&gt;$G385)*($G$2:$G$3000&lt;&gt;""),""))))</f>
        <v/>
      </c>
    </row>
    <row r="386" spans="1:10" x14ac:dyDescent="0.25">
      <c r="A386" s="23" t="s">
        <v>702</v>
      </c>
      <c r="B386" s="37" t="str">
        <f>INDEX(Product!$B:$B,MATCH($A386,Product!$A:$A,0))</f>
        <v>[Mera Senko] Ống mở khí quản 2 nòng có bóng kèm ống hút trên bóng - Sofit D-CS</v>
      </c>
      <c r="C386" s="37" t="str">
        <f>INDEX(Product!$D:$D,MATCH($A386,Product!$A:$A,0))</f>
        <v>Ống mở khí quản</v>
      </c>
      <c r="D386" s="23" t="s">
        <v>2471</v>
      </c>
      <c r="E386" s="37" t="str">
        <f>INDEX('Attribute Definition'!$B:$B,MATCH($D386,'Attribute Definition'!$A:$A,0))</f>
        <v>Dạng sản phẩm</v>
      </c>
      <c r="F386" s="38" t="s">
        <v>2657</v>
      </c>
      <c r="G386" s="39" t="str" cm="1">
        <f t="array" ref="G386">_xlfn.TEXTJOIN("; ",TRUE,_xlfn.UNIQUE(_xlfn._xlws.FILTER('Product Variant Attribute'!$F$2:$F$3000,('Product Variant Attribute'!$B$2:$B$3000=$A386)*('Product Variant Attribute'!$D$2:$D$3000=$D386),"")))</f>
        <v>Ống / dây</v>
      </c>
      <c r="H386" s="39"/>
      <c r="I386" s="39"/>
      <c r="J386" s="39" t="str" cm="1">
        <f t="array" ref="J386">IF($I386="","",_xlfn.TEXTJOIN("; ",TRUE,_xlfn.UNIQUE(_xlfn._xlws.FILTER($A$2:$A$3000,($C$2:$C$3000=$C386)*($E$2:$E$3000=$E386)*($G$2:$G$3000&lt;&gt;$G386)*($G$2:$G$3000&lt;&gt;""),""))))</f>
        <v/>
      </c>
    </row>
    <row r="387" spans="1:10" ht="45" x14ac:dyDescent="0.25">
      <c r="A387" s="23" t="s">
        <v>702</v>
      </c>
      <c r="B387" s="37" t="str">
        <f>INDEX(Product!$B:$B,MATCH($A387,Product!$A:$A,0))</f>
        <v>[Mera Senko] Ống mở khí quản 2 nòng có bóng kèm ống hút trên bóng - Sofit D-CS</v>
      </c>
      <c r="C387" s="37" t="str">
        <f>INDEX(Product!$D:$D,MATCH($A387,Product!$A:$A,0))</f>
        <v>Ống mở khí quản</v>
      </c>
      <c r="D387" s="23" t="s">
        <v>2656</v>
      </c>
      <c r="E387" s="37" t="str">
        <f>INDEX('Attribute Definition'!$B:$B,MATCH($D387,'Attribute Definition'!$A:$A,0))</f>
        <v>Kích cỡ</v>
      </c>
      <c r="F387" s="38" t="s">
        <v>2485</v>
      </c>
      <c r="G387" s="39" t="str" cm="1">
        <f t="array" ref="G387">_xlfn.TEXTJOIN("; ",TRUE,_xlfn.UNIQUE(_xlfn._xlws.FILTER('Product Variant Attribute'!$F$2:$F$3000,('Product Variant Attribute'!$B$2:$B$3000=$A387)*('Product Variant Attribute'!$D$2:$D$3000=$D387),"")))</f>
        <v>Số 5; Số 6; Số 7; Số 8</v>
      </c>
      <c r="H387" s="39" t="s">
        <v>2693</v>
      </c>
      <c r="I387" s="39"/>
      <c r="J387" s="39" t="str" cm="1">
        <f t="array" ref="J387">IF($I387="","",_xlfn.TEXTJOIN("; ",TRUE,_xlfn.UNIQUE(_xlfn._xlws.FILTER($A$2:$A$3000,($C$2:$C$3000=$C387)*($E$2:$E$3000=$E387)*($G$2:$G$3000&lt;&gt;$G387)*($G$2:$G$3000&lt;&gt;""),""))))</f>
        <v/>
      </c>
    </row>
    <row r="388" spans="1:10" x14ac:dyDescent="0.25">
      <c r="A388" s="23" t="s">
        <v>703</v>
      </c>
      <c r="B388" s="37" t="str">
        <f>INDEX(Product!$B:$B,MATCH($A388,Product!$A:$A,0))</f>
        <v>[Mera Senko] Ống mở khí quản 2 nòng có bóng, có cửa sổ - Sofit D-CF</v>
      </c>
      <c r="C388" s="37" t="str">
        <f>INDEX(Product!$D:$D,MATCH($A388,Product!$A:$A,0))</f>
        <v>Ống mở khí quản</v>
      </c>
      <c r="D388" s="23" t="s">
        <v>2411</v>
      </c>
      <c r="E388" s="37" t="str">
        <f>INDEX('Attribute Definition'!$B:$B,MATCH($D388,'Attribute Definition'!$A:$A,0))</f>
        <v>Số nòng / nhánh</v>
      </c>
      <c r="F388" s="38" t="s">
        <v>2657</v>
      </c>
      <c r="G388" s="39" t="str" cm="1">
        <f t="array" ref="G388">_xlfn.TEXTJOIN("; ",TRUE,_xlfn.UNIQUE(_xlfn._xlws.FILTER('Product Variant Attribute'!$F$2:$F$3000,('Product Variant Attribute'!$B$2:$B$3000=$A388)*('Product Variant Attribute'!$D$2:$D$3000=$D388),"")))</f>
        <v>2 nòng</v>
      </c>
      <c r="H388" s="39"/>
      <c r="I388" s="39"/>
      <c r="J388" s="39" t="str" cm="1">
        <f t="array" ref="J388">IF($I388="","",_xlfn.TEXTJOIN("; ",TRUE,_xlfn.UNIQUE(_xlfn._xlws.FILTER($A$2:$A$3000,($C$2:$C$3000=$C388)*($E$2:$E$3000=$E388)*($G$2:$G$3000&lt;&gt;$G388)*($G$2:$G$3000&lt;&gt;""),""))))</f>
        <v/>
      </c>
    </row>
    <row r="389" spans="1:10" ht="45" x14ac:dyDescent="0.25">
      <c r="A389" s="23" t="s">
        <v>703</v>
      </c>
      <c r="B389" s="37" t="str">
        <f>INDEX(Product!$B:$B,MATCH($A389,Product!$A:$A,0))</f>
        <v>[Mera Senko] Ống mở khí quản 2 nòng có bóng, có cửa sổ - Sofit D-CF</v>
      </c>
      <c r="C389" s="37" t="str">
        <f>INDEX(Product!$D:$D,MATCH($A389,Product!$A:$A,0))</f>
        <v>Ống mở khí quản</v>
      </c>
      <c r="D389" s="23" t="s">
        <v>2416</v>
      </c>
      <c r="E389" s="37" t="str">
        <f>INDEX('Attribute Definition'!$B:$B,MATCH($D389,'Attribute Definition'!$A:$A,0))</f>
        <v>Bóng chèn</v>
      </c>
      <c r="F389" s="38" t="s">
        <v>2657</v>
      </c>
      <c r="G389" s="39" t="str" cm="1">
        <f t="array" ref="G389">_xlfn.TEXTJOIN("; ",TRUE,_xlfn.UNIQUE(_xlfn._xlws.FILTER('Product Variant Attribute'!$F$2:$F$3000,('Product Variant Attribute'!$B$2:$B$3000=$A389)*('Product Variant Attribute'!$D$2:$D$3000=$D389),"")))</f>
        <v>Có bóng</v>
      </c>
      <c r="H389" s="39"/>
      <c r="I389" s="39" t="s">
        <v>2742</v>
      </c>
      <c r="J389" s="39" t="str" cm="1">
        <f t="array" ref="J389">IF($I389="","",_xlfn.TEXTJOIN("; ",TRUE,_xlfn.UNIQUE(_xlfn._xlws.FILTER($A$2:$A$3000,($C$2:$C$3000=$C389)*($E$2:$E$3000=$E389)*($G$2:$G$3000&lt;&gt;$G389)*($G$2:$G$3000&lt;&gt;""),""))))</f>
        <v>PRODUCT-00120; PRODUCT-00144; PRODUCT-00145; PRODUCT-00165; PRODUCT-00166</v>
      </c>
    </row>
    <row r="390" spans="1:10" ht="45" x14ac:dyDescent="0.25">
      <c r="A390" s="23" t="s">
        <v>703</v>
      </c>
      <c r="B390" s="37" t="str">
        <f>INDEX(Product!$B:$B,MATCH($A390,Product!$A:$A,0))</f>
        <v>[Mera Senko] Ống mở khí quản 2 nòng có bóng, có cửa sổ - Sofit D-CF</v>
      </c>
      <c r="C390" s="37" t="str">
        <f>INDEX(Product!$D:$D,MATCH($A390,Product!$A:$A,0))</f>
        <v>Ống mở khí quản</v>
      </c>
      <c r="D390" s="23" t="s">
        <v>2421</v>
      </c>
      <c r="E390" s="37" t="str">
        <f>INDEX('Attribute Definition'!$B:$B,MATCH($D390,'Attribute Definition'!$A:$A,0))</f>
        <v>Cửa sổ</v>
      </c>
      <c r="F390" s="38" t="s">
        <v>2657</v>
      </c>
      <c r="G390" s="39" t="str" cm="1">
        <f t="array" ref="G390">_xlfn.TEXTJOIN("; ",TRUE,_xlfn.UNIQUE(_xlfn._xlws.FILTER('Product Variant Attribute'!$F$2:$F$3000,('Product Variant Attribute'!$B$2:$B$3000=$A390)*('Product Variant Attribute'!$D$2:$D$3000=$D390),"")))</f>
        <v>Có cửa sổ</v>
      </c>
      <c r="H390" s="39"/>
      <c r="I390" s="39" t="s">
        <v>2743</v>
      </c>
      <c r="J390" s="39" t="str" cm="1">
        <f t="array" ref="J390">IF($I390="","",_xlfn.TEXTJOIN("; ",TRUE,_xlfn.UNIQUE(_xlfn._xlws.FILTER($A$2:$A$3000,($C$2:$C$3000=$C390)*($E$2:$E$3000=$E390)*($G$2:$G$3000&lt;&gt;$G390)*($G$2:$G$3000&lt;&gt;""),""))))</f>
        <v>PRODUCT-00164; PRODUCT-00166</v>
      </c>
    </row>
    <row r="391" spans="1:10" x14ac:dyDescent="0.25">
      <c r="A391" s="23" t="s">
        <v>703</v>
      </c>
      <c r="B391" s="37" t="str">
        <f>INDEX(Product!$B:$B,MATCH($A391,Product!$A:$A,0))</f>
        <v>[Mera Senko] Ống mở khí quản 2 nòng có bóng, có cửa sổ - Sofit D-CF</v>
      </c>
      <c r="C391" s="37" t="str">
        <f>INDEX(Product!$D:$D,MATCH($A391,Product!$A:$A,0))</f>
        <v>Ống mở khí quản</v>
      </c>
      <c r="D391" s="23" t="s">
        <v>2471</v>
      </c>
      <c r="E391" s="37" t="str">
        <f>INDEX('Attribute Definition'!$B:$B,MATCH($D391,'Attribute Definition'!$A:$A,0))</f>
        <v>Dạng sản phẩm</v>
      </c>
      <c r="F391" s="38" t="s">
        <v>2657</v>
      </c>
      <c r="G391" s="39" t="str" cm="1">
        <f t="array" ref="G391">_xlfn.TEXTJOIN("; ",TRUE,_xlfn.UNIQUE(_xlfn._xlws.FILTER('Product Variant Attribute'!$F$2:$F$3000,('Product Variant Attribute'!$B$2:$B$3000=$A391)*('Product Variant Attribute'!$D$2:$D$3000=$D391),"")))</f>
        <v>Ống / dây</v>
      </c>
      <c r="H391" s="39"/>
      <c r="I391" s="39"/>
      <c r="J391" s="39" t="str" cm="1">
        <f t="array" ref="J391">IF($I391="","",_xlfn.TEXTJOIN("; ",TRUE,_xlfn.UNIQUE(_xlfn._xlws.FILTER($A$2:$A$3000,($C$2:$C$3000=$C391)*($E$2:$E$3000=$E391)*($G$2:$G$3000&lt;&gt;$G391)*($G$2:$G$3000&lt;&gt;""),""))))</f>
        <v/>
      </c>
    </row>
    <row r="392" spans="1:10" ht="45" x14ac:dyDescent="0.25">
      <c r="A392" s="23" t="s">
        <v>703</v>
      </c>
      <c r="B392" s="37" t="str">
        <f>INDEX(Product!$B:$B,MATCH($A392,Product!$A:$A,0))</f>
        <v>[Mera Senko] Ống mở khí quản 2 nòng có bóng, có cửa sổ - Sofit D-CF</v>
      </c>
      <c r="C392" s="37" t="str">
        <f>INDEX(Product!$D:$D,MATCH($A392,Product!$A:$A,0))</f>
        <v>Ống mở khí quản</v>
      </c>
      <c r="D392" s="23" t="s">
        <v>2656</v>
      </c>
      <c r="E392" s="37" t="str">
        <f>INDEX('Attribute Definition'!$B:$B,MATCH($D392,'Attribute Definition'!$A:$A,0))</f>
        <v>Kích cỡ</v>
      </c>
      <c r="F392" s="38" t="s">
        <v>2485</v>
      </c>
      <c r="G392" s="39" t="str" cm="1">
        <f t="array" ref="G392">_xlfn.TEXTJOIN("; ",TRUE,_xlfn.UNIQUE(_xlfn._xlws.FILTER('Product Variant Attribute'!$F$2:$F$3000,('Product Variant Attribute'!$B$2:$B$3000=$A392)*('Product Variant Attribute'!$D$2:$D$3000=$D392),"")))</f>
        <v>Số 5; Số 6; Số 7; Số 8</v>
      </c>
      <c r="H392" s="39" t="s">
        <v>2693</v>
      </c>
      <c r="I392" s="39"/>
      <c r="J392" s="39" t="str" cm="1">
        <f t="array" ref="J392">IF($I392="","",_xlfn.TEXTJOIN("; ",TRUE,_xlfn.UNIQUE(_xlfn._xlws.FILTER($A$2:$A$3000,($C$2:$C$3000=$C392)*($E$2:$E$3000=$E392)*($G$2:$G$3000&lt;&gt;$G392)*($G$2:$G$3000&lt;&gt;""),""))))</f>
        <v/>
      </c>
    </row>
    <row r="393" spans="1:10" x14ac:dyDescent="0.25">
      <c r="A393" s="23" t="s">
        <v>704</v>
      </c>
      <c r="B393" s="37" t="str">
        <f>INDEX(Product!$B:$B,MATCH($A393,Product!$A:$A,0))</f>
        <v>[Mera Senko] Ống mở khí quản 2 nòng có bóng, có cửa sổ kèm ống hút trên bóng - Sofit D-CFS</v>
      </c>
      <c r="C393" s="37" t="str">
        <f>INDEX(Product!$D:$D,MATCH($A393,Product!$A:$A,0))</f>
        <v>Ống mở khí quản</v>
      </c>
      <c r="D393" s="23" t="s">
        <v>2411</v>
      </c>
      <c r="E393" s="37" t="str">
        <f>INDEX('Attribute Definition'!$B:$B,MATCH($D393,'Attribute Definition'!$A:$A,0))</f>
        <v>Số nòng / nhánh</v>
      </c>
      <c r="F393" s="38" t="s">
        <v>2657</v>
      </c>
      <c r="G393" s="39" t="str" cm="1">
        <f t="array" ref="G393">_xlfn.TEXTJOIN("; ",TRUE,_xlfn.UNIQUE(_xlfn._xlws.FILTER('Product Variant Attribute'!$F$2:$F$3000,('Product Variant Attribute'!$B$2:$B$3000=$A393)*('Product Variant Attribute'!$D$2:$D$3000=$D393),"")))</f>
        <v>2 nòng</v>
      </c>
      <c r="H393" s="39"/>
      <c r="I393" s="39"/>
      <c r="J393" s="39" t="str" cm="1">
        <f t="array" ref="J393">IF($I393="","",_xlfn.TEXTJOIN("; ",TRUE,_xlfn.UNIQUE(_xlfn._xlws.FILTER($A$2:$A$3000,($C$2:$C$3000=$C393)*($E$2:$E$3000=$E393)*($G$2:$G$3000&lt;&gt;$G393)*($G$2:$G$3000&lt;&gt;""),""))))</f>
        <v/>
      </c>
    </row>
    <row r="394" spans="1:10" ht="45" x14ac:dyDescent="0.25">
      <c r="A394" s="23" t="s">
        <v>704</v>
      </c>
      <c r="B394" s="37" t="str">
        <f>INDEX(Product!$B:$B,MATCH($A394,Product!$A:$A,0))</f>
        <v>[Mera Senko] Ống mở khí quản 2 nòng có bóng, có cửa sổ kèm ống hút trên bóng - Sofit D-CFS</v>
      </c>
      <c r="C394" s="37" t="str">
        <f>INDEX(Product!$D:$D,MATCH($A394,Product!$A:$A,0))</f>
        <v>Ống mở khí quản</v>
      </c>
      <c r="D394" s="23" t="s">
        <v>2416</v>
      </c>
      <c r="E394" s="37" t="str">
        <f>INDEX('Attribute Definition'!$B:$B,MATCH($D394,'Attribute Definition'!$A:$A,0))</f>
        <v>Bóng chèn</v>
      </c>
      <c r="F394" s="38" t="s">
        <v>2657</v>
      </c>
      <c r="G394" s="39" t="str" cm="1">
        <f t="array" ref="G394">_xlfn.TEXTJOIN("; ",TRUE,_xlfn.UNIQUE(_xlfn._xlws.FILTER('Product Variant Attribute'!$F$2:$F$3000,('Product Variant Attribute'!$B$2:$B$3000=$A394)*('Product Variant Attribute'!$D$2:$D$3000=$D394),"")))</f>
        <v>Có bóng</v>
      </c>
      <c r="H394" s="39"/>
      <c r="I394" s="39" t="s">
        <v>2742</v>
      </c>
      <c r="J394" s="39" t="str" cm="1">
        <f t="array" ref="J394">IF($I394="","",_xlfn.TEXTJOIN("; ",TRUE,_xlfn.UNIQUE(_xlfn._xlws.FILTER($A$2:$A$3000,($C$2:$C$3000=$C394)*($E$2:$E$3000=$E394)*($G$2:$G$3000&lt;&gt;$G394)*($G$2:$G$3000&lt;&gt;""),""))))</f>
        <v>PRODUCT-00120; PRODUCT-00144; PRODUCT-00145; PRODUCT-00165; PRODUCT-00166</v>
      </c>
    </row>
    <row r="395" spans="1:10" ht="45" x14ac:dyDescent="0.25">
      <c r="A395" s="23" t="s">
        <v>704</v>
      </c>
      <c r="B395" s="37" t="str">
        <f>INDEX(Product!$B:$B,MATCH($A395,Product!$A:$A,0))</f>
        <v>[Mera Senko] Ống mở khí quản 2 nòng có bóng, có cửa sổ kèm ống hút trên bóng - Sofit D-CFS</v>
      </c>
      <c r="C395" s="37" t="str">
        <f>INDEX(Product!$D:$D,MATCH($A395,Product!$A:$A,0))</f>
        <v>Ống mở khí quản</v>
      </c>
      <c r="D395" s="23" t="s">
        <v>2421</v>
      </c>
      <c r="E395" s="37" t="str">
        <f>INDEX('Attribute Definition'!$B:$B,MATCH($D395,'Attribute Definition'!$A:$A,0))</f>
        <v>Cửa sổ</v>
      </c>
      <c r="F395" s="38" t="s">
        <v>2657</v>
      </c>
      <c r="G395" s="39" t="str" cm="1">
        <f t="array" ref="G395">_xlfn.TEXTJOIN("; ",TRUE,_xlfn.UNIQUE(_xlfn._xlws.FILTER('Product Variant Attribute'!$F$2:$F$3000,('Product Variant Attribute'!$B$2:$B$3000=$A395)*('Product Variant Attribute'!$D$2:$D$3000=$D395),"")))</f>
        <v>Có cửa sổ</v>
      </c>
      <c r="H395" s="39"/>
      <c r="I395" s="39" t="s">
        <v>2743</v>
      </c>
      <c r="J395" s="39" t="str" cm="1">
        <f t="array" ref="J395">IF($I395="","",_xlfn.TEXTJOIN("; ",TRUE,_xlfn.UNIQUE(_xlfn._xlws.FILTER($A$2:$A$3000,($C$2:$C$3000=$C395)*($E$2:$E$3000=$E395)*($G$2:$G$3000&lt;&gt;$G395)*($G$2:$G$3000&lt;&gt;""),""))))</f>
        <v>PRODUCT-00164; PRODUCT-00166</v>
      </c>
    </row>
    <row r="396" spans="1:10" x14ac:dyDescent="0.25">
      <c r="A396" s="23" t="s">
        <v>704</v>
      </c>
      <c r="B396" s="37" t="str">
        <f>INDEX(Product!$B:$B,MATCH($A396,Product!$A:$A,0))</f>
        <v>[Mera Senko] Ống mở khí quản 2 nòng có bóng, có cửa sổ kèm ống hút trên bóng - Sofit D-CFS</v>
      </c>
      <c r="C396" s="37" t="str">
        <f>INDEX(Product!$D:$D,MATCH($A396,Product!$A:$A,0))</f>
        <v>Ống mở khí quản</v>
      </c>
      <c r="D396" s="23" t="s">
        <v>2426</v>
      </c>
      <c r="E396" s="37" t="str">
        <f>INDEX('Attribute Definition'!$B:$B,MATCH($D396,'Attribute Definition'!$A:$A,0))</f>
        <v>Hút trên bóng</v>
      </c>
      <c r="F396" s="38" t="s">
        <v>2657</v>
      </c>
      <c r="G396" s="39" t="str" cm="1">
        <f t="array" ref="G396">_xlfn.TEXTJOIN("; ",TRUE,_xlfn.UNIQUE(_xlfn._xlws.FILTER('Product Variant Attribute'!$F$2:$F$3000,('Product Variant Attribute'!$B$2:$B$3000=$A396)*('Product Variant Attribute'!$D$2:$D$3000=$D396),"")))</f>
        <v>Có</v>
      </c>
      <c r="H396" s="39"/>
      <c r="I396" s="39"/>
      <c r="J396" s="39" t="str" cm="1">
        <f t="array" ref="J396">IF($I396="","",_xlfn.TEXTJOIN("; ",TRUE,_xlfn.UNIQUE(_xlfn._xlws.FILTER($A$2:$A$3000,($C$2:$C$3000=$C396)*($E$2:$E$3000=$E396)*($G$2:$G$3000&lt;&gt;$G396)*($G$2:$G$3000&lt;&gt;""),""))))</f>
        <v/>
      </c>
    </row>
    <row r="397" spans="1:10" x14ac:dyDescent="0.25">
      <c r="A397" s="23" t="s">
        <v>704</v>
      </c>
      <c r="B397" s="37" t="str">
        <f>INDEX(Product!$B:$B,MATCH($A397,Product!$A:$A,0))</f>
        <v>[Mera Senko] Ống mở khí quản 2 nòng có bóng, có cửa sổ kèm ống hút trên bóng - Sofit D-CFS</v>
      </c>
      <c r="C397" s="37" t="str">
        <f>INDEX(Product!$D:$D,MATCH($A397,Product!$A:$A,0))</f>
        <v>Ống mở khí quản</v>
      </c>
      <c r="D397" s="23" t="s">
        <v>2471</v>
      </c>
      <c r="E397" s="37" t="str">
        <f>INDEX('Attribute Definition'!$B:$B,MATCH($D397,'Attribute Definition'!$A:$A,0))</f>
        <v>Dạng sản phẩm</v>
      </c>
      <c r="F397" s="38" t="s">
        <v>2657</v>
      </c>
      <c r="G397" s="39" t="str" cm="1">
        <f t="array" ref="G397">_xlfn.TEXTJOIN("; ",TRUE,_xlfn.UNIQUE(_xlfn._xlws.FILTER('Product Variant Attribute'!$F$2:$F$3000,('Product Variant Attribute'!$B$2:$B$3000=$A397)*('Product Variant Attribute'!$D$2:$D$3000=$D397),"")))</f>
        <v>Ống / dây</v>
      </c>
      <c r="H397" s="39"/>
      <c r="I397" s="39"/>
      <c r="J397" s="39" t="str" cm="1">
        <f t="array" ref="J397">IF($I397="","",_xlfn.TEXTJOIN("; ",TRUE,_xlfn.UNIQUE(_xlfn._xlws.FILTER($A$2:$A$3000,($C$2:$C$3000=$C397)*($E$2:$E$3000=$E397)*($G$2:$G$3000&lt;&gt;$G397)*($G$2:$G$3000&lt;&gt;""),""))))</f>
        <v/>
      </c>
    </row>
    <row r="398" spans="1:10" ht="45" x14ac:dyDescent="0.25">
      <c r="A398" s="23" t="s">
        <v>704</v>
      </c>
      <c r="B398" s="37" t="str">
        <f>INDEX(Product!$B:$B,MATCH($A398,Product!$A:$A,0))</f>
        <v>[Mera Senko] Ống mở khí quản 2 nòng có bóng, có cửa sổ kèm ống hút trên bóng - Sofit D-CFS</v>
      </c>
      <c r="C398" s="37" t="str">
        <f>INDEX(Product!$D:$D,MATCH($A398,Product!$A:$A,0))</f>
        <v>Ống mở khí quản</v>
      </c>
      <c r="D398" s="23" t="s">
        <v>2656</v>
      </c>
      <c r="E398" s="37" t="str">
        <f>INDEX('Attribute Definition'!$B:$B,MATCH($D398,'Attribute Definition'!$A:$A,0))</f>
        <v>Kích cỡ</v>
      </c>
      <c r="F398" s="38" t="s">
        <v>2485</v>
      </c>
      <c r="G398" s="39" t="str" cm="1">
        <f t="array" ref="G398">_xlfn.TEXTJOIN("; ",TRUE,_xlfn.UNIQUE(_xlfn._xlws.FILTER('Product Variant Attribute'!$F$2:$F$3000,('Product Variant Attribute'!$B$2:$B$3000=$A398)*('Product Variant Attribute'!$D$2:$D$3000=$D398),"")))</f>
        <v>Số 5; Số 6; Số 7; Số 8</v>
      </c>
      <c r="H398" s="39" t="s">
        <v>2693</v>
      </c>
      <c r="I398" s="39"/>
      <c r="J398" s="39" t="str" cm="1">
        <f t="array" ref="J398">IF($I398="","",_xlfn.TEXTJOIN("; ",TRUE,_xlfn.UNIQUE(_xlfn._xlws.FILTER($A$2:$A$3000,($C$2:$C$3000=$C398)*($E$2:$E$3000=$E398)*($G$2:$G$3000&lt;&gt;$G398)*($G$2:$G$3000&lt;&gt;""),""))))</f>
        <v/>
      </c>
    </row>
    <row r="399" spans="1:10" x14ac:dyDescent="0.25">
      <c r="A399" s="23" t="s">
        <v>705</v>
      </c>
      <c r="B399" s="37" t="str">
        <f>INDEX(Product!$B:$B,MATCH($A399,Product!$A:$A,0))</f>
        <v>[Mera Senko] Ống mở khí quản 2 nòng không bóng - Sofit D-NC</v>
      </c>
      <c r="C399" s="37" t="str">
        <f>INDEX(Product!$D:$D,MATCH($A399,Product!$A:$A,0))</f>
        <v>Ống mở khí quản</v>
      </c>
      <c r="D399" s="23" t="s">
        <v>2411</v>
      </c>
      <c r="E399" s="37" t="str">
        <f>INDEX('Attribute Definition'!$B:$B,MATCH($D399,'Attribute Definition'!$A:$A,0))</f>
        <v>Số nòng / nhánh</v>
      </c>
      <c r="F399" s="38" t="s">
        <v>2657</v>
      </c>
      <c r="G399" s="39" t="str" cm="1">
        <f t="array" ref="G399">_xlfn.TEXTJOIN("; ",TRUE,_xlfn.UNIQUE(_xlfn._xlws.FILTER('Product Variant Attribute'!$F$2:$F$3000,('Product Variant Attribute'!$B$2:$B$3000=$A399)*('Product Variant Attribute'!$D$2:$D$3000=$D399),"")))</f>
        <v>2 nòng</v>
      </c>
      <c r="H399" s="39"/>
      <c r="I399" s="39"/>
      <c r="J399" s="39" t="str" cm="1">
        <f t="array" ref="J399">IF($I399="","",_xlfn.TEXTJOIN("; ",TRUE,_xlfn.UNIQUE(_xlfn._xlws.FILTER($A$2:$A$3000,($C$2:$C$3000=$C399)*($E$2:$E$3000=$E399)*($G$2:$G$3000&lt;&gt;$G399)*($G$2:$G$3000&lt;&gt;""),""))))</f>
        <v/>
      </c>
    </row>
    <row r="400" spans="1:10" ht="60" x14ac:dyDescent="0.25">
      <c r="A400" s="23" t="s">
        <v>705</v>
      </c>
      <c r="B400" s="37" t="str">
        <f>INDEX(Product!$B:$B,MATCH($A400,Product!$A:$A,0))</f>
        <v>[Mera Senko] Ống mở khí quản 2 nòng không bóng - Sofit D-NC</v>
      </c>
      <c r="C400" s="37" t="str">
        <f>INDEX(Product!$D:$D,MATCH($A400,Product!$A:$A,0))</f>
        <v>Ống mở khí quản</v>
      </c>
      <c r="D400" s="23" t="s">
        <v>2416</v>
      </c>
      <c r="E400" s="37" t="str">
        <f>INDEX('Attribute Definition'!$B:$B,MATCH($D400,'Attribute Definition'!$A:$A,0))</f>
        <v>Bóng chèn</v>
      </c>
      <c r="F400" s="38" t="s">
        <v>2657</v>
      </c>
      <c r="G400" s="39" t="str" cm="1">
        <f t="array" ref="G400">_xlfn.TEXTJOIN("; ",TRUE,_xlfn.UNIQUE(_xlfn._xlws.FILTER('Product Variant Attribute'!$F$2:$F$3000,('Product Variant Attribute'!$B$2:$B$3000=$A400)*('Product Variant Attribute'!$D$2:$D$3000=$D400),"")))</f>
        <v>Không bóng</v>
      </c>
      <c r="H400" s="39"/>
      <c r="I400" s="39" t="s">
        <v>2744</v>
      </c>
      <c r="J400" s="39" t="str" cm="1">
        <f t="array" ref="J400">IF($I400="","",_xlfn.TEXTJOIN("; ",TRUE,_xlfn.UNIQUE(_xlfn._xlws.FILTER($A$2:$A$3000,($C$2:$C$3000=$C400)*($E$2:$E$3000=$E400)*($G$2:$G$3000&lt;&gt;$G400)*($G$2:$G$3000&lt;&gt;""),""))))</f>
        <v>PRODUCT-00118; PRODUCT-00119; PRODUCT-00140; PRODUCT-00141; PRODUCT-00142; PRODUCT-00143; PRODUCT-00163; PRODUCT-00164</v>
      </c>
    </row>
    <row r="401" spans="1:10" x14ac:dyDescent="0.25">
      <c r="A401" s="23" t="s">
        <v>705</v>
      </c>
      <c r="B401" s="37" t="str">
        <f>INDEX(Product!$B:$B,MATCH($A401,Product!$A:$A,0))</f>
        <v>[Mera Senko] Ống mở khí quản 2 nòng không bóng - Sofit D-NC</v>
      </c>
      <c r="C401" s="37" t="str">
        <f>INDEX(Product!$D:$D,MATCH($A401,Product!$A:$A,0))</f>
        <v>Ống mở khí quản</v>
      </c>
      <c r="D401" s="23" t="s">
        <v>2471</v>
      </c>
      <c r="E401" s="37" t="str">
        <f>INDEX('Attribute Definition'!$B:$B,MATCH($D401,'Attribute Definition'!$A:$A,0))</f>
        <v>Dạng sản phẩm</v>
      </c>
      <c r="F401" s="38" t="s">
        <v>2657</v>
      </c>
      <c r="G401" s="39" t="str" cm="1">
        <f t="array" ref="G401">_xlfn.TEXTJOIN("; ",TRUE,_xlfn.UNIQUE(_xlfn._xlws.FILTER('Product Variant Attribute'!$F$2:$F$3000,('Product Variant Attribute'!$B$2:$B$3000=$A401)*('Product Variant Attribute'!$D$2:$D$3000=$D401),"")))</f>
        <v>Ống / dây</v>
      </c>
      <c r="H401" s="39"/>
      <c r="I401" s="39"/>
      <c r="J401" s="39" t="str" cm="1">
        <f t="array" ref="J401">IF($I401="","",_xlfn.TEXTJOIN("; ",TRUE,_xlfn.UNIQUE(_xlfn._xlws.FILTER($A$2:$A$3000,($C$2:$C$3000=$C401)*($E$2:$E$3000=$E401)*($G$2:$G$3000&lt;&gt;$G401)*($G$2:$G$3000&lt;&gt;""),""))))</f>
        <v/>
      </c>
    </row>
    <row r="402" spans="1:10" ht="45" x14ac:dyDescent="0.25">
      <c r="A402" s="23" t="s">
        <v>705</v>
      </c>
      <c r="B402" s="37" t="str">
        <f>INDEX(Product!$B:$B,MATCH($A402,Product!$A:$A,0))</f>
        <v>[Mera Senko] Ống mở khí quản 2 nòng không bóng - Sofit D-NC</v>
      </c>
      <c r="C402" s="37" t="str">
        <f>INDEX(Product!$D:$D,MATCH($A402,Product!$A:$A,0))</f>
        <v>Ống mở khí quản</v>
      </c>
      <c r="D402" s="23" t="s">
        <v>2656</v>
      </c>
      <c r="E402" s="37" t="str">
        <f>INDEX('Attribute Definition'!$B:$B,MATCH($D402,'Attribute Definition'!$A:$A,0))</f>
        <v>Kích cỡ</v>
      </c>
      <c r="F402" s="38" t="s">
        <v>2485</v>
      </c>
      <c r="G402" s="39" t="str" cm="1">
        <f t="array" ref="G402">_xlfn.TEXTJOIN("; ",TRUE,_xlfn.UNIQUE(_xlfn._xlws.FILTER('Product Variant Attribute'!$F$2:$F$3000,('Product Variant Attribute'!$B$2:$B$3000=$A402)*('Product Variant Attribute'!$D$2:$D$3000=$D402),"")))</f>
        <v>Số 5; Số 6; Số 7; Số 8</v>
      </c>
      <c r="H402" s="39" t="s">
        <v>2693</v>
      </c>
      <c r="I402" s="39"/>
      <c r="J402" s="39" t="str" cm="1">
        <f t="array" ref="J402">IF($I402="","",_xlfn.TEXTJOIN("; ",TRUE,_xlfn.UNIQUE(_xlfn._xlws.FILTER($A$2:$A$3000,($C$2:$C$3000=$C402)*($E$2:$E$3000=$E402)*($G$2:$G$3000&lt;&gt;$G402)*($G$2:$G$3000&lt;&gt;""),""))))</f>
        <v/>
      </c>
    </row>
    <row r="403" spans="1:10" x14ac:dyDescent="0.25">
      <c r="A403" s="23" t="s">
        <v>706</v>
      </c>
      <c r="B403" s="37" t="str">
        <f>INDEX(Product!$B:$B,MATCH($A403,Product!$A:$A,0))</f>
        <v>[Mera Senko] Ống mở khí quản 2 nòng không bóng, có cửa sổ - Sofit D-F</v>
      </c>
      <c r="C403" s="37" t="str">
        <f>INDEX(Product!$D:$D,MATCH($A403,Product!$A:$A,0))</f>
        <v>Ống mở khí quản</v>
      </c>
      <c r="D403" s="23" t="s">
        <v>2411</v>
      </c>
      <c r="E403" s="37" t="str">
        <f>INDEX('Attribute Definition'!$B:$B,MATCH($D403,'Attribute Definition'!$A:$A,0))</f>
        <v>Số nòng / nhánh</v>
      </c>
      <c r="F403" s="38" t="s">
        <v>2657</v>
      </c>
      <c r="G403" s="39" t="str" cm="1">
        <f t="array" ref="G403">_xlfn.TEXTJOIN("; ",TRUE,_xlfn.UNIQUE(_xlfn._xlws.FILTER('Product Variant Attribute'!$F$2:$F$3000,('Product Variant Attribute'!$B$2:$B$3000=$A403)*('Product Variant Attribute'!$D$2:$D$3000=$D403),"")))</f>
        <v>2 nòng</v>
      </c>
      <c r="H403" s="39"/>
      <c r="I403" s="39"/>
      <c r="J403" s="39" t="str" cm="1">
        <f t="array" ref="J403">IF($I403="","",_xlfn.TEXTJOIN("; ",TRUE,_xlfn.UNIQUE(_xlfn._xlws.FILTER($A$2:$A$3000,($C$2:$C$3000=$C403)*($E$2:$E$3000=$E403)*($G$2:$G$3000&lt;&gt;$G403)*($G$2:$G$3000&lt;&gt;""),""))))</f>
        <v/>
      </c>
    </row>
    <row r="404" spans="1:10" ht="60" x14ac:dyDescent="0.25">
      <c r="A404" s="23" t="s">
        <v>706</v>
      </c>
      <c r="B404" s="37" t="str">
        <f>INDEX(Product!$B:$B,MATCH($A404,Product!$A:$A,0))</f>
        <v>[Mera Senko] Ống mở khí quản 2 nòng không bóng, có cửa sổ - Sofit D-F</v>
      </c>
      <c r="C404" s="37" t="str">
        <f>INDEX(Product!$D:$D,MATCH($A404,Product!$A:$A,0))</f>
        <v>Ống mở khí quản</v>
      </c>
      <c r="D404" s="23" t="s">
        <v>2416</v>
      </c>
      <c r="E404" s="37" t="str">
        <f>INDEX('Attribute Definition'!$B:$B,MATCH($D404,'Attribute Definition'!$A:$A,0))</f>
        <v>Bóng chèn</v>
      </c>
      <c r="F404" s="38" t="s">
        <v>2657</v>
      </c>
      <c r="G404" s="39" t="str" cm="1">
        <f t="array" ref="G404">_xlfn.TEXTJOIN("; ",TRUE,_xlfn.UNIQUE(_xlfn._xlws.FILTER('Product Variant Attribute'!$F$2:$F$3000,('Product Variant Attribute'!$B$2:$B$3000=$A404)*('Product Variant Attribute'!$D$2:$D$3000=$D404),"")))</f>
        <v>Không bóng</v>
      </c>
      <c r="H404" s="39"/>
      <c r="I404" s="39" t="s">
        <v>2744</v>
      </c>
      <c r="J404" s="39" t="str" cm="1">
        <f t="array" ref="J404">IF($I404="","",_xlfn.TEXTJOIN("; ",TRUE,_xlfn.UNIQUE(_xlfn._xlws.FILTER($A$2:$A$3000,($C$2:$C$3000=$C404)*($E$2:$E$3000=$E404)*($G$2:$G$3000&lt;&gt;$G404)*($G$2:$G$3000&lt;&gt;""),""))))</f>
        <v>PRODUCT-00118; PRODUCT-00119; PRODUCT-00140; PRODUCT-00141; PRODUCT-00142; PRODUCT-00143; PRODUCT-00163; PRODUCT-00164</v>
      </c>
    </row>
    <row r="405" spans="1:10" ht="45" x14ac:dyDescent="0.25">
      <c r="A405" s="23" t="s">
        <v>706</v>
      </c>
      <c r="B405" s="37" t="str">
        <f>INDEX(Product!$B:$B,MATCH($A405,Product!$A:$A,0))</f>
        <v>[Mera Senko] Ống mở khí quản 2 nòng không bóng, có cửa sổ - Sofit D-F</v>
      </c>
      <c r="C405" s="37" t="str">
        <f>INDEX(Product!$D:$D,MATCH($A405,Product!$A:$A,0))</f>
        <v>Ống mở khí quản</v>
      </c>
      <c r="D405" s="23" t="s">
        <v>2421</v>
      </c>
      <c r="E405" s="37" t="str">
        <f>INDEX('Attribute Definition'!$B:$B,MATCH($D405,'Attribute Definition'!$A:$A,0))</f>
        <v>Cửa sổ</v>
      </c>
      <c r="F405" s="38" t="s">
        <v>2657</v>
      </c>
      <c r="G405" s="39" t="str" cm="1">
        <f t="array" ref="G405">_xlfn.TEXTJOIN("; ",TRUE,_xlfn.UNIQUE(_xlfn._xlws.FILTER('Product Variant Attribute'!$F$2:$F$3000,('Product Variant Attribute'!$B$2:$B$3000=$A405)*('Product Variant Attribute'!$D$2:$D$3000=$D405),"")))</f>
        <v>Có cửa sổ</v>
      </c>
      <c r="H405" s="39"/>
      <c r="I405" s="39" t="s">
        <v>2743</v>
      </c>
      <c r="J405" s="39" t="str" cm="1">
        <f t="array" ref="J405">IF($I405="","",_xlfn.TEXTJOIN("; ",TRUE,_xlfn.UNIQUE(_xlfn._xlws.FILTER($A$2:$A$3000,($C$2:$C$3000=$C405)*($E$2:$E$3000=$E405)*($G$2:$G$3000&lt;&gt;$G405)*($G$2:$G$3000&lt;&gt;""),""))))</f>
        <v>PRODUCT-00164; PRODUCT-00166</v>
      </c>
    </row>
    <row r="406" spans="1:10" x14ac:dyDescent="0.25">
      <c r="A406" s="23" t="s">
        <v>706</v>
      </c>
      <c r="B406" s="37" t="str">
        <f>INDEX(Product!$B:$B,MATCH($A406,Product!$A:$A,0))</f>
        <v>[Mera Senko] Ống mở khí quản 2 nòng không bóng, có cửa sổ - Sofit D-F</v>
      </c>
      <c r="C406" s="37" t="str">
        <f>INDEX(Product!$D:$D,MATCH($A406,Product!$A:$A,0))</f>
        <v>Ống mở khí quản</v>
      </c>
      <c r="D406" s="23" t="s">
        <v>2471</v>
      </c>
      <c r="E406" s="37" t="str">
        <f>INDEX('Attribute Definition'!$B:$B,MATCH($D406,'Attribute Definition'!$A:$A,0))</f>
        <v>Dạng sản phẩm</v>
      </c>
      <c r="F406" s="38" t="s">
        <v>2657</v>
      </c>
      <c r="G406" s="39" t="str" cm="1">
        <f t="array" ref="G406">_xlfn.TEXTJOIN("; ",TRUE,_xlfn.UNIQUE(_xlfn._xlws.FILTER('Product Variant Attribute'!$F$2:$F$3000,('Product Variant Attribute'!$B$2:$B$3000=$A406)*('Product Variant Attribute'!$D$2:$D$3000=$D406),"")))</f>
        <v>Ống / dây</v>
      </c>
      <c r="H406" s="39"/>
      <c r="I406" s="39"/>
      <c r="J406" s="39" t="str" cm="1">
        <f t="array" ref="J406">IF($I406="","",_xlfn.TEXTJOIN("; ",TRUE,_xlfn.UNIQUE(_xlfn._xlws.FILTER($A$2:$A$3000,($C$2:$C$3000=$C406)*($E$2:$E$3000=$E406)*($G$2:$G$3000&lt;&gt;$G406)*($G$2:$G$3000&lt;&gt;""),""))))</f>
        <v/>
      </c>
    </row>
    <row r="407" spans="1:10" ht="45" x14ac:dyDescent="0.25">
      <c r="A407" s="23" t="s">
        <v>706</v>
      </c>
      <c r="B407" s="37" t="str">
        <f>INDEX(Product!$B:$B,MATCH($A407,Product!$A:$A,0))</f>
        <v>[Mera Senko] Ống mở khí quản 2 nòng không bóng, có cửa sổ - Sofit D-F</v>
      </c>
      <c r="C407" s="37" t="str">
        <f>INDEX(Product!$D:$D,MATCH($A407,Product!$A:$A,0))</f>
        <v>Ống mở khí quản</v>
      </c>
      <c r="D407" s="23" t="s">
        <v>2656</v>
      </c>
      <c r="E407" s="37" t="str">
        <f>INDEX('Attribute Definition'!$B:$B,MATCH($D407,'Attribute Definition'!$A:$A,0))</f>
        <v>Kích cỡ</v>
      </c>
      <c r="F407" s="38" t="s">
        <v>2485</v>
      </c>
      <c r="G407" s="39" t="str" cm="1">
        <f t="array" ref="G407">_xlfn.TEXTJOIN("; ",TRUE,_xlfn.UNIQUE(_xlfn._xlws.FILTER('Product Variant Attribute'!$F$2:$F$3000,('Product Variant Attribute'!$B$2:$B$3000=$A407)*('Product Variant Attribute'!$D$2:$D$3000=$D407),"")))</f>
        <v>Số 5; Số 6; Số 7; Số 8</v>
      </c>
      <c r="H407" s="39" t="s">
        <v>2693</v>
      </c>
      <c r="I407" s="39"/>
      <c r="J407" s="39" t="str" cm="1">
        <f t="array" ref="J407">IF($I407="","",_xlfn.TEXTJOIN("; ",TRUE,_xlfn.UNIQUE(_xlfn._xlws.FILTER($A$2:$A$3000,($C$2:$C$3000=$C407)*($E$2:$E$3000=$E407)*($G$2:$G$3000&lt;&gt;$G407)*($G$2:$G$3000&lt;&gt;""),""))))</f>
        <v/>
      </c>
    </row>
    <row r="408" spans="1:10" x14ac:dyDescent="0.25">
      <c r="A408" s="23" t="s">
        <v>707</v>
      </c>
      <c r="B408" s="37" t="str">
        <f>INDEX(Product!$B:$B,MATCH($A408,Product!$A:$A,0))</f>
        <v>[Mera Senko] Van tập nói - Sofit</v>
      </c>
      <c r="C408" s="37" t="str">
        <f>INDEX(Product!$D:$D,MATCH($A408,Product!$A:$A,0))</f>
        <v>Phụ kiện mở khí quản</v>
      </c>
      <c r="D408" s="23" t="s">
        <v>2471</v>
      </c>
      <c r="E408" s="37" t="str">
        <f>INDEX('Attribute Definition'!$B:$B,MATCH($D408,'Attribute Definition'!$A:$A,0))</f>
        <v>Dạng sản phẩm</v>
      </c>
      <c r="F408" s="38" t="s">
        <v>2657</v>
      </c>
      <c r="G408" s="39" t="str" cm="1">
        <f t="array" ref="G408">_xlfn.TEXTJOIN("; ",TRUE,_xlfn.UNIQUE(_xlfn._xlws.FILTER('Product Variant Attribute'!$F$2:$F$3000,('Product Variant Attribute'!$B$2:$B$3000=$A408)*('Product Variant Attribute'!$D$2:$D$3000=$D408),"")))</f>
        <v>Dụng cụ / phụ kiện</v>
      </c>
      <c r="H408" s="39"/>
      <c r="I408" s="39"/>
      <c r="J408" s="39" t="str" cm="1">
        <f t="array" ref="J408">IF($I408="","",_xlfn.TEXTJOIN("; ",TRUE,_xlfn.UNIQUE(_xlfn._xlws.FILTER($A$2:$A$3000,($C$2:$C$3000=$C408)*($E$2:$E$3000=$E408)*($G$2:$G$3000&lt;&gt;$G408)*($G$2:$G$3000&lt;&gt;""),""))))</f>
        <v/>
      </c>
    </row>
    <row r="409" spans="1:10" x14ac:dyDescent="0.25">
      <c r="A409" s="23" t="s">
        <v>708</v>
      </c>
      <c r="B409" s="37" t="str">
        <f>INDEX(Product!$B:$B,MATCH($A409,Product!$A:$A,0))</f>
        <v>[Omron] Máy xông khí dung - NE-C101</v>
      </c>
      <c r="C409" s="37" t="str">
        <f>INDEX(Product!$D:$D,MATCH($A409,Product!$A:$A,0))</f>
        <v>Máy xông khí dung</v>
      </c>
      <c r="D409" s="23" t="s">
        <v>2471</v>
      </c>
      <c r="E409" s="37" t="str">
        <f>INDEX('Attribute Definition'!$B:$B,MATCH($D409,'Attribute Definition'!$A:$A,0))</f>
        <v>Dạng sản phẩm</v>
      </c>
      <c r="F409" s="38" t="s">
        <v>2657</v>
      </c>
      <c r="G409" s="39" t="str" cm="1">
        <f t="array" ref="G409">_xlfn.TEXTJOIN("; ",TRUE,_xlfn.UNIQUE(_xlfn._xlws.FILTER('Product Variant Attribute'!$F$2:$F$3000,('Product Variant Attribute'!$B$2:$B$3000=$A409)*('Product Variant Attribute'!$D$2:$D$3000=$D409),"")))</f>
        <v>Máy / thiết bị điện tử</v>
      </c>
      <c r="H409" s="39"/>
      <c r="I409" s="39"/>
      <c r="J409" s="39" t="str" cm="1">
        <f t="array" ref="J409">IF($I409="","",_xlfn.TEXTJOIN("; ",TRUE,_xlfn.UNIQUE(_xlfn._xlws.FILTER($A$2:$A$3000,($C$2:$C$3000=$C409)*($E$2:$E$3000=$E409)*($G$2:$G$3000&lt;&gt;$G409)*($G$2:$G$3000&lt;&gt;""),""))))</f>
        <v/>
      </c>
    </row>
    <row r="410" spans="1:10" x14ac:dyDescent="0.25">
      <c r="A410" s="23" t="s">
        <v>709</v>
      </c>
      <c r="B410" s="37" t="str">
        <f>INDEX(Product!$B:$B,MATCH($A410,Product!$A:$A,0))</f>
        <v>[Omron] Máy xông khí dung - NE-C106</v>
      </c>
      <c r="C410" s="37" t="str">
        <f>INDEX(Product!$D:$D,MATCH($A410,Product!$A:$A,0))</f>
        <v>Máy xông khí dung</v>
      </c>
      <c r="D410" s="23" t="s">
        <v>2471</v>
      </c>
      <c r="E410" s="37" t="str">
        <f>INDEX('Attribute Definition'!$B:$B,MATCH($D410,'Attribute Definition'!$A:$A,0))</f>
        <v>Dạng sản phẩm</v>
      </c>
      <c r="F410" s="38" t="s">
        <v>2657</v>
      </c>
      <c r="G410" s="39" t="str" cm="1">
        <f t="array" ref="G410">_xlfn.TEXTJOIN("; ",TRUE,_xlfn.UNIQUE(_xlfn._xlws.FILTER('Product Variant Attribute'!$F$2:$F$3000,('Product Variant Attribute'!$B$2:$B$3000=$A410)*('Product Variant Attribute'!$D$2:$D$3000=$D410),"")))</f>
        <v>Máy / thiết bị điện tử</v>
      </c>
      <c r="H410" s="39"/>
      <c r="I410" s="39"/>
      <c r="J410" s="39" t="str" cm="1">
        <f t="array" ref="J410">IF($I410="","",_xlfn.TEXTJOIN("; ",TRUE,_xlfn.UNIQUE(_xlfn._xlws.FILTER($A$2:$A$3000,($C$2:$C$3000=$C410)*($E$2:$E$3000=$E410)*($G$2:$G$3000&lt;&gt;$G410)*($G$2:$G$3000&lt;&gt;""),""))))</f>
        <v/>
      </c>
    </row>
    <row r="411" spans="1:10" x14ac:dyDescent="0.25">
      <c r="A411" s="23" t="s">
        <v>710</v>
      </c>
      <c r="B411" s="37" t="str">
        <f>INDEX(Product!$B:$B,MATCH($A411,Product!$A:$A,0))</f>
        <v>[Omron] Máy xông khí dung - NE-C28</v>
      </c>
      <c r="C411" s="37" t="str">
        <f>INDEX(Product!$D:$D,MATCH($A411,Product!$A:$A,0))</f>
        <v>Máy xông khí dung</v>
      </c>
      <c r="D411" s="23" t="s">
        <v>2471</v>
      </c>
      <c r="E411" s="37" t="str">
        <f>INDEX('Attribute Definition'!$B:$B,MATCH($D411,'Attribute Definition'!$A:$A,0))</f>
        <v>Dạng sản phẩm</v>
      </c>
      <c r="F411" s="38" t="s">
        <v>2657</v>
      </c>
      <c r="G411" s="39" t="str" cm="1">
        <f t="array" ref="G411">_xlfn.TEXTJOIN("; ",TRUE,_xlfn.UNIQUE(_xlfn._xlws.FILTER('Product Variant Attribute'!$F$2:$F$3000,('Product Variant Attribute'!$B$2:$B$3000=$A411)*('Product Variant Attribute'!$D$2:$D$3000=$D411),"")))</f>
        <v>Máy / thiết bị điện tử</v>
      </c>
      <c r="H411" s="39"/>
      <c r="I411" s="39"/>
      <c r="J411" s="39" t="str" cm="1">
        <f t="array" ref="J411">IF($I411="","",_xlfn.TEXTJOIN("; ",TRUE,_xlfn.UNIQUE(_xlfn._xlws.FILTER($A$2:$A$3000,($C$2:$C$3000=$C411)*($E$2:$E$3000=$E411)*($G$2:$G$3000&lt;&gt;$G411)*($G$2:$G$3000&lt;&gt;""),""))))</f>
        <v/>
      </c>
    </row>
    <row r="412" spans="1:10" ht="30" x14ac:dyDescent="0.25">
      <c r="A412" s="23" t="s">
        <v>711</v>
      </c>
      <c r="B412" s="37" t="str">
        <f>INDEX(Product!$B:$B,MATCH($A412,Product!$A:$A,0))</f>
        <v>[Owgels] Máy tạo oxy 10 lít có xông khí dung - OZ-5-01GW0-10L</v>
      </c>
      <c r="C412" s="37" t="str">
        <f>INDEX(Product!$D:$D,MATCH($A412,Product!$A:$A,0))</f>
        <v>Máy tạo oxy</v>
      </c>
      <c r="D412" s="23" t="s">
        <v>2459</v>
      </c>
      <c r="E412" s="37" t="str">
        <f>INDEX('Attribute Definition'!$B:$B,MATCH($D412,'Attribute Definition'!$A:$A,0))</f>
        <v>Lưu lượng oxy</v>
      </c>
      <c r="F412" s="38" t="s">
        <v>2657</v>
      </c>
      <c r="G412" s="39" t="str" cm="1">
        <f t="array" ref="G412">_xlfn.TEXTJOIN("; ",TRUE,_xlfn.UNIQUE(_xlfn._xlws.FILTER('Product Variant Attribute'!$F$2:$F$3000,('Product Variant Attribute'!$B$2:$B$3000=$A412)*('Product Variant Attribute'!$D$2:$D$3000=$D412),"")))</f>
        <v>10 lít/phút</v>
      </c>
      <c r="H412" s="39"/>
      <c r="I412" s="39" t="s">
        <v>2748</v>
      </c>
      <c r="J412" s="39" t="str" cm="1">
        <f t="array" ref="J412">IF($I412="","",_xlfn.TEXTJOIN("; ",TRUE,_xlfn.UNIQUE(_xlfn._xlws.FILTER($A$2:$A$3000,($C$2:$C$3000=$C412)*($E$2:$E$3000=$E412)*($G$2:$G$3000&lt;&gt;$G412)*($G$2:$G$3000&lt;&gt;""),""))))</f>
        <v>PRODUCT-00130; PRODUCT-00151; PRODUCT-00152</v>
      </c>
    </row>
    <row r="413" spans="1:10" x14ac:dyDescent="0.25">
      <c r="A413" s="23" t="s">
        <v>711</v>
      </c>
      <c r="B413" s="37" t="str">
        <f>INDEX(Product!$B:$B,MATCH($A413,Product!$A:$A,0))</f>
        <v>[Owgels] Máy tạo oxy 10 lít có xông khí dung - OZ-5-01GW0-10L</v>
      </c>
      <c r="C413" s="37" t="str">
        <f>INDEX(Product!$D:$D,MATCH($A413,Product!$A:$A,0))</f>
        <v>Máy tạo oxy</v>
      </c>
      <c r="D413" s="23" t="s">
        <v>2471</v>
      </c>
      <c r="E413" s="37" t="str">
        <f>INDEX('Attribute Definition'!$B:$B,MATCH($D413,'Attribute Definition'!$A:$A,0))</f>
        <v>Dạng sản phẩm</v>
      </c>
      <c r="F413" s="38" t="s">
        <v>2657</v>
      </c>
      <c r="G413" s="39" t="str" cm="1">
        <f t="array" ref="G413">_xlfn.TEXTJOIN("; ",TRUE,_xlfn.UNIQUE(_xlfn._xlws.FILTER('Product Variant Attribute'!$F$2:$F$3000,('Product Variant Attribute'!$B$2:$B$3000=$A413)*('Product Variant Attribute'!$D$2:$D$3000=$D413),"")))</f>
        <v>Máy / thiết bị điện tử</v>
      </c>
      <c r="H413" s="39"/>
      <c r="I413" s="39"/>
      <c r="J413" s="39" t="str" cm="1">
        <f t="array" ref="J413">IF($I413="","",_xlfn.TEXTJOIN("; ",TRUE,_xlfn.UNIQUE(_xlfn._xlws.FILTER($A$2:$A$3000,($C$2:$C$3000=$C413)*($E$2:$E$3000=$E413)*($G$2:$G$3000&lt;&gt;$G413)*($G$2:$G$3000&lt;&gt;""),""))))</f>
        <v/>
      </c>
    </row>
    <row r="414" spans="1:10" ht="30" x14ac:dyDescent="0.25">
      <c r="A414" s="23" t="s">
        <v>712</v>
      </c>
      <c r="B414" s="37" t="str">
        <f>INDEX(Product!$B:$B,MATCH($A414,Product!$A:$A,0))</f>
        <v>[Owgels] Máy tạo oxy 5 lít có xông khí dung - OZ-501PW0</v>
      </c>
      <c r="C414" s="37" t="str">
        <f>INDEX(Product!$D:$D,MATCH($A414,Product!$A:$A,0))</f>
        <v>Máy tạo oxy</v>
      </c>
      <c r="D414" s="23" t="s">
        <v>2459</v>
      </c>
      <c r="E414" s="37" t="str">
        <f>INDEX('Attribute Definition'!$B:$B,MATCH($D414,'Attribute Definition'!$A:$A,0))</f>
        <v>Lưu lượng oxy</v>
      </c>
      <c r="F414" s="38" t="s">
        <v>2657</v>
      </c>
      <c r="G414" s="39" t="str" cm="1">
        <f t="array" ref="G414">_xlfn.TEXTJOIN("; ",TRUE,_xlfn.UNIQUE(_xlfn._xlws.FILTER('Product Variant Attribute'!$F$2:$F$3000,('Product Variant Attribute'!$B$2:$B$3000=$A414)*('Product Variant Attribute'!$D$2:$D$3000=$D414),"")))</f>
        <v>5 lít/phút</v>
      </c>
      <c r="H414" s="39"/>
      <c r="I414" s="39" t="s">
        <v>2745</v>
      </c>
      <c r="J414" s="39" t="str" cm="1">
        <f t="array" ref="J414">IF($I414="","",_xlfn.TEXTJOIN("; ",TRUE,_xlfn.UNIQUE(_xlfn._xlws.FILTER($A$2:$A$3000,($C$2:$C$3000=$C414)*($E$2:$E$3000=$E414)*($G$2:$G$3000&lt;&gt;$G414)*($G$2:$G$3000&lt;&gt;""),""))))</f>
        <v>PRODUCT-00150</v>
      </c>
    </row>
    <row r="415" spans="1:10" x14ac:dyDescent="0.25">
      <c r="A415" s="23" t="s">
        <v>712</v>
      </c>
      <c r="B415" s="37" t="str">
        <f>INDEX(Product!$B:$B,MATCH($A415,Product!$A:$A,0))</f>
        <v>[Owgels] Máy tạo oxy 5 lít có xông khí dung - OZ-501PW0</v>
      </c>
      <c r="C415" s="37" t="str">
        <f>INDEX(Product!$D:$D,MATCH($A415,Product!$A:$A,0))</f>
        <v>Máy tạo oxy</v>
      </c>
      <c r="D415" s="23" t="s">
        <v>2471</v>
      </c>
      <c r="E415" s="37" t="str">
        <f>INDEX('Attribute Definition'!$B:$B,MATCH($D415,'Attribute Definition'!$A:$A,0))</f>
        <v>Dạng sản phẩm</v>
      </c>
      <c r="F415" s="38" t="s">
        <v>2657</v>
      </c>
      <c r="G415" s="39" t="str" cm="1">
        <f t="array" ref="G415">_xlfn.TEXTJOIN("; ",TRUE,_xlfn.UNIQUE(_xlfn._xlws.FILTER('Product Variant Attribute'!$F$2:$F$3000,('Product Variant Attribute'!$B$2:$B$3000=$A415)*('Product Variant Attribute'!$D$2:$D$3000=$D415),"")))</f>
        <v>Máy / thiết bị điện tử</v>
      </c>
      <c r="H415" s="39"/>
      <c r="I415" s="39"/>
      <c r="J415" s="39" t="str" cm="1">
        <f t="array" ref="J415">IF($I415="","",_xlfn.TEXTJOIN("; ",TRUE,_xlfn.UNIQUE(_xlfn._xlws.FILTER($A$2:$A$3000,($C$2:$C$3000=$C415)*($E$2:$E$3000=$E415)*($G$2:$G$3000&lt;&gt;$G415)*($G$2:$G$3000&lt;&gt;""),""))))</f>
        <v/>
      </c>
    </row>
    <row r="416" spans="1:10" ht="30" x14ac:dyDescent="0.25">
      <c r="A416" s="23" t="s">
        <v>713</v>
      </c>
      <c r="B416" s="37" t="str">
        <f>INDEX(Product!$B:$B,MATCH($A416,Product!$A:$A,0))</f>
        <v>[Owgels] Máy tạo oxy 5 lít có xông khí dung - OZ-501TW0</v>
      </c>
      <c r="C416" s="37" t="str">
        <f>INDEX(Product!$D:$D,MATCH($A416,Product!$A:$A,0))</f>
        <v>Máy tạo oxy</v>
      </c>
      <c r="D416" s="23" t="s">
        <v>2459</v>
      </c>
      <c r="E416" s="37" t="str">
        <f>INDEX('Attribute Definition'!$B:$B,MATCH($D416,'Attribute Definition'!$A:$A,0))</f>
        <v>Lưu lượng oxy</v>
      </c>
      <c r="F416" s="38" t="s">
        <v>2657</v>
      </c>
      <c r="G416" s="39" t="str" cm="1">
        <f t="array" ref="G416">_xlfn.TEXTJOIN("; ",TRUE,_xlfn.UNIQUE(_xlfn._xlws.FILTER('Product Variant Attribute'!$F$2:$F$3000,('Product Variant Attribute'!$B$2:$B$3000=$A416)*('Product Variant Attribute'!$D$2:$D$3000=$D416),"")))</f>
        <v>5 lít/phút</v>
      </c>
      <c r="H416" s="39"/>
      <c r="I416" s="39" t="s">
        <v>2745</v>
      </c>
      <c r="J416" s="39" t="str" cm="1">
        <f t="array" ref="J416">IF($I416="","",_xlfn.TEXTJOIN("; ",TRUE,_xlfn.UNIQUE(_xlfn._xlws.FILTER($A$2:$A$3000,($C$2:$C$3000=$C416)*($E$2:$E$3000=$E416)*($G$2:$G$3000&lt;&gt;$G416)*($G$2:$G$3000&lt;&gt;""),""))))</f>
        <v>PRODUCT-00150</v>
      </c>
    </row>
    <row r="417" spans="1:10" x14ac:dyDescent="0.25">
      <c r="A417" s="23" t="s">
        <v>713</v>
      </c>
      <c r="B417" s="37" t="str">
        <f>INDEX(Product!$B:$B,MATCH($A417,Product!$A:$A,0))</f>
        <v>[Owgels] Máy tạo oxy 5 lít có xông khí dung - OZ-501TW0</v>
      </c>
      <c r="C417" s="37" t="str">
        <f>INDEX(Product!$D:$D,MATCH($A417,Product!$A:$A,0))</f>
        <v>Máy tạo oxy</v>
      </c>
      <c r="D417" s="23" t="s">
        <v>2471</v>
      </c>
      <c r="E417" s="37" t="str">
        <f>INDEX('Attribute Definition'!$B:$B,MATCH($D417,'Attribute Definition'!$A:$A,0))</f>
        <v>Dạng sản phẩm</v>
      </c>
      <c r="F417" s="38" t="s">
        <v>2657</v>
      </c>
      <c r="G417" s="39" t="str" cm="1">
        <f t="array" ref="G417">_xlfn.TEXTJOIN("; ",TRUE,_xlfn.UNIQUE(_xlfn._xlws.FILTER('Product Variant Attribute'!$F$2:$F$3000,('Product Variant Attribute'!$B$2:$B$3000=$A417)*('Product Variant Attribute'!$D$2:$D$3000=$D417),"")))</f>
        <v>Máy / thiết bị điện tử</v>
      </c>
      <c r="H417" s="39"/>
      <c r="I417" s="39"/>
      <c r="J417" s="39" t="str" cm="1">
        <f t="array" ref="J417">IF($I417="","",_xlfn.TEXTJOIN("; ",TRUE,_xlfn.UNIQUE(_xlfn._xlws.FILTER($A$2:$A$3000,($C$2:$C$3000=$C417)*($E$2:$E$3000=$E417)*($G$2:$G$3000&lt;&gt;$G417)*($G$2:$G$3000&lt;&gt;""),""))))</f>
        <v/>
      </c>
    </row>
    <row r="418" spans="1:10" x14ac:dyDescent="0.25">
      <c r="A418" s="23" t="s">
        <v>714</v>
      </c>
      <c r="B418" s="37" t="str">
        <f>INDEX(Product!$B:$B,MATCH($A418,Product!$A:$A,0))</f>
        <v>[Owgels] Máy trợ thở 2 chiều BiPAP - OGH-520C</v>
      </c>
      <c r="C418" s="37" t="str">
        <f>INDEX(Product!$D:$D,MATCH($A418,Product!$A:$A,0))</f>
        <v>Máy trợ thở</v>
      </c>
      <c r="D418" s="23" t="s">
        <v>2471</v>
      </c>
      <c r="E418" s="37" t="str">
        <f>INDEX('Attribute Definition'!$B:$B,MATCH($D418,'Attribute Definition'!$A:$A,0))</f>
        <v>Dạng sản phẩm</v>
      </c>
      <c r="F418" s="38" t="s">
        <v>2657</v>
      </c>
      <c r="G418" s="39" t="str" cm="1">
        <f t="array" ref="G418">_xlfn.TEXTJOIN("; ",TRUE,_xlfn.UNIQUE(_xlfn._xlws.FILTER('Product Variant Attribute'!$F$2:$F$3000,('Product Variant Attribute'!$B$2:$B$3000=$A418)*('Product Variant Attribute'!$D$2:$D$3000=$D418),"")))</f>
        <v>Máy / thiết bị điện tử</v>
      </c>
      <c r="H418" s="39"/>
      <c r="I418" s="39"/>
      <c r="J418" s="39" t="str" cm="1">
        <f t="array" ref="J418">IF($I418="","",_xlfn.TEXTJOIN("; ",TRUE,_xlfn.UNIQUE(_xlfn._xlws.FILTER($A$2:$A$3000,($C$2:$C$3000=$C418)*($E$2:$E$3000=$E418)*($G$2:$G$3000&lt;&gt;$G418)*($G$2:$G$3000&lt;&gt;""),""))))</f>
        <v/>
      </c>
    </row>
    <row r="419" spans="1:10" x14ac:dyDescent="0.25">
      <c r="A419" s="23" t="s">
        <v>715</v>
      </c>
      <c r="B419" s="37" t="str">
        <f>INDEX(Product!$B:$B,MATCH($A419,Product!$A:$A,0))</f>
        <v>[Owgels] Máy trợ thở Auto CPAP - OGH-520A</v>
      </c>
      <c r="C419" s="37" t="str">
        <f>INDEX(Product!$D:$D,MATCH($A419,Product!$A:$A,0))</f>
        <v>Máy trợ thở</v>
      </c>
      <c r="D419" s="23" t="s">
        <v>2471</v>
      </c>
      <c r="E419" s="37" t="str">
        <f>INDEX('Attribute Definition'!$B:$B,MATCH($D419,'Attribute Definition'!$A:$A,0))</f>
        <v>Dạng sản phẩm</v>
      </c>
      <c r="F419" s="38" t="s">
        <v>2657</v>
      </c>
      <c r="G419" s="39" t="str" cm="1">
        <f t="array" ref="G419">_xlfn.TEXTJOIN("; ",TRUE,_xlfn.UNIQUE(_xlfn._xlws.FILTER('Product Variant Attribute'!$F$2:$F$3000,('Product Variant Attribute'!$B$2:$B$3000=$A419)*('Product Variant Attribute'!$D$2:$D$3000=$D419),"")))</f>
        <v>Máy / thiết bị điện tử</v>
      </c>
      <c r="H419" s="39"/>
      <c r="I419" s="39"/>
      <c r="J419" s="39" t="str" cm="1">
        <f t="array" ref="J419">IF($I419="","",_xlfn.TEXTJOIN("; ",TRUE,_xlfn.UNIQUE(_xlfn._xlws.FILTER($A$2:$A$3000,($C$2:$C$3000=$C419)*($E$2:$E$3000=$E419)*($G$2:$G$3000&lt;&gt;$G419)*($G$2:$G$3000&lt;&gt;""),""))))</f>
        <v/>
      </c>
    </row>
    <row r="420" spans="1:10" x14ac:dyDescent="0.25">
      <c r="A420" s="23" t="s">
        <v>716</v>
      </c>
      <c r="B420" s="37" t="str">
        <f>INDEX(Product!$B:$B,MATCH($A420,Product!$A:$A,0))</f>
        <v>[Pharma] Làm ẩm mở khí quản (mũi nhân tạo)</v>
      </c>
      <c r="C420" s="37" t="str">
        <f>INDEX(Product!$D:$D,MATCH($A420,Product!$A:$A,0))</f>
        <v>Phụ kiện mở khí quản</v>
      </c>
      <c r="D420" s="23" t="s">
        <v>2471</v>
      </c>
      <c r="E420" s="37" t="str">
        <f>INDEX('Attribute Definition'!$B:$B,MATCH($D420,'Attribute Definition'!$A:$A,0))</f>
        <v>Dạng sản phẩm</v>
      </c>
      <c r="F420" s="38" t="s">
        <v>2657</v>
      </c>
      <c r="G420" s="39" t="str" cm="1">
        <f t="array" ref="G420">_xlfn.TEXTJOIN("; ",TRUE,_xlfn.UNIQUE(_xlfn._xlws.FILTER('Product Variant Attribute'!$F$2:$F$3000,('Product Variant Attribute'!$B$2:$B$3000=$A420)*('Product Variant Attribute'!$D$2:$D$3000=$D420),"")))</f>
        <v>Dụng cụ / phụ kiện</v>
      </c>
      <c r="H420" s="39"/>
      <c r="I420" s="39"/>
      <c r="J420" s="39" t="str" cm="1">
        <f t="array" ref="J420">IF($I420="","",_xlfn.TEXTJOIN("; ",TRUE,_xlfn.UNIQUE(_xlfn._xlws.FILTER($A$2:$A$3000,($C$2:$C$3000=$C420)*($E$2:$E$3000=$E420)*($G$2:$G$3000&lt;&gt;$G420)*($G$2:$G$3000&lt;&gt;""),""))))</f>
        <v/>
      </c>
    </row>
    <row r="421" spans="1:10" x14ac:dyDescent="0.25">
      <c r="A421" s="23" t="s">
        <v>717</v>
      </c>
      <c r="B421" s="37" t="str">
        <f>INDEX(Product!$B:$B,MATCH($A421,Product!$A:$A,0))</f>
        <v>[SeaSight] Dụng cụ tập thở phế dung kế - 5000ml</v>
      </c>
      <c r="C421" s="37" t="str">
        <f>INDEX(Product!$D:$D,MATCH($A421,Product!$A:$A,0))</f>
        <v>Dụng cụ tập thở</v>
      </c>
      <c r="D421" s="23" t="s">
        <v>2349</v>
      </c>
      <c r="E421" s="37" t="str">
        <f>INDEX('Attribute Definition'!$B:$B,MATCH($D421,'Attribute Definition'!$A:$A,0))</f>
        <v>Dung tích</v>
      </c>
      <c r="F421" s="38" t="s">
        <v>2657</v>
      </c>
      <c r="G421" s="39" t="str" cm="1">
        <f t="array" ref="G421">_xlfn.TEXTJOIN("; ",TRUE,_xlfn.UNIQUE(_xlfn._xlws.FILTER('Product Variant Attribute'!$F$2:$F$3000,('Product Variant Attribute'!$B$2:$B$3000=$A421)*('Product Variant Attribute'!$D$2:$D$3000=$D421),"")))</f>
        <v>5000ml</v>
      </c>
      <c r="H421" s="39"/>
      <c r="I421" s="39"/>
      <c r="J421" s="39" t="str" cm="1">
        <f t="array" ref="J421">IF($I421="","",_xlfn.TEXTJOIN("; ",TRUE,_xlfn.UNIQUE(_xlfn._xlws.FILTER($A$2:$A$3000,($C$2:$C$3000=$C421)*($E$2:$E$3000=$E421)*($G$2:$G$3000&lt;&gt;$G421)*($G$2:$G$3000&lt;&gt;""),""))))</f>
        <v/>
      </c>
    </row>
    <row r="422" spans="1:10" x14ac:dyDescent="0.25">
      <c r="A422" s="23" t="s">
        <v>717</v>
      </c>
      <c r="B422" s="37" t="str">
        <f>INDEX(Product!$B:$B,MATCH($A422,Product!$A:$A,0))</f>
        <v>[SeaSight] Dụng cụ tập thở phế dung kế - 5000ml</v>
      </c>
      <c r="C422" s="37" t="str">
        <f>INDEX(Product!$D:$D,MATCH($A422,Product!$A:$A,0))</f>
        <v>Dụng cụ tập thở</v>
      </c>
      <c r="D422" s="23" t="s">
        <v>2471</v>
      </c>
      <c r="E422" s="37" t="str">
        <f>INDEX('Attribute Definition'!$B:$B,MATCH($D422,'Attribute Definition'!$A:$A,0))</f>
        <v>Dạng sản phẩm</v>
      </c>
      <c r="F422" s="38" t="s">
        <v>2657</v>
      </c>
      <c r="G422" s="39" t="str" cm="1">
        <f t="array" ref="G422">_xlfn.TEXTJOIN("; ",TRUE,_xlfn.UNIQUE(_xlfn._xlws.FILTER('Product Variant Attribute'!$F$2:$F$3000,('Product Variant Attribute'!$B$2:$B$3000=$A422)*('Product Variant Attribute'!$D$2:$D$3000=$D422),"")))</f>
        <v>Dụng cụ / phụ kiện</v>
      </c>
      <c r="H422" s="39"/>
      <c r="I422" s="39"/>
      <c r="J422" s="39" t="str" cm="1">
        <f t="array" ref="J422">IF($I422="","",_xlfn.TEXTJOIN("; ",TRUE,_xlfn.UNIQUE(_xlfn._xlws.FILTER($A$2:$A$3000,($C$2:$C$3000=$C422)*($E$2:$E$3000=$E422)*($G$2:$G$3000&lt;&gt;$G422)*($G$2:$G$3000&lt;&gt;""),""))))</f>
        <v/>
      </c>
    </row>
    <row r="423" spans="1:10" x14ac:dyDescent="0.25">
      <c r="A423" s="23" t="s">
        <v>718</v>
      </c>
      <c r="B423" s="37" t="str">
        <f>INDEX(Product!$B:$B,MATCH($A423,Product!$A:$A,0))</f>
        <v>[Smiths] Bộ mở khí quản cấp cứu - PCK</v>
      </c>
      <c r="C423" s="37" t="str">
        <f>INDEX(Product!$D:$D,MATCH($A423,Product!$A:$A,0))</f>
        <v>Bộ mở khí quản</v>
      </c>
      <c r="D423" s="23" t="s">
        <v>2471</v>
      </c>
      <c r="E423" s="37" t="str">
        <f>INDEX('Attribute Definition'!$B:$B,MATCH($D423,'Attribute Definition'!$A:$A,0))</f>
        <v>Dạng sản phẩm</v>
      </c>
      <c r="F423" s="38" t="s">
        <v>2657</v>
      </c>
      <c r="G423" s="39" t="str" cm="1">
        <f t="array" ref="G423">_xlfn.TEXTJOIN("; ",TRUE,_xlfn.UNIQUE(_xlfn._xlws.FILTER('Product Variant Attribute'!$F$2:$F$3000,('Product Variant Attribute'!$B$2:$B$3000=$A423)*('Product Variant Attribute'!$D$2:$D$3000=$D423),"")))</f>
        <v>Bộ dụng cụ</v>
      </c>
      <c r="H423" s="39"/>
      <c r="I423" s="39"/>
      <c r="J423" s="39" t="str" cm="1">
        <f t="array" ref="J423">IF($I423="","",_xlfn.TEXTJOIN("; ",TRUE,_xlfn.UNIQUE(_xlfn._xlws.FILTER($A$2:$A$3000,($C$2:$C$3000=$C423)*($E$2:$E$3000=$E423)*($G$2:$G$3000&lt;&gt;$G423)*($G$2:$G$3000&lt;&gt;""),""))))</f>
        <v/>
      </c>
    </row>
    <row r="424" spans="1:10" x14ac:dyDescent="0.25">
      <c r="A424" s="23" t="s">
        <v>719</v>
      </c>
      <c r="B424" s="37" t="str">
        <f>INDEX(Product!$B:$B,MATCH($A424,Product!$A:$A,0))</f>
        <v>[Smiths] Bộ mở khí quản nhanh - Portex® Mini-Trach® II</v>
      </c>
      <c r="C424" s="37" t="str">
        <f>INDEX(Product!$D:$D,MATCH($A424,Product!$A:$A,0))</f>
        <v>Bộ mở khí quản</v>
      </c>
      <c r="D424" s="23" t="s">
        <v>2471</v>
      </c>
      <c r="E424" s="37" t="str">
        <f>INDEX('Attribute Definition'!$B:$B,MATCH($D424,'Attribute Definition'!$A:$A,0))</f>
        <v>Dạng sản phẩm</v>
      </c>
      <c r="F424" s="38" t="s">
        <v>2657</v>
      </c>
      <c r="G424" s="39" t="str" cm="1">
        <f t="array" ref="G424">_xlfn.TEXTJOIN("; ",TRUE,_xlfn.UNIQUE(_xlfn._xlws.FILTER('Product Variant Attribute'!$F$2:$F$3000,('Product Variant Attribute'!$B$2:$B$3000=$A424)*('Product Variant Attribute'!$D$2:$D$3000=$D424),"")))</f>
        <v>Bộ dụng cụ</v>
      </c>
      <c r="H424" s="39"/>
      <c r="I424" s="39"/>
      <c r="J424" s="39" t="str" cm="1">
        <f t="array" ref="J424">IF($I424="","",_xlfn.TEXTJOIN("; ",TRUE,_xlfn.UNIQUE(_xlfn._xlws.FILTER($A$2:$A$3000,($C$2:$C$3000=$C424)*($E$2:$E$3000=$E424)*($G$2:$G$3000&lt;&gt;$G424)*($G$2:$G$3000&lt;&gt;""),""))))</f>
        <v/>
      </c>
    </row>
    <row r="425" spans="1:10" x14ac:dyDescent="0.25">
      <c r="A425" s="23" t="s">
        <v>720</v>
      </c>
      <c r="B425" s="37" t="str">
        <f>INDEX(Product!$B:$B,MATCH($A425,Product!$A:$A,0))</f>
        <v>[Smiths] Cây nòng đặt nội khí quản khó - Bougie</v>
      </c>
      <c r="C425" s="37" t="str">
        <f>INDEX(Product!$D:$D,MATCH($A425,Product!$A:$A,0))</f>
        <v>Dụng cụ đặt &amp; cố định nội khí quản</v>
      </c>
      <c r="D425" s="23" t="s">
        <v>2471</v>
      </c>
      <c r="E425" s="37" t="str">
        <f>INDEX('Attribute Definition'!$B:$B,MATCH($D425,'Attribute Definition'!$A:$A,0))</f>
        <v>Dạng sản phẩm</v>
      </c>
      <c r="F425" s="38" t="s">
        <v>2657</v>
      </c>
      <c r="G425" s="39" t="str" cm="1">
        <f t="array" ref="G425">_xlfn.TEXTJOIN("; ",TRUE,_xlfn.UNIQUE(_xlfn._xlws.FILTER('Product Variant Attribute'!$F$2:$F$3000,('Product Variant Attribute'!$B$2:$B$3000=$A425)*('Product Variant Attribute'!$D$2:$D$3000=$D425),"")))</f>
        <v>Ống / dây</v>
      </c>
      <c r="H425" s="39"/>
      <c r="I425" s="39"/>
      <c r="J425" s="39" t="str" cm="1">
        <f t="array" ref="J425">IF($I425="","",_xlfn.TEXTJOIN("; ",TRUE,_xlfn.UNIQUE(_xlfn._xlws.FILTER($A$2:$A$3000,($C$2:$C$3000=$C425)*($E$2:$E$3000=$E425)*($G$2:$G$3000&lt;&gt;$G425)*($G$2:$G$3000&lt;&gt;""),""))))</f>
        <v/>
      </c>
    </row>
    <row r="426" spans="1:10" x14ac:dyDescent="0.25">
      <c r="A426" s="23" t="s">
        <v>720</v>
      </c>
      <c r="B426" s="37" t="str">
        <f>INDEX(Product!$B:$B,MATCH($A426,Product!$A:$A,0))</f>
        <v>[Smiths] Cây nòng đặt nội khí quản khó - Bougie</v>
      </c>
      <c r="C426" s="37" t="str">
        <f>INDEX(Product!$D:$D,MATCH($A426,Product!$A:$A,0))</f>
        <v>Dụng cụ đặt &amp; cố định nội khí quản</v>
      </c>
      <c r="D426" s="23" t="s">
        <v>2656</v>
      </c>
      <c r="E426" s="37" t="str">
        <f>INDEX('Attribute Definition'!$B:$B,MATCH($D426,'Attribute Definition'!$A:$A,0))</f>
        <v>Kích cỡ</v>
      </c>
      <c r="F426" s="38" t="s">
        <v>2657</v>
      </c>
      <c r="G426" s="39" t="str" cm="1">
        <f t="array" ref="G426">_xlfn.TEXTJOIN("; ",TRUE,_xlfn.UNIQUE(_xlfn._xlws.FILTER('Product Variant Attribute'!$F$2:$F$3000,('Product Variant Attribute'!$B$2:$B$3000=$A426)*('Product Variant Attribute'!$D$2:$D$3000=$D426),"")))</f>
        <v>15Fr</v>
      </c>
      <c r="H426" s="39"/>
      <c r="I426" s="39"/>
      <c r="J426" s="39" t="str" cm="1">
        <f t="array" ref="J426">IF($I426="","",_xlfn.TEXTJOIN("; ",TRUE,_xlfn.UNIQUE(_xlfn._xlws.FILTER($A$2:$A$3000,($C$2:$C$3000=$C426)*($E$2:$E$3000=$E426)*($G$2:$G$3000&lt;&gt;$G426)*($G$2:$G$3000&lt;&gt;""),""))))</f>
        <v/>
      </c>
    </row>
    <row r="427" spans="1:10" x14ac:dyDescent="0.25">
      <c r="A427" s="23" t="s">
        <v>721</v>
      </c>
      <c r="B427" s="37" t="str">
        <f>INDEX(Product!$B:$B,MATCH($A427,Product!$A:$A,0))</f>
        <v>[Smiths] Đồng hồ đo áp lực bóng</v>
      </c>
      <c r="C427" s="37" t="str">
        <f>INDEX(Product!$D:$D,MATCH($A427,Product!$A:$A,0))</f>
        <v>Dụng cụ đặt &amp; cố định nội khí quản</v>
      </c>
      <c r="D427" s="23" t="s">
        <v>2471</v>
      </c>
      <c r="E427" s="37" t="str">
        <f>INDEX('Attribute Definition'!$B:$B,MATCH($D427,'Attribute Definition'!$A:$A,0))</f>
        <v>Dạng sản phẩm</v>
      </c>
      <c r="F427" s="38" t="s">
        <v>2657</v>
      </c>
      <c r="G427" s="39" t="str" cm="1">
        <f t="array" ref="G427">_xlfn.TEXTJOIN("; ",TRUE,_xlfn.UNIQUE(_xlfn._xlws.FILTER('Product Variant Attribute'!$F$2:$F$3000,('Product Variant Attribute'!$B$2:$B$3000=$A427)*('Product Variant Attribute'!$D$2:$D$3000=$D427),"")))</f>
        <v>Dụng cụ / phụ kiện</v>
      </c>
      <c r="H427" s="39"/>
      <c r="I427" s="39"/>
      <c r="J427" s="39" t="str" cm="1">
        <f t="array" ref="J427">IF($I427="","",_xlfn.TEXTJOIN("; ",TRUE,_xlfn.UNIQUE(_xlfn._xlws.FILTER($A$2:$A$3000,($C$2:$C$3000=$C427)*($E$2:$E$3000=$E427)*($G$2:$G$3000&lt;&gt;$G427)*($G$2:$G$3000&lt;&gt;""),""))))</f>
        <v/>
      </c>
    </row>
    <row r="428" spans="1:10" x14ac:dyDescent="0.25">
      <c r="A428" s="23" t="s">
        <v>722</v>
      </c>
      <c r="B428" s="37" t="str">
        <f>INDEX(Product!$B:$B,MATCH($A428,Product!$A:$A,0))</f>
        <v>[Smiths] Ống nội khí quản có ống hút trên bóng - Portex SACETT</v>
      </c>
      <c r="C428" s="37" t="str">
        <f>INDEX(Product!$D:$D,MATCH($A428,Product!$A:$A,0))</f>
        <v>Ống nội khí quản</v>
      </c>
      <c r="D428" s="23" t="s">
        <v>2426</v>
      </c>
      <c r="E428" s="37" t="str">
        <f>INDEX('Attribute Definition'!$B:$B,MATCH($D428,'Attribute Definition'!$A:$A,0))</f>
        <v>Hút trên bóng</v>
      </c>
      <c r="F428" s="38" t="s">
        <v>2657</v>
      </c>
      <c r="G428" s="39" t="str" cm="1">
        <f t="array" ref="G428">_xlfn.TEXTJOIN("; ",TRUE,_xlfn.UNIQUE(_xlfn._xlws.FILTER('Product Variant Attribute'!$F$2:$F$3000,('Product Variant Attribute'!$B$2:$B$3000=$A428)*('Product Variant Attribute'!$D$2:$D$3000=$D428),"")))</f>
        <v>Có</v>
      </c>
      <c r="H428" s="39"/>
      <c r="I428" s="39"/>
      <c r="J428" s="39" t="str" cm="1">
        <f t="array" ref="J428">IF($I428="","",_xlfn.TEXTJOIN("; ",TRUE,_xlfn.UNIQUE(_xlfn._xlws.FILTER($A$2:$A$3000,($C$2:$C$3000=$C428)*($E$2:$E$3000=$E428)*($G$2:$G$3000&lt;&gt;$G428)*($G$2:$G$3000&lt;&gt;""),""))))</f>
        <v/>
      </c>
    </row>
    <row r="429" spans="1:10" x14ac:dyDescent="0.25">
      <c r="A429" s="23" t="s">
        <v>722</v>
      </c>
      <c r="B429" s="37" t="str">
        <f>INDEX(Product!$B:$B,MATCH($A429,Product!$A:$A,0))</f>
        <v>[Smiths] Ống nội khí quản có ống hút trên bóng - Portex SACETT</v>
      </c>
      <c r="C429" s="37" t="str">
        <f>INDEX(Product!$D:$D,MATCH($A429,Product!$A:$A,0))</f>
        <v>Ống nội khí quản</v>
      </c>
      <c r="D429" s="23" t="s">
        <v>2471</v>
      </c>
      <c r="E429" s="37" t="str">
        <f>INDEX('Attribute Definition'!$B:$B,MATCH($D429,'Attribute Definition'!$A:$A,0))</f>
        <v>Dạng sản phẩm</v>
      </c>
      <c r="F429" s="38" t="s">
        <v>2657</v>
      </c>
      <c r="G429" s="39" t="str" cm="1">
        <f t="array" ref="G429">_xlfn.TEXTJOIN("; ",TRUE,_xlfn.UNIQUE(_xlfn._xlws.FILTER('Product Variant Attribute'!$F$2:$F$3000,('Product Variant Attribute'!$B$2:$B$3000=$A429)*('Product Variant Attribute'!$D$2:$D$3000=$D429),"")))</f>
        <v>Ống / dây</v>
      </c>
      <c r="H429" s="39"/>
      <c r="I429" s="39"/>
      <c r="J429" s="39" t="str" cm="1">
        <f t="array" ref="J429">IF($I429="","",_xlfn.TEXTJOIN("; ",TRUE,_xlfn.UNIQUE(_xlfn._xlws.FILTER($A$2:$A$3000,($C$2:$C$3000=$C429)*($E$2:$E$3000=$E429)*($G$2:$G$3000&lt;&gt;$G429)*($G$2:$G$3000&lt;&gt;""),""))))</f>
        <v/>
      </c>
    </row>
    <row r="430" spans="1:10" ht="30" x14ac:dyDescent="0.25">
      <c r="A430" s="23" t="s">
        <v>722</v>
      </c>
      <c r="B430" s="37" t="str">
        <f>INDEX(Product!$B:$B,MATCH($A430,Product!$A:$A,0))</f>
        <v>[Smiths] Ống nội khí quản có ống hút trên bóng - Portex SACETT</v>
      </c>
      <c r="C430" s="37" t="str">
        <f>INDEX(Product!$D:$D,MATCH($A430,Product!$A:$A,0))</f>
        <v>Ống nội khí quản</v>
      </c>
      <c r="D430" s="23" t="s">
        <v>2656</v>
      </c>
      <c r="E430" s="37" t="str">
        <f>INDEX('Attribute Definition'!$B:$B,MATCH($D430,'Attribute Definition'!$A:$A,0))</f>
        <v>Kích cỡ</v>
      </c>
      <c r="F430" s="38" t="s">
        <v>2485</v>
      </c>
      <c r="G430" s="39" t="str" cm="1">
        <f t="array" ref="G430">_xlfn.TEXTJOIN("; ",TRUE,_xlfn.UNIQUE(_xlfn._xlws.FILTER('Product Variant Attribute'!$F$2:$F$3000,('Product Variant Attribute'!$B$2:$B$3000=$A430)*('Product Variant Attribute'!$D$2:$D$3000=$D430),"")))</f>
        <v>Số 6; Số 6.5; Số 7; Số 7.5; Số 8</v>
      </c>
      <c r="H430" s="39" t="s">
        <v>2694</v>
      </c>
      <c r="I430" s="39"/>
      <c r="J430" s="39" t="str" cm="1">
        <f t="array" ref="J430">IF($I430="","",_xlfn.TEXTJOIN("; ",TRUE,_xlfn.UNIQUE(_xlfn._xlws.FILTER($A$2:$A$3000,($C$2:$C$3000=$C430)*($E$2:$E$3000=$E430)*($G$2:$G$3000&lt;&gt;$G430)*($G$2:$G$3000&lt;&gt;""),""))))</f>
        <v/>
      </c>
    </row>
    <row r="431" spans="1:10" x14ac:dyDescent="0.25">
      <c r="A431" s="23" t="s">
        <v>723</v>
      </c>
      <c r="B431" s="37" t="str">
        <f>INDEX(Product!$B:$B,MATCH($A431,Product!$A:$A,0))</f>
        <v>[VBM] Đồng hồ đo áp lực bóng chèn - Universal (Ø68mm)</v>
      </c>
      <c r="C431" s="37" t="str">
        <f>INDEX(Product!$D:$D,MATCH($A431,Product!$A:$A,0))</f>
        <v>Mask thanh quản</v>
      </c>
      <c r="D431" s="23" t="s">
        <v>2342</v>
      </c>
      <c r="E431" s="37" t="str">
        <f>INDEX('Attribute Definition'!$B:$B,MATCH($D431,'Attribute Definition'!$A:$A,0))</f>
        <v>Kích thước</v>
      </c>
      <c r="F431" s="38" t="s">
        <v>2657</v>
      </c>
      <c r="G431" s="39" t="str" cm="1">
        <f t="array" ref="G431">_xlfn.TEXTJOIN("; ",TRUE,_xlfn.UNIQUE(_xlfn._xlws.FILTER('Product Variant Attribute'!$F$2:$F$3000,('Product Variant Attribute'!$B$2:$B$3000=$A431)*('Product Variant Attribute'!$D$2:$D$3000=$D431),"")))</f>
        <v>Ø68mm</v>
      </c>
      <c r="H431" s="39"/>
      <c r="I431" s="39"/>
      <c r="J431" s="39" t="str" cm="1">
        <f t="array" ref="J431">IF($I431="","",_xlfn.TEXTJOIN("; ",TRUE,_xlfn.UNIQUE(_xlfn._xlws.FILTER($A$2:$A$3000,($C$2:$C$3000=$C431)*($E$2:$E$3000=$E431)*($G$2:$G$3000&lt;&gt;$G431)*($G$2:$G$3000&lt;&gt;""),""))))</f>
        <v/>
      </c>
    </row>
    <row r="432" spans="1:10" x14ac:dyDescent="0.25">
      <c r="A432" s="23" t="s">
        <v>723</v>
      </c>
      <c r="B432" s="37" t="str">
        <f>INDEX(Product!$B:$B,MATCH($A432,Product!$A:$A,0))</f>
        <v>[VBM] Đồng hồ đo áp lực bóng chèn - Universal (Ø68mm)</v>
      </c>
      <c r="C432" s="37" t="str">
        <f>INDEX(Product!$D:$D,MATCH($A432,Product!$A:$A,0))</f>
        <v>Mask thanh quản</v>
      </c>
      <c r="D432" s="23" t="s">
        <v>2471</v>
      </c>
      <c r="E432" s="37" t="str">
        <f>INDEX('Attribute Definition'!$B:$B,MATCH($D432,'Attribute Definition'!$A:$A,0))</f>
        <v>Dạng sản phẩm</v>
      </c>
      <c r="F432" s="38" t="s">
        <v>2657</v>
      </c>
      <c r="G432" s="39" t="str" cm="1">
        <f t="array" ref="G432">_xlfn.TEXTJOIN("; ",TRUE,_xlfn.UNIQUE(_xlfn._xlws.FILTER('Product Variant Attribute'!$F$2:$F$3000,('Product Variant Attribute'!$B$2:$B$3000=$A432)*('Product Variant Attribute'!$D$2:$D$3000=$D432),"")))</f>
        <v>Dụng cụ / phụ kiện</v>
      </c>
      <c r="H432" s="39"/>
      <c r="I432" s="39"/>
      <c r="J432" s="39" t="str" cm="1">
        <f t="array" ref="J432">IF($I432="","",_xlfn.TEXTJOIN("; ",TRUE,_xlfn.UNIQUE(_xlfn._xlws.FILTER($A$2:$A$3000,($C$2:$C$3000=$C432)*($E$2:$E$3000=$E432)*($G$2:$G$3000&lt;&gt;$G432)*($G$2:$G$3000&lt;&gt;""),""))))</f>
        <v/>
      </c>
    </row>
    <row r="433" spans="1:10" x14ac:dyDescent="0.25">
      <c r="A433" s="23" t="s">
        <v>724</v>
      </c>
      <c r="B433" s="37" t="str">
        <f>INDEX(Product!$B:$B,MATCH($A433,Product!$A:$A,0))</f>
        <v>[Vitaltec] Ống mở khí quản 2 nòng có bóng, có cửa sổ - Rota-Trach</v>
      </c>
      <c r="C433" s="37" t="str">
        <f>INDEX(Product!$D:$D,MATCH($A433,Product!$A:$A,0))</f>
        <v>Ống mở khí quản</v>
      </c>
      <c r="D433" s="23" t="s">
        <v>2411</v>
      </c>
      <c r="E433" s="37" t="str">
        <f>INDEX('Attribute Definition'!$B:$B,MATCH($D433,'Attribute Definition'!$A:$A,0))</f>
        <v>Số nòng / nhánh</v>
      </c>
      <c r="F433" s="38" t="s">
        <v>2657</v>
      </c>
      <c r="G433" s="39" t="str" cm="1">
        <f t="array" ref="G433">_xlfn.TEXTJOIN("; ",TRUE,_xlfn.UNIQUE(_xlfn._xlws.FILTER('Product Variant Attribute'!$F$2:$F$3000,('Product Variant Attribute'!$B$2:$B$3000=$A433)*('Product Variant Attribute'!$D$2:$D$3000=$D433),"")))</f>
        <v>2 nòng</v>
      </c>
      <c r="H433" s="39"/>
      <c r="I433" s="39"/>
      <c r="J433" s="39" t="str" cm="1">
        <f t="array" ref="J433">IF($I433="","",_xlfn.TEXTJOIN("; ",TRUE,_xlfn.UNIQUE(_xlfn._xlws.FILTER($A$2:$A$3000,($C$2:$C$3000=$C433)*($E$2:$E$3000=$E433)*($G$2:$G$3000&lt;&gt;$G433)*($G$2:$G$3000&lt;&gt;""),""))))</f>
        <v/>
      </c>
    </row>
    <row r="434" spans="1:10" ht="45" x14ac:dyDescent="0.25">
      <c r="A434" s="23" t="s">
        <v>724</v>
      </c>
      <c r="B434" s="37" t="str">
        <f>INDEX(Product!$B:$B,MATCH($A434,Product!$A:$A,0))</f>
        <v>[Vitaltec] Ống mở khí quản 2 nòng có bóng, có cửa sổ - Rota-Trach</v>
      </c>
      <c r="C434" s="37" t="str">
        <f>INDEX(Product!$D:$D,MATCH($A434,Product!$A:$A,0))</f>
        <v>Ống mở khí quản</v>
      </c>
      <c r="D434" s="23" t="s">
        <v>2416</v>
      </c>
      <c r="E434" s="37" t="str">
        <f>INDEX('Attribute Definition'!$B:$B,MATCH($D434,'Attribute Definition'!$A:$A,0))</f>
        <v>Bóng chèn</v>
      </c>
      <c r="F434" s="38" t="s">
        <v>2657</v>
      </c>
      <c r="G434" s="39" t="str" cm="1">
        <f t="array" ref="G434">_xlfn.TEXTJOIN("; ",TRUE,_xlfn.UNIQUE(_xlfn._xlws.FILTER('Product Variant Attribute'!$F$2:$F$3000,('Product Variant Attribute'!$B$2:$B$3000=$A434)*('Product Variant Attribute'!$D$2:$D$3000=$D434),"")))</f>
        <v>Có bóng</v>
      </c>
      <c r="H434" s="39"/>
      <c r="I434" s="39" t="s">
        <v>2742</v>
      </c>
      <c r="J434" s="39" t="str" cm="1">
        <f t="array" ref="J434">IF($I434="","",_xlfn.TEXTJOIN("; ",TRUE,_xlfn.UNIQUE(_xlfn._xlws.FILTER($A$2:$A$3000,($C$2:$C$3000=$C434)*($E$2:$E$3000=$E434)*($G$2:$G$3000&lt;&gt;$G434)*($G$2:$G$3000&lt;&gt;""),""))))</f>
        <v>PRODUCT-00120; PRODUCT-00144; PRODUCT-00145; PRODUCT-00165; PRODUCT-00166</v>
      </c>
    </row>
    <row r="435" spans="1:10" ht="45" x14ac:dyDescent="0.25">
      <c r="A435" s="23" t="s">
        <v>724</v>
      </c>
      <c r="B435" s="37" t="str">
        <f>INDEX(Product!$B:$B,MATCH($A435,Product!$A:$A,0))</f>
        <v>[Vitaltec] Ống mở khí quản 2 nòng có bóng, có cửa sổ - Rota-Trach</v>
      </c>
      <c r="C435" s="37" t="str">
        <f>INDEX(Product!$D:$D,MATCH($A435,Product!$A:$A,0))</f>
        <v>Ống mở khí quản</v>
      </c>
      <c r="D435" s="23" t="s">
        <v>2421</v>
      </c>
      <c r="E435" s="37" t="str">
        <f>INDEX('Attribute Definition'!$B:$B,MATCH($D435,'Attribute Definition'!$A:$A,0))</f>
        <v>Cửa sổ</v>
      </c>
      <c r="F435" s="38" t="s">
        <v>2657</v>
      </c>
      <c r="G435" s="39" t="str" cm="1">
        <f t="array" ref="G435">_xlfn.TEXTJOIN("; ",TRUE,_xlfn.UNIQUE(_xlfn._xlws.FILTER('Product Variant Attribute'!$F$2:$F$3000,('Product Variant Attribute'!$B$2:$B$3000=$A435)*('Product Variant Attribute'!$D$2:$D$3000=$D435),"")))</f>
        <v>Có cửa sổ</v>
      </c>
      <c r="H435" s="39"/>
      <c r="I435" s="39" t="s">
        <v>2743</v>
      </c>
      <c r="J435" s="39" t="str" cm="1">
        <f t="array" ref="J435">IF($I435="","",_xlfn.TEXTJOIN("; ",TRUE,_xlfn.UNIQUE(_xlfn._xlws.FILTER($A$2:$A$3000,($C$2:$C$3000=$C435)*($E$2:$E$3000=$E435)*($G$2:$G$3000&lt;&gt;$G435)*($G$2:$G$3000&lt;&gt;""),""))))</f>
        <v>PRODUCT-00164; PRODUCT-00166</v>
      </c>
    </row>
    <row r="436" spans="1:10" x14ac:dyDescent="0.25">
      <c r="A436" s="23" t="s">
        <v>724</v>
      </c>
      <c r="B436" s="37" t="str">
        <f>INDEX(Product!$B:$B,MATCH($A436,Product!$A:$A,0))</f>
        <v>[Vitaltec] Ống mở khí quản 2 nòng có bóng, có cửa sổ - Rota-Trach</v>
      </c>
      <c r="C436" s="37" t="str">
        <f>INDEX(Product!$D:$D,MATCH($A436,Product!$A:$A,0))</f>
        <v>Ống mở khí quản</v>
      </c>
      <c r="D436" s="23" t="s">
        <v>2471</v>
      </c>
      <c r="E436" s="37" t="str">
        <f>INDEX('Attribute Definition'!$B:$B,MATCH($D436,'Attribute Definition'!$A:$A,0))</f>
        <v>Dạng sản phẩm</v>
      </c>
      <c r="F436" s="38" t="s">
        <v>2657</v>
      </c>
      <c r="G436" s="39" t="str" cm="1">
        <f t="array" ref="G436">_xlfn.TEXTJOIN("; ",TRUE,_xlfn.UNIQUE(_xlfn._xlws.FILTER('Product Variant Attribute'!$F$2:$F$3000,('Product Variant Attribute'!$B$2:$B$3000=$A436)*('Product Variant Attribute'!$D$2:$D$3000=$D436),"")))</f>
        <v>Ống / dây</v>
      </c>
      <c r="H436" s="39"/>
      <c r="I436" s="39"/>
      <c r="J436" s="39" t="str" cm="1">
        <f t="array" ref="J436">IF($I436="","",_xlfn.TEXTJOIN("; ",TRUE,_xlfn.UNIQUE(_xlfn._xlws.FILTER($A$2:$A$3000,($C$2:$C$3000=$C436)*($E$2:$E$3000=$E436)*($G$2:$G$3000&lt;&gt;$G436)*($G$2:$G$3000&lt;&gt;""),""))))</f>
        <v/>
      </c>
    </row>
    <row r="437" spans="1:10" ht="30" x14ac:dyDescent="0.25">
      <c r="A437" s="23" t="s">
        <v>724</v>
      </c>
      <c r="B437" s="37" t="str">
        <f>INDEX(Product!$B:$B,MATCH($A437,Product!$A:$A,0))</f>
        <v>[Vitaltec] Ống mở khí quản 2 nòng có bóng, có cửa sổ - Rota-Trach</v>
      </c>
      <c r="C437" s="37" t="str">
        <f>INDEX(Product!$D:$D,MATCH($A437,Product!$A:$A,0))</f>
        <v>Ống mở khí quản</v>
      </c>
      <c r="D437" s="23" t="s">
        <v>2656</v>
      </c>
      <c r="E437" s="37" t="str">
        <f>INDEX('Attribute Definition'!$B:$B,MATCH($D437,'Attribute Definition'!$A:$A,0))</f>
        <v>Kích cỡ</v>
      </c>
      <c r="F437" s="38" t="s">
        <v>2485</v>
      </c>
      <c r="G437" s="39" t="str" cm="1">
        <f t="array" ref="G437">_xlfn.TEXTJOIN("; ",TRUE,_xlfn.UNIQUE(_xlfn._xlws.FILTER('Product Variant Attribute'!$F$2:$F$3000,('Product Variant Attribute'!$B$2:$B$3000=$A437)*('Product Variant Attribute'!$D$2:$D$3000=$D437),"")))</f>
        <v>Số 7; Số 8</v>
      </c>
      <c r="H437" s="39" t="s">
        <v>2695</v>
      </c>
      <c r="I437" s="39"/>
      <c r="J437" s="39" t="str" cm="1">
        <f t="array" ref="J437">IF($I437="","",_xlfn.TEXTJOIN("; ",TRUE,_xlfn.UNIQUE(_xlfn._xlws.FILTER($A$2:$A$3000,($C$2:$C$3000=$C437)*($E$2:$E$3000=$E437)*($G$2:$G$3000&lt;&gt;$G437)*($G$2:$G$3000&lt;&gt;""),""))))</f>
        <v/>
      </c>
    </row>
    <row r="438" spans="1:10" x14ac:dyDescent="0.25">
      <c r="A438" s="23" t="s">
        <v>725</v>
      </c>
      <c r="B438" s="37" t="str">
        <f>INDEX(Product!$B:$B,MATCH($A438,Product!$A:$A,0))</f>
        <v>[Vitaltec] Ống mở khí quản 2 nòng có bóng, không cửa sổ - Rota-Trach</v>
      </c>
      <c r="C438" s="37" t="str">
        <f>INDEX(Product!$D:$D,MATCH($A438,Product!$A:$A,0))</f>
        <v>Ống mở khí quản</v>
      </c>
      <c r="D438" s="23" t="s">
        <v>2411</v>
      </c>
      <c r="E438" s="37" t="str">
        <f>INDEX('Attribute Definition'!$B:$B,MATCH($D438,'Attribute Definition'!$A:$A,0))</f>
        <v>Số nòng / nhánh</v>
      </c>
      <c r="F438" s="38" t="s">
        <v>2657</v>
      </c>
      <c r="G438" s="39" t="str" cm="1">
        <f t="array" ref="G438">_xlfn.TEXTJOIN("; ",TRUE,_xlfn.UNIQUE(_xlfn._xlws.FILTER('Product Variant Attribute'!$F$2:$F$3000,('Product Variant Attribute'!$B$2:$B$3000=$A438)*('Product Variant Attribute'!$D$2:$D$3000=$D438),"")))</f>
        <v>2 nòng</v>
      </c>
      <c r="H438" s="39"/>
      <c r="I438" s="39"/>
      <c r="J438" s="39" t="str" cm="1">
        <f t="array" ref="J438">IF($I438="","",_xlfn.TEXTJOIN("; ",TRUE,_xlfn.UNIQUE(_xlfn._xlws.FILTER($A$2:$A$3000,($C$2:$C$3000=$C438)*($E$2:$E$3000=$E438)*($G$2:$G$3000&lt;&gt;$G438)*($G$2:$G$3000&lt;&gt;""),""))))</f>
        <v/>
      </c>
    </row>
    <row r="439" spans="1:10" ht="45" x14ac:dyDescent="0.25">
      <c r="A439" s="23" t="s">
        <v>725</v>
      </c>
      <c r="B439" s="37" t="str">
        <f>INDEX(Product!$B:$B,MATCH($A439,Product!$A:$A,0))</f>
        <v>[Vitaltec] Ống mở khí quản 2 nòng có bóng, không cửa sổ - Rota-Trach</v>
      </c>
      <c r="C439" s="37" t="str">
        <f>INDEX(Product!$D:$D,MATCH($A439,Product!$A:$A,0))</f>
        <v>Ống mở khí quản</v>
      </c>
      <c r="D439" s="23" t="s">
        <v>2416</v>
      </c>
      <c r="E439" s="37" t="str">
        <f>INDEX('Attribute Definition'!$B:$B,MATCH($D439,'Attribute Definition'!$A:$A,0))</f>
        <v>Bóng chèn</v>
      </c>
      <c r="F439" s="38" t="s">
        <v>2657</v>
      </c>
      <c r="G439" s="39" t="str" cm="1">
        <f t="array" ref="G439">_xlfn.TEXTJOIN("; ",TRUE,_xlfn.UNIQUE(_xlfn._xlws.FILTER('Product Variant Attribute'!$F$2:$F$3000,('Product Variant Attribute'!$B$2:$B$3000=$A439)*('Product Variant Attribute'!$D$2:$D$3000=$D439),"")))</f>
        <v>Có bóng</v>
      </c>
      <c r="H439" s="39"/>
      <c r="I439" s="39" t="s">
        <v>2742</v>
      </c>
      <c r="J439" s="39" t="str" cm="1">
        <f t="array" ref="J439">IF($I439="","",_xlfn.TEXTJOIN("; ",TRUE,_xlfn.UNIQUE(_xlfn._xlws.FILTER($A$2:$A$3000,($C$2:$C$3000=$C439)*($E$2:$E$3000=$E439)*($G$2:$G$3000&lt;&gt;$G439)*($G$2:$G$3000&lt;&gt;""),""))))</f>
        <v>PRODUCT-00120; PRODUCT-00144; PRODUCT-00145; PRODUCT-00165; PRODUCT-00166</v>
      </c>
    </row>
    <row r="440" spans="1:10" ht="60" x14ac:dyDescent="0.25">
      <c r="A440" s="23" t="s">
        <v>725</v>
      </c>
      <c r="B440" s="37" t="str">
        <f>INDEX(Product!$B:$B,MATCH($A440,Product!$A:$A,0))</f>
        <v>[Vitaltec] Ống mở khí quản 2 nòng có bóng, không cửa sổ - Rota-Trach</v>
      </c>
      <c r="C440" s="37" t="str">
        <f>INDEX(Product!$D:$D,MATCH($A440,Product!$A:$A,0))</f>
        <v>Ống mở khí quản</v>
      </c>
      <c r="D440" s="23" t="s">
        <v>2421</v>
      </c>
      <c r="E440" s="37" t="str">
        <f>INDEX('Attribute Definition'!$B:$B,MATCH($D440,'Attribute Definition'!$A:$A,0))</f>
        <v>Cửa sổ</v>
      </c>
      <c r="F440" s="38" t="s">
        <v>2657</v>
      </c>
      <c r="G440" s="39" t="str" cm="1">
        <f t="array" ref="G440">_xlfn.TEXTJOIN("; ",TRUE,_xlfn.UNIQUE(_xlfn._xlws.FILTER('Product Variant Attribute'!$F$2:$F$3000,('Product Variant Attribute'!$B$2:$B$3000=$A440)*('Product Variant Attribute'!$D$2:$D$3000=$D440),"")))</f>
        <v>Không cửa sổ</v>
      </c>
      <c r="H440" s="39"/>
      <c r="I440" s="39" t="s">
        <v>2749</v>
      </c>
      <c r="J440" s="39" t="str" cm="1">
        <f t="array" ref="J440">IF($I440="","",_xlfn.TEXTJOIN("; ",TRUE,_xlfn.UNIQUE(_xlfn._xlws.FILTER($A$2:$A$3000,($C$2:$C$3000=$C440)*($E$2:$E$3000=$E440)*($G$2:$G$3000&lt;&gt;$G440)*($G$2:$G$3000&lt;&gt;""),""))))</f>
        <v>PRODUCT-00119; PRODUCT-00120; PRODUCT-00142; PRODUCT-00143; PRODUCT-00145; PRODUCT-00163; PRODUCT-00165</v>
      </c>
    </row>
    <row r="441" spans="1:10" x14ac:dyDescent="0.25">
      <c r="A441" s="23" t="s">
        <v>725</v>
      </c>
      <c r="B441" s="37" t="str">
        <f>INDEX(Product!$B:$B,MATCH($A441,Product!$A:$A,0))</f>
        <v>[Vitaltec] Ống mở khí quản 2 nòng có bóng, không cửa sổ - Rota-Trach</v>
      </c>
      <c r="C441" s="37" t="str">
        <f>INDEX(Product!$D:$D,MATCH($A441,Product!$A:$A,0))</f>
        <v>Ống mở khí quản</v>
      </c>
      <c r="D441" s="23" t="s">
        <v>2471</v>
      </c>
      <c r="E441" s="37" t="str">
        <f>INDEX('Attribute Definition'!$B:$B,MATCH($D441,'Attribute Definition'!$A:$A,0))</f>
        <v>Dạng sản phẩm</v>
      </c>
      <c r="F441" s="38" t="s">
        <v>2657</v>
      </c>
      <c r="G441" s="39" t="str" cm="1">
        <f t="array" ref="G441">_xlfn.TEXTJOIN("; ",TRUE,_xlfn.UNIQUE(_xlfn._xlws.FILTER('Product Variant Attribute'!$F$2:$F$3000,('Product Variant Attribute'!$B$2:$B$3000=$A441)*('Product Variant Attribute'!$D$2:$D$3000=$D441),"")))</f>
        <v>Ống / dây</v>
      </c>
      <c r="H441" s="39"/>
      <c r="I441" s="39"/>
      <c r="J441" s="39" t="str" cm="1">
        <f t="array" ref="J441">IF($I441="","",_xlfn.TEXTJOIN("; ",TRUE,_xlfn.UNIQUE(_xlfn._xlws.FILTER($A$2:$A$3000,($C$2:$C$3000=$C441)*($E$2:$E$3000=$E441)*($G$2:$G$3000&lt;&gt;$G441)*($G$2:$G$3000&lt;&gt;""),""))))</f>
        <v/>
      </c>
    </row>
    <row r="442" spans="1:10" ht="30" x14ac:dyDescent="0.25">
      <c r="A442" s="23" t="s">
        <v>725</v>
      </c>
      <c r="B442" s="37" t="str">
        <f>INDEX(Product!$B:$B,MATCH($A442,Product!$A:$A,0))</f>
        <v>[Vitaltec] Ống mở khí quản 2 nòng có bóng, không cửa sổ - Rota-Trach</v>
      </c>
      <c r="C442" s="37" t="str">
        <f>INDEX(Product!$D:$D,MATCH($A442,Product!$A:$A,0))</f>
        <v>Ống mở khí quản</v>
      </c>
      <c r="D442" s="23" t="s">
        <v>2656</v>
      </c>
      <c r="E442" s="37" t="str">
        <f>INDEX('Attribute Definition'!$B:$B,MATCH($D442,'Attribute Definition'!$A:$A,0))</f>
        <v>Kích cỡ</v>
      </c>
      <c r="F442" s="38" t="s">
        <v>2485</v>
      </c>
      <c r="G442" s="39" t="str" cm="1">
        <f t="array" ref="G442">_xlfn.TEXTJOIN("; ",TRUE,_xlfn.UNIQUE(_xlfn._xlws.FILTER('Product Variant Attribute'!$F$2:$F$3000,('Product Variant Attribute'!$B$2:$B$3000=$A442)*('Product Variant Attribute'!$D$2:$D$3000=$D442),"")))</f>
        <v>Số 7; Số 8</v>
      </c>
      <c r="H442" s="39" t="s">
        <v>2695</v>
      </c>
      <c r="I442" s="39"/>
      <c r="J442" s="39" t="str" cm="1">
        <f t="array" ref="J442">IF($I442="","",_xlfn.TEXTJOIN("; ",TRUE,_xlfn.UNIQUE(_xlfn._xlws.FILTER($A$2:$A$3000,($C$2:$C$3000=$C442)*($E$2:$E$3000=$E442)*($G$2:$G$3000&lt;&gt;$G442)*($G$2:$G$3000&lt;&gt;""),""))))</f>
        <v/>
      </c>
    </row>
    <row r="443" spans="1:10" x14ac:dyDescent="0.25">
      <c r="A443" s="23" t="s">
        <v>726</v>
      </c>
      <c r="B443" s="37" t="str">
        <f>INDEX(Product!$B:$B,MATCH($A443,Product!$A:$A,0))</f>
        <v>[Vitaltec] Ống mở khí quản 2 nòng không bóng, có cửa sổ - Rota-Trach</v>
      </c>
      <c r="C443" s="37" t="str">
        <f>INDEX(Product!$D:$D,MATCH($A443,Product!$A:$A,0))</f>
        <v>Ống mở khí quản</v>
      </c>
      <c r="D443" s="23" t="s">
        <v>2411</v>
      </c>
      <c r="E443" s="37" t="str">
        <f>INDEX('Attribute Definition'!$B:$B,MATCH($D443,'Attribute Definition'!$A:$A,0))</f>
        <v>Số nòng / nhánh</v>
      </c>
      <c r="F443" s="38" t="s">
        <v>2657</v>
      </c>
      <c r="G443" s="39" t="str" cm="1">
        <f t="array" ref="G443">_xlfn.TEXTJOIN("; ",TRUE,_xlfn.UNIQUE(_xlfn._xlws.FILTER('Product Variant Attribute'!$F$2:$F$3000,('Product Variant Attribute'!$B$2:$B$3000=$A443)*('Product Variant Attribute'!$D$2:$D$3000=$D443),"")))</f>
        <v>2 nòng</v>
      </c>
      <c r="H443" s="39"/>
      <c r="I443" s="39"/>
      <c r="J443" s="39" t="str" cm="1">
        <f t="array" ref="J443">IF($I443="","",_xlfn.TEXTJOIN("; ",TRUE,_xlfn.UNIQUE(_xlfn._xlws.FILTER($A$2:$A$3000,($C$2:$C$3000=$C443)*($E$2:$E$3000=$E443)*($G$2:$G$3000&lt;&gt;$G443)*($G$2:$G$3000&lt;&gt;""),""))))</f>
        <v/>
      </c>
    </row>
    <row r="444" spans="1:10" ht="60" x14ac:dyDescent="0.25">
      <c r="A444" s="23" t="s">
        <v>726</v>
      </c>
      <c r="B444" s="37" t="str">
        <f>INDEX(Product!$B:$B,MATCH($A444,Product!$A:$A,0))</f>
        <v>[Vitaltec] Ống mở khí quản 2 nòng không bóng, có cửa sổ - Rota-Trach</v>
      </c>
      <c r="C444" s="37" t="str">
        <f>INDEX(Product!$D:$D,MATCH($A444,Product!$A:$A,0))</f>
        <v>Ống mở khí quản</v>
      </c>
      <c r="D444" s="23" t="s">
        <v>2416</v>
      </c>
      <c r="E444" s="37" t="str">
        <f>INDEX('Attribute Definition'!$B:$B,MATCH($D444,'Attribute Definition'!$A:$A,0))</f>
        <v>Bóng chèn</v>
      </c>
      <c r="F444" s="38" t="s">
        <v>2657</v>
      </c>
      <c r="G444" s="39" t="str" cm="1">
        <f t="array" ref="G444">_xlfn.TEXTJOIN("; ",TRUE,_xlfn.UNIQUE(_xlfn._xlws.FILTER('Product Variant Attribute'!$F$2:$F$3000,('Product Variant Attribute'!$B$2:$B$3000=$A444)*('Product Variant Attribute'!$D$2:$D$3000=$D444),"")))</f>
        <v>Không bóng</v>
      </c>
      <c r="H444" s="39"/>
      <c r="I444" s="39" t="s">
        <v>2744</v>
      </c>
      <c r="J444" s="39" t="str" cm="1">
        <f t="array" ref="J444">IF($I444="","",_xlfn.TEXTJOIN("; ",TRUE,_xlfn.UNIQUE(_xlfn._xlws.FILTER($A$2:$A$3000,($C$2:$C$3000=$C444)*($E$2:$E$3000=$E444)*($G$2:$G$3000&lt;&gt;$G444)*($G$2:$G$3000&lt;&gt;""),""))))</f>
        <v>PRODUCT-00118; PRODUCT-00119; PRODUCT-00140; PRODUCT-00141; PRODUCT-00142; PRODUCT-00143; PRODUCT-00163; PRODUCT-00164</v>
      </c>
    </row>
    <row r="445" spans="1:10" ht="45" x14ac:dyDescent="0.25">
      <c r="A445" s="23" t="s">
        <v>726</v>
      </c>
      <c r="B445" s="37" t="str">
        <f>INDEX(Product!$B:$B,MATCH($A445,Product!$A:$A,0))</f>
        <v>[Vitaltec] Ống mở khí quản 2 nòng không bóng, có cửa sổ - Rota-Trach</v>
      </c>
      <c r="C445" s="37" t="str">
        <f>INDEX(Product!$D:$D,MATCH($A445,Product!$A:$A,0))</f>
        <v>Ống mở khí quản</v>
      </c>
      <c r="D445" s="23" t="s">
        <v>2421</v>
      </c>
      <c r="E445" s="37" t="str">
        <f>INDEX('Attribute Definition'!$B:$B,MATCH($D445,'Attribute Definition'!$A:$A,0))</f>
        <v>Cửa sổ</v>
      </c>
      <c r="F445" s="38" t="s">
        <v>2657</v>
      </c>
      <c r="G445" s="39" t="str" cm="1">
        <f t="array" ref="G445">_xlfn.TEXTJOIN("; ",TRUE,_xlfn.UNIQUE(_xlfn._xlws.FILTER('Product Variant Attribute'!$F$2:$F$3000,('Product Variant Attribute'!$B$2:$B$3000=$A445)*('Product Variant Attribute'!$D$2:$D$3000=$D445),"")))</f>
        <v>Có cửa sổ</v>
      </c>
      <c r="H445" s="39"/>
      <c r="I445" s="39" t="s">
        <v>2743</v>
      </c>
      <c r="J445" s="39" t="str" cm="1">
        <f t="array" ref="J445">IF($I445="","",_xlfn.TEXTJOIN("; ",TRUE,_xlfn.UNIQUE(_xlfn._xlws.FILTER($A$2:$A$3000,($C$2:$C$3000=$C445)*($E$2:$E$3000=$E445)*($G$2:$G$3000&lt;&gt;$G445)*($G$2:$G$3000&lt;&gt;""),""))))</f>
        <v>PRODUCT-00164; PRODUCT-00166</v>
      </c>
    </row>
    <row r="446" spans="1:10" x14ac:dyDescent="0.25">
      <c r="A446" s="23" t="s">
        <v>726</v>
      </c>
      <c r="B446" s="37" t="str">
        <f>INDEX(Product!$B:$B,MATCH($A446,Product!$A:$A,0))</f>
        <v>[Vitaltec] Ống mở khí quản 2 nòng không bóng, có cửa sổ - Rota-Trach</v>
      </c>
      <c r="C446" s="37" t="str">
        <f>INDEX(Product!$D:$D,MATCH($A446,Product!$A:$A,0))</f>
        <v>Ống mở khí quản</v>
      </c>
      <c r="D446" s="23" t="s">
        <v>2471</v>
      </c>
      <c r="E446" s="37" t="str">
        <f>INDEX('Attribute Definition'!$B:$B,MATCH($D446,'Attribute Definition'!$A:$A,0))</f>
        <v>Dạng sản phẩm</v>
      </c>
      <c r="F446" s="38" t="s">
        <v>2657</v>
      </c>
      <c r="G446" s="39" t="str" cm="1">
        <f t="array" ref="G446">_xlfn.TEXTJOIN("; ",TRUE,_xlfn.UNIQUE(_xlfn._xlws.FILTER('Product Variant Attribute'!$F$2:$F$3000,('Product Variant Attribute'!$B$2:$B$3000=$A446)*('Product Variant Attribute'!$D$2:$D$3000=$D446),"")))</f>
        <v>Ống / dây</v>
      </c>
      <c r="H446" s="39"/>
      <c r="I446" s="39"/>
      <c r="J446" s="39" t="str" cm="1">
        <f t="array" ref="J446">IF($I446="","",_xlfn.TEXTJOIN("; ",TRUE,_xlfn.UNIQUE(_xlfn._xlws.FILTER($A$2:$A$3000,($C$2:$C$3000=$C446)*($E$2:$E$3000=$E446)*($G$2:$G$3000&lt;&gt;$G446)*($G$2:$G$3000&lt;&gt;""),""))))</f>
        <v/>
      </c>
    </row>
    <row r="447" spans="1:10" ht="30" x14ac:dyDescent="0.25">
      <c r="A447" s="23" t="s">
        <v>726</v>
      </c>
      <c r="B447" s="37" t="str">
        <f>INDEX(Product!$B:$B,MATCH($A447,Product!$A:$A,0))</f>
        <v>[Vitaltec] Ống mở khí quản 2 nòng không bóng, có cửa sổ - Rota-Trach</v>
      </c>
      <c r="C447" s="37" t="str">
        <f>INDEX(Product!$D:$D,MATCH($A447,Product!$A:$A,0))</f>
        <v>Ống mở khí quản</v>
      </c>
      <c r="D447" s="23" t="s">
        <v>2656</v>
      </c>
      <c r="E447" s="37" t="str">
        <f>INDEX('Attribute Definition'!$B:$B,MATCH($D447,'Attribute Definition'!$A:$A,0))</f>
        <v>Kích cỡ</v>
      </c>
      <c r="F447" s="38" t="s">
        <v>2485</v>
      </c>
      <c r="G447" s="39" t="str" cm="1">
        <f t="array" ref="G447">_xlfn.TEXTJOIN("; ",TRUE,_xlfn.UNIQUE(_xlfn._xlws.FILTER('Product Variant Attribute'!$F$2:$F$3000,('Product Variant Attribute'!$B$2:$B$3000=$A447)*('Product Variant Attribute'!$D$2:$D$3000=$D447),"")))</f>
        <v>Số 7; Số 8</v>
      </c>
      <c r="H447" s="39" t="s">
        <v>2695</v>
      </c>
      <c r="I447" s="39"/>
      <c r="J447" s="39" t="str" cm="1">
        <f t="array" ref="J447">IF($I447="","",_xlfn.TEXTJOIN("; ",TRUE,_xlfn.UNIQUE(_xlfn._xlws.FILTER($A$2:$A$3000,($C$2:$C$3000=$C447)*($E$2:$E$3000=$E447)*($G$2:$G$3000&lt;&gt;$G447)*($G$2:$G$3000&lt;&gt;""),""))))</f>
        <v/>
      </c>
    </row>
    <row r="448" spans="1:10" x14ac:dyDescent="0.25">
      <c r="A448" s="23" t="s">
        <v>727</v>
      </c>
      <c r="B448" s="37" t="str">
        <f>INDEX(Product!$B:$B,MATCH($A448,Product!$A:$A,0))</f>
        <v>[Vitaltec] Ống mở khí quản 2 nòng không bóng, không cửa sổ - Rota-Trach</v>
      </c>
      <c r="C448" s="37" t="str">
        <f>INDEX(Product!$D:$D,MATCH($A448,Product!$A:$A,0))</f>
        <v>Ống mở khí quản</v>
      </c>
      <c r="D448" s="23" t="s">
        <v>2411</v>
      </c>
      <c r="E448" s="37" t="str">
        <f>INDEX('Attribute Definition'!$B:$B,MATCH($D448,'Attribute Definition'!$A:$A,0))</f>
        <v>Số nòng / nhánh</v>
      </c>
      <c r="F448" s="38" t="s">
        <v>2657</v>
      </c>
      <c r="G448" s="39" t="str" cm="1">
        <f t="array" ref="G448">_xlfn.TEXTJOIN("; ",TRUE,_xlfn.UNIQUE(_xlfn._xlws.FILTER('Product Variant Attribute'!$F$2:$F$3000,('Product Variant Attribute'!$B$2:$B$3000=$A448)*('Product Variant Attribute'!$D$2:$D$3000=$D448),"")))</f>
        <v>2 nòng</v>
      </c>
      <c r="H448" s="39"/>
      <c r="I448" s="39"/>
      <c r="J448" s="39" t="str" cm="1">
        <f t="array" ref="J448">IF($I448="","",_xlfn.TEXTJOIN("; ",TRUE,_xlfn.UNIQUE(_xlfn._xlws.FILTER($A$2:$A$3000,($C$2:$C$3000=$C448)*($E$2:$E$3000=$E448)*($G$2:$G$3000&lt;&gt;$G448)*($G$2:$G$3000&lt;&gt;""),""))))</f>
        <v/>
      </c>
    </row>
    <row r="449" spans="1:10" ht="60" x14ac:dyDescent="0.25">
      <c r="A449" s="23" t="s">
        <v>727</v>
      </c>
      <c r="B449" s="37" t="str">
        <f>INDEX(Product!$B:$B,MATCH($A449,Product!$A:$A,0))</f>
        <v>[Vitaltec] Ống mở khí quản 2 nòng không bóng, không cửa sổ - Rota-Trach</v>
      </c>
      <c r="C449" s="37" t="str">
        <f>INDEX(Product!$D:$D,MATCH($A449,Product!$A:$A,0))</f>
        <v>Ống mở khí quản</v>
      </c>
      <c r="D449" s="23" t="s">
        <v>2416</v>
      </c>
      <c r="E449" s="37" t="str">
        <f>INDEX('Attribute Definition'!$B:$B,MATCH($D449,'Attribute Definition'!$A:$A,0))</f>
        <v>Bóng chèn</v>
      </c>
      <c r="F449" s="38" t="s">
        <v>2657</v>
      </c>
      <c r="G449" s="39" t="str" cm="1">
        <f t="array" ref="G449">_xlfn.TEXTJOIN("; ",TRUE,_xlfn.UNIQUE(_xlfn._xlws.FILTER('Product Variant Attribute'!$F$2:$F$3000,('Product Variant Attribute'!$B$2:$B$3000=$A449)*('Product Variant Attribute'!$D$2:$D$3000=$D449),"")))</f>
        <v>Không bóng</v>
      </c>
      <c r="H449" s="39"/>
      <c r="I449" s="39" t="s">
        <v>2744</v>
      </c>
      <c r="J449" s="39" t="str" cm="1">
        <f t="array" ref="J449">IF($I449="","",_xlfn.TEXTJOIN("; ",TRUE,_xlfn.UNIQUE(_xlfn._xlws.FILTER($A$2:$A$3000,($C$2:$C$3000=$C449)*($E$2:$E$3000=$E449)*($G$2:$G$3000&lt;&gt;$G449)*($G$2:$G$3000&lt;&gt;""),""))))</f>
        <v>PRODUCT-00118; PRODUCT-00119; PRODUCT-00140; PRODUCT-00141; PRODUCT-00142; PRODUCT-00143; PRODUCT-00163; PRODUCT-00164</v>
      </c>
    </row>
    <row r="450" spans="1:10" ht="60" x14ac:dyDescent="0.25">
      <c r="A450" s="23" t="s">
        <v>727</v>
      </c>
      <c r="B450" s="37" t="str">
        <f>INDEX(Product!$B:$B,MATCH($A450,Product!$A:$A,0))</f>
        <v>[Vitaltec] Ống mở khí quản 2 nòng không bóng, không cửa sổ - Rota-Trach</v>
      </c>
      <c r="C450" s="37" t="str">
        <f>INDEX(Product!$D:$D,MATCH($A450,Product!$A:$A,0))</f>
        <v>Ống mở khí quản</v>
      </c>
      <c r="D450" s="23" t="s">
        <v>2421</v>
      </c>
      <c r="E450" s="37" t="str">
        <f>INDEX('Attribute Definition'!$B:$B,MATCH($D450,'Attribute Definition'!$A:$A,0))</f>
        <v>Cửa sổ</v>
      </c>
      <c r="F450" s="38" t="s">
        <v>2657</v>
      </c>
      <c r="G450" s="39" t="str" cm="1">
        <f t="array" ref="G450">_xlfn.TEXTJOIN("; ",TRUE,_xlfn.UNIQUE(_xlfn._xlws.FILTER('Product Variant Attribute'!$F$2:$F$3000,('Product Variant Attribute'!$B$2:$B$3000=$A450)*('Product Variant Attribute'!$D$2:$D$3000=$D450),"")))</f>
        <v>Không cửa sổ</v>
      </c>
      <c r="H450" s="39"/>
      <c r="I450" s="39" t="s">
        <v>2749</v>
      </c>
      <c r="J450" s="39" t="str" cm="1">
        <f t="array" ref="J450">IF($I450="","",_xlfn.TEXTJOIN("; ",TRUE,_xlfn.UNIQUE(_xlfn._xlws.FILTER($A$2:$A$3000,($C$2:$C$3000=$C450)*($E$2:$E$3000=$E450)*($G$2:$G$3000&lt;&gt;$G450)*($G$2:$G$3000&lt;&gt;""),""))))</f>
        <v>PRODUCT-00119; PRODUCT-00120; PRODUCT-00142; PRODUCT-00143; PRODUCT-00145; PRODUCT-00163; PRODUCT-00165</v>
      </c>
    </row>
    <row r="451" spans="1:10" x14ac:dyDescent="0.25">
      <c r="A451" s="23" t="s">
        <v>727</v>
      </c>
      <c r="B451" s="37" t="str">
        <f>INDEX(Product!$B:$B,MATCH($A451,Product!$A:$A,0))</f>
        <v>[Vitaltec] Ống mở khí quản 2 nòng không bóng, không cửa sổ - Rota-Trach</v>
      </c>
      <c r="C451" s="37" t="str">
        <f>INDEX(Product!$D:$D,MATCH($A451,Product!$A:$A,0))</f>
        <v>Ống mở khí quản</v>
      </c>
      <c r="D451" s="23" t="s">
        <v>2471</v>
      </c>
      <c r="E451" s="37" t="str">
        <f>INDEX('Attribute Definition'!$B:$B,MATCH($D451,'Attribute Definition'!$A:$A,0))</f>
        <v>Dạng sản phẩm</v>
      </c>
      <c r="F451" s="38" t="s">
        <v>2657</v>
      </c>
      <c r="G451" s="39" t="str" cm="1">
        <f t="array" ref="G451">_xlfn.TEXTJOIN("; ",TRUE,_xlfn.UNIQUE(_xlfn._xlws.FILTER('Product Variant Attribute'!$F$2:$F$3000,('Product Variant Attribute'!$B$2:$B$3000=$A451)*('Product Variant Attribute'!$D$2:$D$3000=$D451),"")))</f>
        <v>Ống / dây</v>
      </c>
      <c r="H451" s="39"/>
      <c r="I451" s="39"/>
      <c r="J451" s="39" t="str" cm="1">
        <f t="array" ref="J451">IF($I451="","",_xlfn.TEXTJOIN("; ",TRUE,_xlfn.UNIQUE(_xlfn._xlws.FILTER($A$2:$A$3000,($C$2:$C$3000=$C451)*($E$2:$E$3000=$E451)*($G$2:$G$3000&lt;&gt;$G451)*($G$2:$G$3000&lt;&gt;""),""))))</f>
        <v/>
      </c>
    </row>
    <row r="452" spans="1:10" ht="30" x14ac:dyDescent="0.25">
      <c r="A452" s="23" t="s">
        <v>727</v>
      </c>
      <c r="B452" s="37" t="str">
        <f>INDEX(Product!$B:$B,MATCH($A452,Product!$A:$A,0))</f>
        <v>[Vitaltec] Ống mở khí quản 2 nòng không bóng, không cửa sổ - Rota-Trach</v>
      </c>
      <c r="C452" s="37" t="str">
        <f>INDEX(Product!$D:$D,MATCH($A452,Product!$A:$A,0))</f>
        <v>Ống mở khí quản</v>
      </c>
      <c r="D452" s="23" t="s">
        <v>2656</v>
      </c>
      <c r="E452" s="37" t="str">
        <f>INDEX('Attribute Definition'!$B:$B,MATCH($D452,'Attribute Definition'!$A:$A,0))</f>
        <v>Kích cỡ</v>
      </c>
      <c r="F452" s="38" t="s">
        <v>2485</v>
      </c>
      <c r="G452" s="39" t="str" cm="1">
        <f t="array" ref="G452">_xlfn.TEXTJOIN("; ",TRUE,_xlfn.UNIQUE(_xlfn._xlws.FILTER('Product Variant Attribute'!$F$2:$F$3000,('Product Variant Attribute'!$B$2:$B$3000=$A452)*('Product Variant Attribute'!$D$2:$D$3000=$D452),"")))</f>
        <v>Số 7; Số 8</v>
      </c>
      <c r="H452" s="39" t="s">
        <v>2695</v>
      </c>
      <c r="I452" s="39"/>
      <c r="J452" s="39" t="str" cm="1">
        <f t="array" ref="J452">IF($I452="","",_xlfn.TEXTJOIN("; ",TRUE,_xlfn.UNIQUE(_xlfn._xlws.FILTER($A$2:$A$3000,($C$2:$C$3000=$C452)*($E$2:$E$3000=$E452)*($G$2:$G$3000&lt;&gt;$G452)*($G$2:$G$3000&lt;&gt;""),""))))</f>
        <v/>
      </c>
    </row>
    <row r="453" spans="1:10" x14ac:dyDescent="0.25">
      <c r="A453" s="23" t="s">
        <v>728</v>
      </c>
      <c r="B453" s="37" t="str">
        <f>INDEX(Product!$B:$B,MATCH($A453,Product!$A:$A,0))</f>
        <v>[Yafho] Dây đai cố định ống mở khí quản (3.6cmx18cm / Xanh đậm)</v>
      </c>
      <c r="C453" s="37" t="str">
        <f>INDEX(Product!$D:$D,MATCH($A453,Product!$A:$A,0))</f>
        <v>Phụ kiện mở khí quản</v>
      </c>
      <c r="D453" s="23" t="s">
        <v>2342</v>
      </c>
      <c r="E453" s="37" t="str">
        <f>INDEX('Attribute Definition'!$B:$B,MATCH($D453,'Attribute Definition'!$A:$A,0))</f>
        <v>Kích thước</v>
      </c>
      <c r="F453" s="38" t="s">
        <v>2657</v>
      </c>
      <c r="G453" s="39" t="str" cm="1">
        <f t="array" ref="G453">_xlfn.TEXTJOIN("; ",TRUE,_xlfn.UNIQUE(_xlfn._xlws.FILTER('Product Variant Attribute'!$F$2:$F$3000,('Product Variant Attribute'!$B$2:$B$3000=$A453)*('Product Variant Attribute'!$D$2:$D$3000=$D453),"")))</f>
        <v>3.6cmx18cm</v>
      </c>
      <c r="H453" s="39"/>
      <c r="I453" s="39"/>
      <c r="J453" s="39" t="str" cm="1">
        <f t="array" ref="J453">IF($I453="","",_xlfn.TEXTJOIN("; ",TRUE,_xlfn.UNIQUE(_xlfn._xlws.FILTER($A$2:$A$3000,($C$2:$C$3000=$C453)*($E$2:$E$3000=$E453)*($G$2:$G$3000&lt;&gt;$G453)*($G$2:$G$3000&lt;&gt;""),""))))</f>
        <v/>
      </c>
    </row>
    <row r="454" spans="1:10" x14ac:dyDescent="0.25">
      <c r="A454" s="23" t="s">
        <v>728</v>
      </c>
      <c r="B454" s="37" t="str">
        <f>INDEX(Product!$B:$B,MATCH($A454,Product!$A:$A,0))</f>
        <v>[Yafho] Dây đai cố định ống mở khí quản (3.6cmx18cm / Xanh đậm)</v>
      </c>
      <c r="C454" s="37" t="str">
        <f>INDEX(Product!$D:$D,MATCH($A454,Product!$A:$A,0))</f>
        <v>Phụ kiện mở khí quản</v>
      </c>
      <c r="D454" s="23" t="s">
        <v>2464</v>
      </c>
      <c r="E454" s="37" t="str">
        <f>INDEX('Attribute Definition'!$B:$B,MATCH($D454,'Attribute Definition'!$A:$A,0))</f>
        <v>Màu sắc</v>
      </c>
      <c r="F454" s="38" t="s">
        <v>2657</v>
      </c>
      <c r="G454" s="39" t="str" cm="1">
        <f t="array" ref="G454">_xlfn.TEXTJOIN("; ",TRUE,_xlfn.UNIQUE(_xlfn._xlws.FILTER('Product Variant Attribute'!$F$2:$F$3000,('Product Variant Attribute'!$B$2:$B$3000=$A454)*('Product Variant Attribute'!$D$2:$D$3000=$D454),"")))</f>
        <v>Xanh đậm</v>
      </c>
      <c r="H454" s="39"/>
      <c r="I454" s="39"/>
      <c r="J454" s="39" t="str" cm="1">
        <f t="array" ref="J454">IF($I454="","",_xlfn.TEXTJOIN("; ",TRUE,_xlfn.UNIQUE(_xlfn._xlws.FILTER($A$2:$A$3000,($C$2:$C$3000=$C454)*($E$2:$E$3000=$E454)*($G$2:$G$3000&lt;&gt;$G454)*($G$2:$G$3000&lt;&gt;""),""))))</f>
        <v/>
      </c>
    </row>
    <row r="455" spans="1:10" x14ac:dyDescent="0.25">
      <c r="A455" s="23" t="s">
        <v>728</v>
      </c>
      <c r="B455" s="37" t="str">
        <f>INDEX(Product!$B:$B,MATCH($A455,Product!$A:$A,0))</f>
        <v>[Yafho] Dây đai cố định ống mở khí quản (3.6cmx18cm / Xanh đậm)</v>
      </c>
      <c r="C455" s="37" t="str">
        <f>INDEX(Product!$D:$D,MATCH($A455,Product!$A:$A,0))</f>
        <v>Phụ kiện mở khí quản</v>
      </c>
      <c r="D455" s="23" t="s">
        <v>2471</v>
      </c>
      <c r="E455" s="37" t="str">
        <f>INDEX('Attribute Definition'!$B:$B,MATCH($D455,'Attribute Definition'!$A:$A,0))</f>
        <v>Dạng sản phẩm</v>
      </c>
      <c r="F455" s="38" t="s">
        <v>2657</v>
      </c>
      <c r="G455" s="39" t="str" cm="1">
        <f t="array" ref="G455">_xlfn.TEXTJOIN("; ",TRUE,_xlfn.UNIQUE(_xlfn._xlws.FILTER('Product Variant Attribute'!$F$2:$F$3000,('Product Variant Attribute'!$B$2:$B$3000=$A455)*('Product Variant Attribute'!$D$2:$D$3000=$D455),"")))</f>
        <v>Ống / dây</v>
      </c>
      <c r="H455" s="39"/>
      <c r="I455" s="39"/>
      <c r="J455" s="39" t="str" cm="1">
        <f t="array" ref="J455">IF($I455="","",_xlfn.TEXTJOIN("; ",TRUE,_xlfn.UNIQUE(_xlfn._xlws.FILTER($A$2:$A$3000,($C$2:$C$3000=$C455)*($E$2:$E$3000=$E455)*($G$2:$G$3000&lt;&gt;$G455)*($G$2:$G$3000&lt;&gt;""),""))))</f>
        <v/>
      </c>
    </row>
    <row r="456" spans="1:10" x14ac:dyDescent="0.25">
      <c r="A456" s="23" t="s">
        <v>729</v>
      </c>
      <c r="B456" s="37" t="str">
        <f>INDEX(Product!$B:$B,MATCH($A456,Product!$A:$A,0))</f>
        <v>[Yafho] Dụng cụ cố định ống nội khí quản</v>
      </c>
      <c r="C456" s="37" t="str">
        <f>INDEX(Product!$D:$D,MATCH($A456,Product!$A:$A,0))</f>
        <v>Dụng cụ đặt &amp; cố định nội khí quản</v>
      </c>
      <c r="D456" s="23" t="s">
        <v>2471</v>
      </c>
      <c r="E456" s="37" t="str">
        <f>INDEX('Attribute Definition'!$B:$B,MATCH($D456,'Attribute Definition'!$A:$A,0))</f>
        <v>Dạng sản phẩm</v>
      </c>
      <c r="F456" s="38" t="s">
        <v>2657</v>
      </c>
      <c r="G456" s="39" t="str" cm="1">
        <f t="array" ref="G456">_xlfn.TEXTJOIN("; ",TRUE,_xlfn.UNIQUE(_xlfn._xlws.FILTER('Product Variant Attribute'!$F$2:$F$3000,('Product Variant Attribute'!$B$2:$B$3000=$A456)*('Product Variant Attribute'!$D$2:$D$3000=$D456),"")))</f>
        <v>Dụng cụ / phụ kiện</v>
      </c>
      <c r="H456" s="39"/>
      <c r="I456" s="39"/>
      <c r="J456" s="39" t="str" cm="1">
        <f t="array" ref="J456">IF($I456="","",_xlfn.TEXTJOIN("; ",TRUE,_xlfn.UNIQUE(_xlfn._xlws.FILTER($A$2:$A$3000,($C$2:$C$3000=$C456)*($E$2:$E$3000=$E456)*($G$2:$G$3000&lt;&gt;$G456)*($G$2:$G$3000&lt;&gt;""),""))))</f>
        <v/>
      </c>
    </row>
    <row r="457" spans="1:10" x14ac:dyDescent="0.25">
      <c r="A457" s="23" t="s">
        <v>730</v>
      </c>
      <c r="B457" s="37" t="str">
        <f>INDEX(Product!$B:$B,MATCH($A457,Product!$A:$A,0))</f>
        <v>[Yafho] Dụng cụ cố định ống nội khí quản chống cắn</v>
      </c>
      <c r="C457" s="37" t="str">
        <f>INDEX(Product!$D:$D,MATCH($A457,Product!$A:$A,0))</f>
        <v>Dụng cụ đặt &amp; cố định nội khí quản</v>
      </c>
      <c r="D457" s="23" t="s">
        <v>2471</v>
      </c>
      <c r="E457" s="37" t="str">
        <f>INDEX('Attribute Definition'!$B:$B,MATCH($D457,'Attribute Definition'!$A:$A,0))</f>
        <v>Dạng sản phẩm</v>
      </c>
      <c r="F457" s="38" t="s">
        <v>2657</v>
      </c>
      <c r="G457" s="39" t="str" cm="1">
        <f t="array" ref="G457">_xlfn.TEXTJOIN("; ",TRUE,_xlfn.UNIQUE(_xlfn._xlws.FILTER('Product Variant Attribute'!$F$2:$F$3000,('Product Variant Attribute'!$B$2:$B$3000=$A457)*('Product Variant Attribute'!$D$2:$D$3000=$D457),"")))</f>
        <v>Dụng cụ / phụ kiện</v>
      </c>
      <c r="H457" s="39"/>
      <c r="I457" s="39"/>
      <c r="J457" s="39" t="str" cm="1">
        <f t="array" ref="J457">IF($I457="","",_xlfn.TEXTJOIN("; ",TRUE,_xlfn.UNIQUE(_xlfn._xlws.FILTER($A$2:$A$3000,($C$2:$C$3000=$C457)*($E$2:$E$3000=$E457)*($G$2:$G$3000&lt;&gt;$G457)*($G$2:$G$3000&lt;&gt;""),""))))</f>
        <v/>
      </c>
    </row>
    <row r="458" spans="1:10" x14ac:dyDescent="0.25">
      <c r="A458" s="23" t="s">
        <v>731</v>
      </c>
      <c r="B458" s="37" t="str">
        <f>INDEX(Product!$B:$B,MATCH($A458,Product!$A:$A,0))</f>
        <v>[Yuwell] Máy hút dịch 1 bình - 7E-A</v>
      </c>
      <c r="C458" s="37" t="str">
        <f>INDEX(Product!$D:$D,MATCH($A458,Product!$A:$A,0))</f>
        <v>Máy hút dịch</v>
      </c>
      <c r="D458" s="23" t="s">
        <v>2471</v>
      </c>
      <c r="E458" s="37" t="str">
        <f>INDEX('Attribute Definition'!$B:$B,MATCH($D458,'Attribute Definition'!$A:$A,0))</f>
        <v>Dạng sản phẩm</v>
      </c>
      <c r="F458" s="38" t="s">
        <v>2657</v>
      </c>
      <c r="G458" s="39" t="str" cm="1">
        <f t="array" ref="G458">_xlfn.TEXTJOIN("; ",TRUE,_xlfn.UNIQUE(_xlfn._xlws.FILTER('Product Variant Attribute'!$F$2:$F$3000,('Product Variant Attribute'!$B$2:$B$3000=$A458)*('Product Variant Attribute'!$D$2:$D$3000=$D458),"")))</f>
        <v>Máy / thiết bị điện tử</v>
      </c>
      <c r="H458" s="39"/>
      <c r="I458" s="39"/>
      <c r="J458" s="39" t="str" cm="1">
        <f t="array" ref="J458">IF($I458="","",_xlfn.TEXTJOIN("; ",TRUE,_xlfn.UNIQUE(_xlfn._xlws.FILTER($A$2:$A$3000,($C$2:$C$3000=$C458)*($E$2:$E$3000=$E458)*($G$2:$G$3000&lt;&gt;$G458)*($G$2:$G$3000&lt;&gt;""),""))))</f>
        <v/>
      </c>
    </row>
    <row r="459" spans="1:10" x14ac:dyDescent="0.25">
      <c r="A459" s="23" t="s">
        <v>732</v>
      </c>
      <c r="B459" s="37" t="str">
        <f>INDEX(Product!$B:$B,MATCH($A459,Product!$A:$A,0))</f>
        <v>Dây đai cố định ống mở khí quản</v>
      </c>
      <c r="C459" s="37" t="str">
        <f>INDEX(Product!$D:$D,MATCH($A459,Product!$A:$A,0))</f>
        <v>Phụ kiện mở khí quản</v>
      </c>
      <c r="D459" s="23" t="s">
        <v>2471</v>
      </c>
      <c r="E459" s="37" t="str">
        <f>INDEX('Attribute Definition'!$B:$B,MATCH($D459,'Attribute Definition'!$A:$A,0))</f>
        <v>Dạng sản phẩm</v>
      </c>
      <c r="F459" s="38" t="s">
        <v>2657</v>
      </c>
      <c r="G459" s="39" t="str" cm="1">
        <f t="array" ref="G459">_xlfn.TEXTJOIN("; ",TRUE,_xlfn.UNIQUE(_xlfn._xlws.FILTER('Product Variant Attribute'!$F$2:$F$3000,('Product Variant Attribute'!$B$2:$B$3000=$A459)*('Product Variant Attribute'!$D$2:$D$3000=$D459),"")))</f>
        <v/>
      </c>
      <c r="H459" s="39"/>
      <c r="I459" s="39"/>
      <c r="J459" s="39" t="str" cm="1">
        <f t="array" ref="J459">IF($I459="","",_xlfn.TEXTJOIN("; ",TRUE,_xlfn.UNIQUE(_xlfn._xlws.FILTER($A$2:$A$3000,($C$2:$C$3000=$C459)*($E$2:$E$3000=$E459)*($G$2:$G$3000&lt;&gt;$G459)*($G$2:$G$3000&lt;&gt;""),""))))</f>
        <v/>
      </c>
    </row>
    <row r="460" spans="1:10" x14ac:dyDescent="0.25">
      <c r="A460" s="23" t="s">
        <v>733</v>
      </c>
      <c r="B460" s="37" t="str">
        <f>INDEX(Product!$B:$B,MATCH($A460,Product!$A:$A,0))</f>
        <v>Làm ẩm mở khí quản (mũi nhân tạo)</v>
      </c>
      <c r="C460" s="37" t="str">
        <f>INDEX(Product!$D:$D,MATCH($A460,Product!$A:$A,0))</f>
        <v>Phụ kiện mở khí quản</v>
      </c>
      <c r="D460" s="23" t="s">
        <v>2471</v>
      </c>
      <c r="E460" s="37" t="str">
        <f>INDEX('Attribute Definition'!$B:$B,MATCH($D460,'Attribute Definition'!$A:$A,0))</f>
        <v>Dạng sản phẩm</v>
      </c>
      <c r="F460" s="38" t="s">
        <v>2657</v>
      </c>
      <c r="G460" s="39" t="str" cm="1">
        <f t="array" ref="G460">_xlfn.TEXTJOIN("; ",TRUE,_xlfn.UNIQUE(_xlfn._xlws.FILTER('Product Variant Attribute'!$F$2:$F$3000,('Product Variant Attribute'!$B$2:$B$3000=$A460)*('Product Variant Attribute'!$D$2:$D$3000=$D460),"")))</f>
        <v/>
      </c>
      <c r="H460" s="39"/>
      <c r="I460" s="39"/>
      <c r="J460" s="39" t="str" cm="1">
        <f t="array" ref="J460">IF($I460="","",_xlfn.TEXTJOIN("; ",TRUE,_xlfn.UNIQUE(_xlfn._xlws.FILTER($A$2:$A$3000,($C$2:$C$3000=$C460)*($E$2:$E$3000=$E460)*($G$2:$G$3000&lt;&gt;$G460)*($G$2:$G$3000&lt;&gt;""),""))))</f>
        <v/>
      </c>
    </row>
    <row r="461" spans="1:10" x14ac:dyDescent="0.25">
      <c r="A461" s="23" t="s">
        <v>734</v>
      </c>
      <c r="B461" s="37" t="str">
        <f>INDEX(Product!$B:$B,MATCH($A461,Product!$A:$A,0))</f>
        <v>[Abbott] Bộ cảm biến đo đường huyết - FreeStyle Libre Flash Glucose Monitoring Sensor</v>
      </c>
      <c r="C461" s="37" t="str">
        <f>INDEX(Product!$D:$D,MATCH($A461,Product!$A:$A,0))</f>
        <v>Hệ thống đo đường huyết liên tục (CGM)</v>
      </c>
      <c r="D461" s="23" t="s">
        <v>2467</v>
      </c>
      <c r="E461" s="37" t="str">
        <f>INDEX('Attribute Definition'!$B:$B,MATCH($D461,'Attribute Definition'!$A:$A,0))</f>
        <v>Chỉ số đo</v>
      </c>
      <c r="F461" s="38" t="s">
        <v>2657</v>
      </c>
      <c r="G461" s="39" t="str" cm="1">
        <f t="array" ref="G461">_xlfn.TEXTJOIN("; ",TRUE,_xlfn.UNIQUE(_xlfn._xlws.FILTER('Product Variant Attribute'!$F$2:$F$3000,('Product Variant Attribute'!$B$2:$B$3000=$A461)*('Product Variant Attribute'!$D$2:$D$3000=$D461),"")))</f>
        <v>Đường huyết</v>
      </c>
      <c r="H461" s="39"/>
      <c r="I461" s="39"/>
      <c r="J461" s="39" t="str" cm="1">
        <f t="array" ref="J461">IF($I461="","",_xlfn.TEXTJOIN("; ",TRUE,_xlfn.UNIQUE(_xlfn._xlws.FILTER($A$2:$A$3000,($C$2:$C$3000=$C461)*($E$2:$E$3000=$E461)*($G$2:$G$3000&lt;&gt;$G461)*($G$2:$G$3000&lt;&gt;""),""))))</f>
        <v/>
      </c>
    </row>
    <row r="462" spans="1:10" x14ac:dyDescent="0.25">
      <c r="A462" s="23" t="s">
        <v>734</v>
      </c>
      <c r="B462" s="37" t="str">
        <f>INDEX(Product!$B:$B,MATCH($A462,Product!$A:$A,0))</f>
        <v>[Abbott] Bộ cảm biến đo đường huyết - FreeStyle Libre Flash Glucose Monitoring Sensor</v>
      </c>
      <c r="C462" s="37" t="str">
        <f>INDEX(Product!$D:$D,MATCH($A462,Product!$A:$A,0))</f>
        <v>Hệ thống đo đường huyết liên tục (CGM)</v>
      </c>
      <c r="D462" s="23" t="s">
        <v>2471</v>
      </c>
      <c r="E462" s="37" t="str">
        <f>INDEX('Attribute Definition'!$B:$B,MATCH($D462,'Attribute Definition'!$A:$A,0))</f>
        <v>Dạng sản phẩm</v>
      </c>
      <c r="F462" s="38" t="s">
        <v>2657</v>
      </c>
      <c r="G462" s="39" t="str" cm="1">
        <f t="array" ref="G462">_xlfn.TEXTJOIN("; ",TRUE,_xlfn.UNIQUE(_xlfn._xlws.FILTER('Product Variant Attribute'!$F$2:$F$3000,('Product Variant Attribute'!$B$2:$B$3000=$A462)*('Product Variant Attribute'!$D$2:$D$3000=$D462),"")))</f>
        <v>Cảm biến / phụ kiện điện tử</v>
      </c>
      <c r="H462" s="39"/>
      <c r="I462" s="39"/>
      <c r="J462" s="39" t="str" cm="1">
        <f t="array" ref="J462">IF($I462="","",_xlfn.TEXTJOIN("; ",TRUE,_xlfn.UNIQUE(_xlfn._xlws.FILTER($A$2:$A$3000,($C$2:$C$3000=$C462)*($E$2:$E$3000=$E462)*($G$2:$G$3000&lt;&gt;$G462)*($G$2:$G$3000&lt;&gt;""),""))))</f>
        <v/>
      </c>
    </row>
    <row r="463" spans="1:10" x14ac:dyDescent="0.25">
      <c r="A463" s="23" t="s">
        <v>735</v>
      </c>
      <c r="B463" s="37" t="str">
        <f>INDEX(Product!$B:$B,MATCH($A463,Product!$A:$A,0))</f>
        <v>[Abbott] Máy đo đường huyết liên tục - FreeStyle Libre 2</v>
      </c>
      <c r="C463" s="37" t="str">
        <f>INDEX(Product!$D:$D,MATCH($A463,Product!$A:$A,0))</f>
        <v>Hệ thống đo đường huyết liên tục (CGM)</v>
      </c>
      <c r="D463" s="23" t="s">
        <v>2429</v>
      </c>
      <c r="E463" s="37" t="str">
        <f>INDEX('Attribute Definition'!$B:$B,MATCH($D463,'Attribute Definition'!$A:$A,0))</f>
        <v>Kết nối</v>
      </c>
      <c r="F463" s="38" t="s">
        <v>2657</v>
      </c>
      <c r="G463" s="39" t="str" cm="1">
        <f t="array" ref="G463">_xlfn.TEXTJOIN("; ",TRUE,_xlfn.UNIQUE(_xlfn._xlws.FILTER('Product Variant Attribute'!$F$2:$F$3000,('Product Variant Attribute'!$B$2:$B$3000=$A463)*('Product Variant Attribute'!$D$2:$D$3000=$D463),"")))</f>
        <v>Bluetooth</v>
      </c>
      <c r="H463" s="39"/>
      <c r="I463" s="39"/>
      <c r="J463" s="39" t="str" cm="1">
        <f t="array" ref="J463">IF($I463="","",_xlfn.TEXTJOIN("; ",TRUE,_xlfn.UNIQUE(_xlfn._xlws.FILTER($A$2:$A$3000,($C$2:$C$3000=$C463)*($E$2:$E$3000=$E463)*($G$2:$G$3000&lt;&gt;$G463)*($G$2:$G$3000&lt;&gt;""),""))))</f>
        <v/>
      </c>
    </row>
    <row r="464" spans="1:10" x14ac:dyDescent="0.25">
      <c r="A464" s="23" t="s">
        <v>735</v>
      </c>
      <c r="B464" s="37" t="str">
        <f>INDEX(Product!$B:$B,MATCH($A464,Product!$A:$A,0))</f>
        <v>[Abbott] Máy đo đường huyết liên tục - FreeStyle Libre 2</v>
      </c>
      <c r="C464" s="37" t="str">
        <f>INDEX(Product!$D:$D,MATCH($A464,Product!$A:$A,0))</f>
        <v>Hệ thống đo đường huyết liên tục (CGM)</v>
      </c>
      <c r="D464" s="23" t="s">
        <v>2467</v>
      </c>
      <c r="E464" s="37" t="str">
        <f>INDEX('Attribute Definition'!$B:$B,MATCH($D464,'Attribute Definition'!$A:$A,0))</f>
        <v>Chỉ số đo</v>
      </c>
      <c r="F464" s="38" t="s">
        <v>2657</v>
      </c>
      <c r="G464" s="39" t="str" cm="1">
        <f t="array" ref="G464">_xlfn.TEXTJOIN("; ",TRUE,_xlfn.UNIQUE(_xlfn._xlws.FILTER('Product Variant Attribute'!$F$2:$F$3000,('Product Variant Attribute'!$B$2:$B$3000=$A464)*('Product Variant Attribute'!$D$2:$D$3000=$D464),"")))</f>
        <v>Đường huyết</v>
      </c>
      <c r="H464" s="39"/>
      <c r="I464" s="39"/>
      <c r="J464" s="39" t="str" cm="1">
        <f t="array" ref="J464">IF($I464="","",_xlfn.TEXTJOIN("; ",TRUE,_xlfn.UNIQUE(_xlfn._xlws.FILTER($A$2:$A$3000,($C$2:$C$3000=$C464)*($E$2:$E$3000=$E464)*($G$2:$G$3000&lt;&gt;$G464)*($G$2:$G$3000&lt;&gt;""),""))))</f>
        <v/>
      </c>
    </row>
    <row r="465" spans="1:10" x14ac:dyDescent="0.25">
      <c r="A465" s="23" t="s">
        <v>735</v>
      </c>
      <c r="B465" s="37" t="str">
        <f>INDEX(Product!$B:$B,MATCH($A465,Product!$A:$A,0))</f>
        <v>[Abbott] Máy đo đường huyết liên tục - FreeStyle Libre 2</v>
      </c>
      <c r="C465" s="37" t="str">
        <f>INDEX(Product!$D:$D,MATCH($A465,Product!$A:$A,0))</f>
        <v>Hệ thống đo đường huyết liên tục (CGM)</v>
      </c>
      <c r="D465" s="23" t="s">
        <v>2471</v>
      </c>
      <c r="E465" s="37" t="str">
        <f>INDEX('Attribute Definition'!$B:$B,MATCH($D465,'Attribute Definition'!$A:$A,0))</f>
        <v>Dạng sản phẩm</v>
      </c>
      <c r="F465" s="38" t="s">
        <v>2657</v>
      </c>
      <c r="G465" s="39" t="str" cm="1">
        <f t="array" ref="G465">_xlfn.TEXTJOIN("; ",TRUE,_xlfn.UNIQUE(_xlfn._xlws.FILTER('Product Variant Attribute'!$F$2:$F$3000,('Product Variant Attribute'!$B$2:$B$3000=$A465)*('Product Variant Attribute'!$D$2:$D$3000=$D465),"")))</f>
        <v>Máy / thiết bị điện tử</v>
      </c>
      <c r="H465" s="39"/>
      <c r="I465" s="39"/>
      <c r="J465" s="39" t="str" cm="1">
        <f t="array" ref="J465">IF($I465="","",_xlfn.TEXTJOIN("; ",TRUE,_xlfn.UNIQUE(_xlfn._xlws.FILTER($A$2:$A$3000,($C$2:$C$3000=$C465)*($E$2:$E$3000=$E465)*($G$2:$G$3000&lt;&gt;$G465)*($G$2:$G$3000&lt;&gt;""),""))))</f>
        <v/>
      </c>
    </row>
    <row r="466" spans="1:10" ht="30" x14ac:dyDescent="0.25">
      <c r="A466" s="23" t="s">
        <v>736</v>
      </c>
      <c r="B466" s="37" t="str">
        <f>INDEX(Product!$B:$B,MATCH($A466,Product!$A:$A,0))</f>
        <v>[Acon] Máy đo đường huyết - On Call Plus</v>
      </c>
      <c r="C466" s="37" t="str">
        <f>INDEX(Product!$D:$D,MATCH($A466,Product!$A:$A,0))</f>
        <v>Máy đo đường huyết</v>
      </c>
      <c r="D466" s="23" t="s">
        <v>2467</v>
      </c>
      <c r="E466" s="37" t="str">
        <f>INDEX('Attribute Definition'!$B:$B,MATCH($D466,'Attribute Definition'!$A:$A,0))</f>
        <v>Chỉ số đo</v>
      </c>
      <c r="F466" s="38" t="s">
        <v>2657</v>
      </c>
      <c r="G466" s="39" t="str" cm="1">
        <f t="array" ref="G466">_xlfn.TEXTJOIN("; ",TRUE,_xlfn.UNIQUE(_xlfn._xlws.FILTER('Product Variant Attribute'!$F$2:$F$3000,('Product Variant Attribute'!$B$2:$B$3000=$A466)*('Product Variant Attribute'!$D$2:$D$3000=$D466),"")))</f>
        <v>Đường huyết</v>
      </c>
      <c r="H466" s="39"/>
      <c r="I466" s="39" t="s">
        <v>2750</v>
      </c>
      <c r="J466" s="39" t="str" cm="1">
        <f t="array" ref="J466">IF($I466="","",_xlfn.TEXTJOIN("; ",TRUE,_xlfn.UNIQUE(_xlfn._xlws.FILTER($A$2:$A$3000,($C$2:$C$3000=$C466)*($E$2:$E$3000=$E466)*($G$2:$G$3000&lt;&gt;$G466)*($G$2:$G$3000&lt;&gt;""),""))))</f>
        <v>PRODUCT-00180</v>
      </c>
    </row>
    <row r="467" spans="1:10" x14ac:dyDescent="0.25">
      <c r="A467" s="23" t="s">
        <v>736</v>
      </c>
      <c r="B467" s="37" t="str">
        <f>INDEX(Product!$B:$B,MATCH($A467,Product!$A:$A,0))</f>
        <v>[Acon] Máy đo đường huyết - On Call Plus</v>
      </c>
      <c r="C467" s="37" t="str">
        <f>INDEX(Product!$D:$D,MATCH($A467,Product!$A:$A,0))</f>
        <v>Máy đo đường huyết</v>
      </c>
      <c r="D467" s="23" t="s">
        <v>2471</v>
      </c>
      <c r="E467" s="37" t="str">
        <f>INDEX('Attribute Definition'!$B:$B,MATCH($D467,'Attribute Definition'!$A:$A,0))</f>
        <v>Dạng sản phẩm</v>
      </c>
      <c r="F467" s="38" t="s">
        <v>2657</v>
      </c>
      <c r="G467" s="39" t="str" cm="1">
        <f t="array" ref="G467">_xlfn.TEXTJOIN("; ",TRUE,_xlfn.UNIQUE(_xlfn._xlws.FILTER('Product Variant Attribute'!$F$2:$F$3000,('Product Variant Attribute'!$B$2:$B$3000=$A467)*('Product Variant Attribute'!$D$2:$D$3000=$D467),"")))</f>
        <v>Máy / thiết bị điện tử</v>
      </c>
      <c r="H467" s="39"/>
      <c r="I467" s="39"/>
      <c r="J467" s="39" t="str" cm="1">
        <f t="array" ref="J467">IF($I467="","",_xlfn.TEXTJOIN("; ",TRUE,_xlfn.UNIQUE(_xlfn._xlws.FILTER($A$2:$A$3000,($C$2:$C$3000=$C467)*($E$2:$E$3000=$E467)*($G$2:$G$3000&lt;&gt;$G467)*($G$2:$G$3000&lt;&gt;""),""))))</f>
        <v/>
      </c>
    </row>
    <row r="468" spans="1:10" x14ac:dyDescent="0.25">
      <c r="A468" s="23" t="s">
        <v>737</v>
      </c>
      <c r="B468" s="37" t="str">
        <f>INDEX(Product!$B:$B,MATCH($A468,Product!$A:$A,0))</f>
        <v>[Acon] Que thử đường huyết - On Call Plus</v>
      </c>
      <c r="C468" s="37" t="str">
        <f>INDEX(Product!$D:$D,MATCH($A468,Product!$A:$A,0))</f>
        <v>Que thử</v>
      </c>
      <c r="D468" s="23" t="s">
        <v>2467</v>
      </c>
      <c r="E468" s="37" t="str">
        <f>INDEX('Attribute Definition'!$B:$B,MATCH($D468,'Attribute Definition'!$A:$A,0))</f>
        <v>Chỉ số đo</v>
      </c>
      <c r="F468" s="38" t="s">
        <v>2657</v>
      </c>
      <c r="G468" s="39" t="str" cm="1">
        <f t="array" ref="G468">_xlfn.TEXTJOIN("; ",TRUE,_xlfn.UNIQUE(_xlfn._xlws.FILTER('Product Variant Attribute'!$F$2:$F$3000,('Product Variant Attribute'!$B$2:$B$3000=$A468)*('Product Variant Attribute'!$D$2:$D$3000=$D468),"")))</f>
        <v>Đường huyết</v>
      </c>
      <c r="H468" s="39"/>
      <c r="I468" s="39"/>
      <c r="J468" s="39" t="str" cm="1">
        <f t="array" ref="J468">IF($I468="","",_xlfn.TEXTJOIN("; ",TRUE,_xlfn.UNIQUE(_xlfn._xlws.FILTER($A$2:$A$3000,($C$2:$C$3000=$C468)*($E$2:$E$3000=$E468)*($G$2:$G$3000&lt;&gt;$G468)*($G$2:$G$3000&lt;&gt;""),""))))</f>
        <v/>
      </c>
    </row>
    <row r="469" spans="1:10" x14ac:dyDescent="0.25">
      <c r="A469" s="23" t="s">
        <v>737</v>
      </c>
      <c r="B469" s="37" t="str">
        <f>INDEX(Product!$B:$B,MATCH($A469,Product!$A:$A,0))</f>
        <v>[Acon] Que thử đường huyết - On Call Plus</v>
      </c>
      <c r="C469" s="37" t="str">
        <f>INDEX(Product!$D:$D,MATCH($A469,Product!$A:$A,0))</f>
        <v>Que thử</v>
      </c>
      <c r="D469" s="23" t="s">
        <v>2471</v>
      </c>
      <c r="E469" s="37" t="str">
        <f>INDEX('Attribute Definition'!$B:$B,MATCH($D469,'Attribute Definition'!$A:$A,0))</f>
        <v>Dạng sản phẩm</v>
      </c>
      <c r="F469" s="38" t="s">
        <v>2657</v>
      </c>
      <c r="G469" s="39" t="str" cm="1">
        <f t="array" ref="G469">_xlfn.TEXTJOIN("; ",TRUE,_xlfn.UNIQUE(_xlfn._xlws.FILTER('Product Variant Attribute'!$F$2:$F$3000,('Product Variant Attribute'!$B$2:$B$3000=$A469)*('Product Variant Attribute'!$D$2:$D$3000=$D469),"")))</f>
        <v>Que thử</v>
      </c>
      <c r="H469" s="39"/>
      <c r="I469" s="39"/>
      <c r="J469" s="39" t="str" cm="1">
        <f t="array" ref="J469">IF($I469="","",_xlfn.TEXTJOIN("; ",TRUE,_xlfn.UNIQUE(_xlfn._xlws.FILTER($A$2:$A$3000,($C$2:$C$3000=$C469)*($E$2:$E$3000=$E469)*($G$2:$G$3000&lt;&gt;$G469)*($G$2:$G$3000&lt;&gt;""),""))))</f>
        <v/>
      </c>
    </row>
    <row r="470" spans="1:10" x14ac:dyDescent="0.25">
      <c r="A470" s="23" t="s">
        <v>738</v>
      </c>
      <c r="B470" s="37" t="str">
        <f>INDEX(Product!$B:$B,MATCH($A470,Product!$A:$A,0))</f>
        <v>[iMedicare] Máy đo huyết áp bắp tay - iBPM-6S</v>
      </c>
      <c r="C470" s="37" t="str">
        <f>INDEX(Product!$D:$D,MATCH($A470,Product!$A:$A,0))</f>
        <v>Máy đo huyết áp</v>
      </c>
      <c r="D470" s="23" t="s">
        <v>2439</v>
      </c>
      <c r="E470" s="37" t="str">
        <f>INDEX('Attribute Definition'!$B:$B,MATCH($D470,'Attribute Definition'!$A:$A,0))</f>
        <v>Vị trí sử dụng trên cơ thể</v>
      </c>
      <c r="F470" s="38" t="s">
        <v>2657</v>
      </c>
      <c r="G470" s="39" t="str" cm="1">
        <f t="array" ref="G470">_xlfn.TEXTJOIN("; ",TRUE,_xlfn.UNIQUE(_xlfn._xlws.FILTER('Product Variant Attribute'!$F$2:$F$3000,('Product Variant Attribute'!$B$2:$B$3000=$A470)*('Product Variant Attribute'!$D$2:$D$3000=$D470),"")))</f>
        <v>Bắp tay</v>
      </c>
      <c r="H470" s="39"/>
      <c r="I470" s="39"/>
      <c r="J470" s="39" t="str" cm="1">
        <f t="array" ref="J470">IF($I470="","",_xlfn.TEXTJOIN("; ",TRUE,_xlfn.UNIQUE(_xlfn._xlws.FILTER($A$2:$A$3000,($C$2:$C$3000=$C470)*($E$2:$E$3000=$E470)*($G$2:$G$3000&lt;&gt;$G470)*($G$2:$G$3000&lt;&gt;""),""))))</f>
        <v/>
      </c>
    </row>
    <row r="471" spans="1:10" x14ac:dyDescent="0.25">
      <c r="A471" s="23" t="s">
        <v>738</v>
      </c>
      <c r="B471" s="37" t="str">
        <f>INDEX(Product!$B:$B,MATCH($A471,Product!$A:$A,0))</f>
        <v>[iMedicare] Máy đo huyết áp bắp tay - iBPM-6S</v>
      </c>
      <c r="C471" s="37" t="str">
        <f>INDEX(Product!$D:$D,MATCH($A471,Product!$A:$A,0))</f>
        <v>Máy đo huyết áp</v>
      </c>
      <c r="D471" s="23" t="s">
        <v>2467</v>
      </c>
      <c r="E471" s="37" t="str">
        <f>INDEX('Attribute Definition'!$B:$B,MATCH($D471,'Attribute Definition'!$A:$A,0))</f>
        <v>Chỉ số đo</v>
      </c>
      <c r="F471" s="38" t="s">
        <v>2657</v>
      </c>
      <c r="G471" s="39" t="str" cm="1">
        <f t="array" ref="G471">_xlfn.TEXTJOIN("; ",TRUE,_xlfn.UNIQUE(_xlfn._xlws.FILTER('Product Variant Attribute'!$F$2:$F$3000,('Product Variant Attribute'!$B$2:$B$3000=$A471)*('Product Variant Attribute'!$D$2:$D$3000=$D471),"")))</f>
        <v>Huyết áp, Nhịp tim</v>
      </c>
      <c r="H471" s="39"/>
      <c r="I471" s="39"/>
      <c r="J471" s="39" t="str" cm="1">
        <f t="array" ref="J471">IF($I471="","",_xlfn.TEXTJOIN("; ",TRUE,_xlfn.UNIQUE(_xlfn._xlws.FILTER($A$2:$A$3000,($C$2:$C$3000=$C471)*($E$2:$E$3000=$E471)*($G$2:$G$3000&lt;&gt;$G471)*($G$2:$G$3000&lt;&gt;""),""))))</f>
        <v/>
      </c>
    </row>
    <row r="472" spans="1:10" x14ac:dyDescent="0.25">
      <c r="A472" s="23" t="s">
        <v>738</v>
      </c>
      <c r="B472" s="37" t="str">
        <f>INDEX(Product!$B:$B,MATCH($A472,Product!$A:$A,0))</f>
        <v>[iMedicare] Máy đo huyết áp bắp tay - iBPM-6S</v>
      </c>
      <c r="C472" s="37" t="str">
        <f>INDEX(Product!$D:$D,MATCH($A472,Product!$A:$A,0))</f>
        <v>Máy đo huyết áp</v>
      </c>
      <c r="D472" s="23" t="s">
        <v>2471</v>
      </c>
      <c r="E472" s="37" t="str">
        <f>INDEX('Attribute Definition'!$B:$B,MATCH($D472,'Attribute Definition'!$A:$A,0))</f>
        <v>Dạng sản phẩm</v>
      </c>
      <c r="F472" s="38" t="s">
        <v>2657</v>
      </c>
      <c r="G472" s="39" t="str" cm="1">
        <f t="array" ref="G472">_xlfn.TEXTJOIN("; ",TRUE,_xlfn.UNIQUE(_xlfn._xlws.FILTER('Product Variant Attribute'!$F$2:$F$3000,('Product Variant Attribute'!$B$2:$B$3000=$A472)*('Product Variant Attribute'!$D$2:$D$3000=$D472),"")))</f>
        <v>Máy / thiết bị điện tử</v>
      </c>
      <c r="H472" s="39"/>
      <c r="I472" s="39"/>
      <c r="J472" s="39" t="str" cm="1">
        <f t="array" ref="J472">IF($I472="","",_xlfn.TEXTJOIN("; ",TRUE,_xlfn.UNIQUE(_xlfn._xlws.FILTER($A$2:$A$3000,($C$2:$C$3000=$C472)*($E$2:$E$3000=$E472)*($G$2:$G$3000&lt;&gt;$G472)*($G$2:$G$3000&lt;&gt;""),""))))</f>
        <v/>
      </c>
    </row>
    <row r="473" spans="1:10" x14ac:dyDescent="0.25">
      <c r="A473" s="23" t="s">
        <v>739</v>
      </c>
      <c r="B473" s="37" t="str">
        <f>INDEX(Product!$B:$B,MATCH($A473,Product!$A:$A,0))</f>
        <v>[iMedicare] Máy đo SPO2 - iOM-A6</v>
      </c>
      <c r="C473" s="37" t="str">
        <f>INDEX(Product!$D:$D,MATCH($A473,Product!$A:$A,0))</f>
        <v>Máy đo SpO2</v>
      </c>
      <c r="D473" s="23" t="s">
        <v>2467</v>
      </c>
      <c r="E473" s="37" t="str">
        <f>INDEX('Attribute Definition'!$B:$B,MATCH($D473,'Attribute Definition'!$A:$A,0))</f>
        <v>Chỉ số đo</v>
      </c>
      <c r="F473" s="38" t="s">
        <v>2657</v>
      </c>
      <c r="G473" s="39" t="str" cm="1">
        <f t="array" ref="G473">_xlfn.TEXTJOIN("; ",TRUE,_xlfn.UNIQUE(_xlfn._xlws.FILTER('Product Variant Attribute'!$F$2:$F$3000,('Product Variant Attribute'!$B$2:$B$3000=$A473)*('Product Variant Attribute'!$D$2:$D$3000=$D473),"")))</f>
        <v>SpO2, Nhịp tim</v>
      </c>
      <c r="H473" s="39"/>
      <c r="I473" s="39"/>
      <c r="J473" s="39" t="str" cm="1">
        <f t="array" ref="J473">IF($I473="","",_xlfn.TEXTJOIN("; ",TRUE,_xlfn.UNIQUE(_xlfn._xlws.FILTER($A$2:$A$3000,($C$2:$C$3000=$C473)*($E$2:$E$3000=$E473)*($G$2:$G$3000&lt;&gt;$G473)*($G$2:$G$3000&lt;&gt;""),""))))</f>
        <v/>
      </c>
    </row>
    <row r="474" spans="1:10" x14ac:dyDescent="0.25">
      <c r="A474" s="23" t="s">
        <v>739</v>
      </c>
      <c r="B474" s="37" t="str">
        <f>INDEX(Product!$B:$B,MATCH($A474,Product!$A:$A,0))</f>
        <v>[iMedicare] Máy đo SPO2 - iOM-A6</v>
      </c>
      <c r="C474" s="37" t="str">
        <f>INDEX(Product!$D:$D,MATCH($A474,Product!$A:$A,0))</f>
        <v>Máy đo SpO2</v>
      </c>
      <c r="D474" s="23" t="s">
        <v>2471</v>
      </c>
      <c r="E474" s="37" t="str">
        <f>INDEX('Attribute Definition'!$B:$B,MATCH($D474,'Attribute Definition'!$A:$A,0))</f>
        <v>Dạng sản phẩm</v>
      </c>
      <c r="F474" s="38" t="s">
        <v>2657</v>
      </c>
      <c r="G474" s="39" t="str" cm="1">
        <f t="array" ref="G474">_xlfn.TEXTJOIN("; ",TRUE,_xlfn.UNIQUE(_xlfn._xlws.FILTER('Product Variant Attribute'!$F$2:$F$3000,('Product Variant Attribute'!$B$2:$B$3000=$A474)*('Product Variant Attribute'!$D$2:$D$3000=$D474),"")))</f>
        <v>Máy / thiết bị điện tử</v>
      </c>
      <c r="H474" s="39"/>
      <c r="I474" s="39"/>
      <c r="J474" s="39" t="str" cm="1">
        <f t="array" ref="J474">IF($I474="","",_xlfn.TEXTJOIN("; ",TRUE,_xlfn.UNIQUE(_xlfn._xlws.FILTER($A$2:$A$3000,($C$2:$C$3000=$C474)*($E$2:$E$3000=$E474)*($G$2:$G$3000&lt;&gt;$G474)*($G$2:$G$3000&lt;&gt;""),""))))</f>
        <v/>
      </c>
    </row>
    <row r="475" spans="1:10" x14ac:dyDescent="0.25">
      <c r="A475" s="23" t="s">
        <v>740</v>
      </c>
      <c r="B475" s="37" t="str">
        <f>INDEX(Product!$B:$B,MATCH($A475,Product!$A:$A,0))</f>
        <v>[iMedicare] Nhiệt kế hồng ngoại - iTM-32A</v>
      </c>
      <c r="C475" s="37" t="str">
        <f>INDEX(Product!$D:$D,MATCH($A475,Product!$A:$A,0))</f>
        <v>Nhiệt kế điện tử</v>
      </c>
      <c r="D475" s="23" t="s">
        <v>2467</v>
      </c>
      <c r="E475" s="37" t="str">
        <f>INDEX('Attribute Definition'!$B:$B,MATCH($D475,'Attribute Definition'!$A:$A,0))</f>
        <v>Chỉ số đo</v>
      </c>
      <c r="F475" s="38" t="s">
        <v>2657</v>
      </c>
      <c r="G475" s="39" t="str" cm="1">
        <f t="array" ref="G475">_xlfn.TEXTJOIN("; ",TRUE,_xlfn.UNIQUE(_xlfn._xlws.FILTER('Product Variant Attribute'!$F$2:$F$3000,('Product Variant Attribute'!$B$2:$B$3000=$A475)*('Product Variant Attribute'!$D$2:$D$3000=$D475),"")))</f>
        <v>Nhiệt độ</v>
      </c>
      <c r="H475" s="39"/>
      <c r="I475" s="39"/>
      <c r="J475" s="39" t="str" cm="1">
        <f t="array" ref="J475">IF($I475="","",_xlfn.TEXTJOIN("; ",TRUE,_xlfn.UNIQUE(_xlfn._xlws.FILTER($A$2:$A$3000,($C$2:$C$3000=$C475)*($E$2:$E$3000=$E475)*($G$2:$G$3000&lt;&gt;$G475)*($G$2:$G$3000&lt;&gt;""),""))))</f>
        <v/>
      </c>
    </row>
    <row r="476" spans="1:10" x14ac:dyDescent="0.25">
      <c r="A476" s="23" t="s">
        <v>740</v>
      </c>
      <c r="B476" s="37" t="str">
        <f>INDEX(Product!$B:$B,MATCH($A476,Product!$A:$A,0))</f>
        <v>[iMedicare] Nhiệt kế hồng ngoại - iTM-32A</v>
      </c>
      <c r="C476" s="37" t="str">
        <f>INDEX(Product!$D:$D,MATCH($A476,Product!$A:$A,0))</f>
        <v>Nhiệt kế điện tử</v>
      </c>
      <c r="D476" s="23" t="s">
        <v>2471</v>
      </c>
      <c r="E476" s="37" t="str">
        <f>INDEX('Attribute Definition'!$B:$B,MATCH($D476,'Attribute Definition'!$A:$A,0))</f>
        <v>Dạng sản phẩm</v>
      </c>
      <c r="F476" s="38" t="s">
        <v>2657</v>
      </c>
      <c r="G476" s="39" t="str" cm="1">
        <f t="array" ref="G476">_xlfn.TEXTJOIN("; ",TRUE,_xlfn.UNIQUE(_xlfn._xlws.FILTER('Product Variant Attribute'!$F$2:$F$3000,('Product Variant Attribute'!$B$2:$B$3000=$A476)*('Product Variant Attribute'!$D$2:$D$3000=$D476),"")))</f>
        <v>Máy / thiết bị điện tử</v>
      </c>
      <c r="H476" s="39"/>
      <c r="I476" s="39"/>
      <c r="J476" s="39" t="str" cm="1">
        <f t="array" ref="J476">IF($I476="","",_xlfn.TEXTJOIN("; ",TRUE,_xlfn.UNIQUE(_xlfn._xlws.FILTER($A$2:$A$3000,($C$2:$C$3000=$C476)*($E$2:$E$3000=$E476)*($G$2:$G$3000&lt;&gt;$G476)*($G$2:$G$3000&lt;&gt;""),""))))</f>
        <v/>
      </c>
    </row>
    <row r="477" spans="1:10" ht="45" x14ac:dyDescent="0.25">
      <c r="A477" s="23" t="s">
        <v>741</v>
      </c>
      <c r="B477" s="37" t="str">
        <f>INDEX(Product!$B:$B,MATCH($A477,Product!$A:$A,0))</f>
        <v>[IN4 Care] Máy đo đường huyết, mỡ máu, gút 3 trong 1 - GlucoAlpha</v>
      </c>
      <c r="C477" s="37" t="str">
        <f>INDEX(Product!$D:$D,MATCH($A477,Product!$A:$A,0))</f>
        <v>Máy đo đường huyết</v>
      </c>
      <c r="D477" s="23" t="s">
        <v>2467</v>
      </c>
      <c r="E477" s="37" t="str">
        <f>INDEX('Attribute Definition'!$B:$B,MATCH($D477,'Attribute Definition'!$A:$A,0))</f>
        <v>Chỉ số đo</v>
      </c>
      <c r="F477" s="38" t="s">
        <v>2657</v>
      </c>
      <c r="G477" s="39" t="str" cm="1">
        <f t="array" ref="G477">_xlfn.TEXTJOIN("; ",TRUE,_xlfn.UNIQUE(_xlfn._xlws.FILTER('Product Variant Attribute'!$F$2:$F$3000,('Product Variant Attribute'!$B$2:$B$3000=$A477)*('Product Variant Attribute'!$D$2:$D$3000=$D477),"")))</f>
        <v>Đường huyết, Cholesterol, Axit uric</v>
      </c>
      <c r="H477" s="39"/>
      <c r="I477" s="39" t="s">
        <v>2751</v>
      </c>
      <c r="J477" s="39" t="str" cm="1">
        <f t="array" ref="J477">IF($I477="","",_xlfn.TEXTJOIN("; ",TRUE,_xlfn.UNIQUE(_xlfn._xlws.FILTER($A$2:$A$3000,($C$2:$C$3000=$C477)*($E$2:$E$3000=$E477)*($G$2:$G$3000&lt;&gt;$G477)*($G$2:$G$3000&lt;&gt;""),""))))</f>
        <v>PRODUCT-00175; PRODUCT-00202; PRODUCT-00205</v>
      </c>
    </row>
    <row r="478" spans="1:10" x14ac:dyDescent="0.25">
      <c r="A478" s="23" t="s">
        <v>741</v>
      </c>
      <c r="B478" s="37" t="str">
        <f>INDEX(Product!$B:$B,MATCH($A478,Product!$A:$A,0))</f>
        <v>[IN4 Care] Máy đo đường huyết, mỡ máu, gút 3 trong 1 - GlucoAlpha</v>
      </c>
      <c r="C478" s="37" t="str">
        <f>INDEX(Product!$D:$D,MATCH($A478,Product!$A:$A,0))</f>
        <v>Máy đo đường huyết</v>
      </c>
      <c r="D478" s="23" t="s">
        <v>2471</v>
      </c>
      <c r="E478" s="37" t="str">
        <f>INDEX('Attribute Definition'!$B:$B,MATCH($D478,'Attribute Definition'!$A:$A,0))</f>
        <v>Dạng sản phẩm</v>
      </c>
      <c r="F478" s="38" t="s">
        <v>2657</v>
      </c>
      <c r="G478" s="39" t="str" cm="1">
        <f t="array" ref="G478">_xlfn.TEXTJOIN("; ",TRUE,_xlfn.UNIQUE(_xlfn._xlws.FILTER('Product Variant Attribute'!$F$2:$F$3000,('Product Variant Attribute'!$B$2:$B$3000=$A478)*('Product Variant Attribute'!$D$2:$D$3000=$D478),"")))</f>
        <v>Máy / thiết bị điện tử</v>
      </c>
      <c r="H478" s="39"/>
      <c r="I478" s="39"/>
      <c r="J478" s="39" t="str" cm="1">
        <f t="array" ref="J478">IF($I478="","",_xlfn.TEXTJOIN("; ",TRUE,_xlfn.UNIQUE(_xlfn._xlws.FILTER($A$2:$A$3000,($C$2:$C$3000=$C478)*($E$2:$E$3000=$E478)*($G$2:$G$3000&lt;&gt;$G478)*($G$2:$G$3000&lt;&gt;""),""))))</f>
        <v/>
      </c>
    </row>
    <row r="479" spans="1:10" x14ac:dyDescent="0.25">
      <c r="A479" s="23" t="s">
        <v>742</v>
      </c>
      <c r="B479" s="37" t="str">
        <f>INDEX(Product!$B:$B,MATCH($A479,Product!$A:$A,0))</f>
        <v>[IN4 Care] Que thử axit uric (gút) cho máy 3 trong 1 - GlucoAlpha</v>
      </c>
      <c r="C479" s="37" t="str">
        <f>INDEX(Product!$D:$D,MATCH($A479,Product!$A:$A,0))</f>
        <v>Que thử</v>
      </c>
      <c r="D479" s="23" t="s">
        <v>2467</v>
      </c>
      <c r="E479" s="37" t="str">
        <f>INDEX('Attribute Definition'!$B:$B,MATCH($D479,'Attribute Definition'!$A:$A,0))</f>
        <v>Chỉ số đo</v>
      </c>
      <c r="F479" s="38" t="s">
        <v>2657</v>
      </c>
      <c r="G479" s="39" t="str" cm="1">
        <f t="array" ref="G479">_xlfn.TEXTJOIN("; ",TRUE,_xlfn.UNIQUE(_xlfn._xlws.FILTER('Product Variant Attribute'!$F$2:$F$3000,('Product Variant Attribute'!$B$2:$B$3000=$A479)*('Product Variant Attribute'!$D$2:$D$3000=$D479),"")))</f>
        <v>Axit uric</v>
      </c>
      <c r="H479" s="39"/>
      <c r="I479" s="39"/>
      <c r="J479" s="39" t="str" cm="1">
        <f t="array" ref="J479">IF($I479="","",_xlfn.TEXTJOIN("; ",TRUE,_xlfn.UNIQUE(_xlfn._xlws.FILTER($A$2:$A$3000,($C$2:$C$3000=$C479)*($E$2:$E$3000=$E479)*($G$2:$G$3000&lt;&gt;$G479)*($G$2:$G$3000&lt;&gt;""),""))))</f>
        <v/>
      </c>
    </row>
    <row r="480" spans="1:10" x14ac:dyDescent="0.25">
      <c r="A480" s="23" t="s">
        <v>742</v>
      </c>
      <c r="B480" s="37" t="str">
        <f>INDEX(Product!$B:$B,MATCH($A480,Product!$A:$A,0))</f>
        <v>[IN4 Care] Que thử axit uric (gút) cho máy 3 trong 1 - GlucoAlpha</v>
      </c>
      <c r="C480" s="37" t="str">
        <f>INDEX(Product!$D:$D,MATCH($A480,Product!$A:$A,0))</f>
        <v>Que thử</v>
      </c>
      <c r="D480" s="23" t="s">
        <v>2471</v>
      </c>
      <c r="E480" s="37" t="str">
        <f>INDEX('Attribute Definition'!$B:$B,MATCH($D480,'Attribute Definition'!$A:$A,0))</f>
        <v>Dạng sản phẩm</v>
      </c>
      <c r="F480" s="38" t="s">
        <v>2657</v>
      </c>
      <c r="G480" s="39" t="str" cm="1">
        <f t="array" ref="G480">_xlfn.TEXTJOIN("; ",TRUE,_xlfn.UNIQUE(_xlfn._xlws.FILTER('Product Variant Attribute'!$F$2:$F$3000,('Product Variant Attribute'!$B$2:$B$3000=$A480)*('Product Variant Attribute'!$D$2:$D$3000=$D480),"")))</f>
        <v>Que thử</v>
      </c>
      <c r="H480" s="39"/>
      <c r="I480" s="39"/>
      <c r="J480" s="39" t="str" cm="1">
        <f t="array" ref="J480">IF($I480="","",_xlfn.TEXTJOIN("; ",TRUE,_xlfn.UNIQUE(_xlfn._xlws.FILTER($A$2:$A$3000,($C$2:$C$3000=$C480)*($E$2:$E$3000=$E480)*($G$2:$G$3000&lt;&gt;$G480)*($G$2:$G$3000&lt;&gt;""),""))))</f>
        <v/>
      </c>
    </row>
    <row r="481" spans="1:10" x14ac:dyDescent="0.25">
      <c r="A481" s="23" t="s">
        <v>743</v>
      </c>
      <c r="B481" s="37" t="str">
        <f>INDEX(Product!$B:$B,MATCH($A481,Product!$A:$A,0))</f>
        <v>[IN4 Care] Que thử cholesterol cho máy 3 trong 1 - GlucoAlpha</v>
      </c>
      <c r="C481" s="37" t="str">
        <f>INDEX(Product!$D:$D,MATCH($A481,Product!$A:$A,0))</f>
        <v>Que thử</v>
      </c>
      <c r="D481" s="23" t="s">
        <v>2467</v>
      </c>
      <c r="E481" s="37" t="str">
        <f>INDEX('Attribute Definition'!$B:$B,MATCH($D481,'Attribute Definition'!$A:$A,0))</f>
        <v>Chỉ số đo</v>
      </c>
      <c r="F481" s="38" t="s">
        <v>2657</v>
      </c>
      <c r="G481" s="39" t="str" cm="1">
        <f t="array" ref="G481">_xlfn.TEXTJOIN("; ",TRUE,_xlfn.UNIQUE(_xlfn._xlws.FILTER('Product Variant Attribute'!$F$2:$F$3000,('Product Variant Attribute'!$B$2:$B$3000=$A481)*('Product Variant Attribute'!$D$2:$D$3000=$D481),"")))</f>
        <v>Cholesterol</v>
      </c>
      <c r="H481" s="39"/>
      <c r="I481" s="39"/>
      <c r="J481" s="39" t="str" cm="1">
        <f t="array" ref="J481">IF($I481="","",_xlfn.TEXTJOIN("; ",TRUE,_xlfn.UNIQUE(_xlfn._xlws.FILTER($A$2:$A$3000,($C$2:$C$3000=$C481)*($E$2:$E$3000=$E481)*($G$2:$G$3000&lt;&gt;$G481)*($G$2:$G$3000&lt;&gt;""),""))))</f>
        <v/>
      </c>
    </row>
    <row r="482" spans="1:10" x14ac:dyDescent="0.25">
      <c r="A482" s="23" t="s">
        <v>743</v>
      </c>
      <c r="B482" s="37" t="str">
        <f>INDEX(Product!$B:$B,MATCH($A482,Product!$A:$A,0))</f>
        <v>[IN4 Care] Que thử cholesterol cho máy 3 trong 1 - GlucoAlpha</v>
      </c>
      <c r="C482" s="37" t="str">
        <f>INDEX(Product!$D:$D,MATCH($A482,Product!$A:$A,0))</f>
        <v>Que thử</v>
      </c>
      <c r="D482" s="23" t="s">
        <v>2471</v>
      </c>
      <c r="E482" s="37" t="str">
        <f>INDEX('Attribute Definition'!$B:$B,MATCH($D482,'Attribute Definition'!$A:$A,0))</f>
        <v>Dạng sản phẩm</v>
      </c>
      <c r="F482" s="38" t="s">
        <v>2657</v>
      </c>
      <c r="G482" s="39" t="str" cm="1">
        <f t="array" ref="G482">_xlfn.TEXTJOIN("; ",TRUE,_xlfn.UNIQUE(_xlfn._xlws.FILTER('Product Variant Attribute'!$F$2:$F$3000,('Product Variant Attribute'!$B$2:$B$3000=$A482)*('Product Variant Attribute'!$D$2:$D$3000=$D482),"")))</f>
        <v>Que thử</v>
      </c>
      <c r="H482" s="39"/>
      <c r="I482" s="39"/>
      <c r="J482" s="39" t="str" cm="1">
        <f t="array" ref="J482">IF($I482="","",_xlfn.TEXTJOIN("; ",TRUE,_xlfn.UNIQUE(_xlfn._xlws.FILTER($A$2:$A$3000,($C$2:$C$3000=$C482)*($E$2:$E$3000=$E482)*($G$2:$G$3000&lt;&gt;$G482)*($G$2:$G$3000&lt;&gt;""),""))))</f>
        <v/>
      </c>
    </row>
    <row r="483" spans="1:10" x14ac:dyDescent="0.25">
      <c r="A483" s="23" t="s">
        <v>744</v>
      </c>
      <c r="B483" s="37" t="str">
        <f>INDEX(Product!$B:$B,MATCH($A483,Product!$A:$A,0))</f>
        <v>[IN4 Care] Que thử đường huyết cho máy 3 trong 1 - GlucoAlpha</v>
      </c>
      <c r="C483" s="37" t="str">
        <f>INDEX(Product!$D:$D,MATCH($A483,Product!$A:$A,0))</f>
        <v>Que thử</v>
      </c>
      <c r="D483" s="23" t="s">
        <v>2467</v>
      </c>
      <c r="E483" s="37" t="str">
        <f>INDEX('Attribute Definition'!$B:$B,MATCH($D483,'Attribute Definition'!$A:$A,0))</f>
        <v>Chỉ số đo</v>
      </c>
      <c r="F483" s="38" t="s">
        <v>2657</v>
      </c>
      <c r="G483" s="39" t="str" cm="1">
        <f t="array" ref="G483">_xlfn.TEXTJOIN("; ",TRUE,_xlfn.UNIQUE(_xlfn._xlws.FILTER('Product Variant Attribute'!$F$2:$F$3000,('Product Variant Attribute'!$B$2:$B$3000=$A483)*('Product Variant Attribute'!$D$2:$D$3000=$D483),"")))</f>
        <v>Đường huyết</v>
      </c>
      <c r="H483" s="39"/>
      <c r="I483" s="39"/>
      <c r="J483" s="39" t="str" cm="1">
        <f t="array" ref="J483">IF($I483="","",_xlfn.TEXTJOIN("; ",TRUE,_xlfn.UNIQUE(_xlfn._xlws.FILTER($A$2:$A$3000,($C$2:$C$3000=$C483)*($E$2:$E$3000=$E483)*($G$2:$G$3000&lt;&gt;$G483)*($G$2:$G$3000&lt;&gt;""),""))))</f>
        <v/>
      </c>
    </row>
    <row r="484" spans="1:10" x14ac:dyDescent="0.25">
      <c r="A484" s="23" t="s">
        <v>744</v>
      </c>
      <c r="B484" s="37" t="str">
        <f>INDEX(Product!$B:$B,MATCH($A484,Product!$A:$A,0))</f>
        <v>[IN4 Care] Que thử đường huyết cho máy 3 trong 1 - GlucoAlpha</v>
      </c>
      <c r="C484" s="37" t="str">
        <f>INDEX(Product!$D:$D,MATCH($A484,Product!$A:$A,0))</f>
        <v>Que thử</v>
      </c>
      <c r="D484" s="23" t="s">
        <v>2471</v>
      </c>
      <c r="E484" s="37" t="str">
        <f>INDEX('Attribute Definition'!$B:$B,MATCH($D484,'Attribute Definition'!$A:$A,0))</f>
        <v>Dạng sản phẩm</v>
      </c>
      <c r="F484" s="38" t="s">
        <v>2657</v>
      </c>
      <c r="G484" s="39" t="str" cm="1">
        <f t="array" ref="G484">_xlfn.TEXTJOIN("; ",TRUE,_xlfn.UNIQUE(_xlfn._xlws.FILTER('Product Variant Attribute'!$F$2:$F$3000,('Product Variant Attribute'!$B$2:$B$3000=$A484)*('Product Variant Attribute'!$D$2:$D$3000=$D484),"")))</f>
        <v>Que thử</v>
      </c>
      <c r="H484" s="39"/>
      <c r="I484" s="39"/>
      <c r="J484" s="39" t="str" cm="1">
        <f t="array" ref="J484">IF($I484="","",_xlfn.TEXTJOIN("; ",TRUE,_xlfn.UNIQUE(_xlfn._xlws.FILTER($A$2:$A$3000,($C$2:$C$3000=$C484)*($E$2:$E$3000=$E484)*($G$2:$G$3000&lt;&gt;$G484)*($G$2:$G$3000&lt;&gt;""),""))))</f>
        <v/>
      </c>
    </row>
    <row r="485" spans="1:10" x14ac:dyDescent="0.25">
      <c r="A485" s="23" t="s">
        <v>745</v>
      </c>
      <c r="B485" s="37" t="str">
        <f>INDEX(Product!$B:$B,MATCH($A485,Product!$A:$A,0))</f>
        <v>[Jumper] Máy đo nồng độ oxy trong máu và nhịp tim SPO2 - JPD-500D</v>
      </c>
      <c r="C485" s="37" t="str">
        <f>INDEX(Product!$D:$D,MATCH($A485,Product!$A:$A,0))</f>
        <v>Máy đo SpO2</v>
      </c>
      <c r="D485" s="23" t="s">
        <v>2467</v>
      </c>
      <c r="E485" s="37" t="str">
        <f>INDEX('Attribute Definition'!$B:$B,MATCH($D485,'Attribute Definition'!$A:$A,0))</f>
        <v>Chỉ số đo</v>
      </c>
      <c r="F485" s="38" t="s">
        <v>2657</v>
      </c>
      <c r="G485" s="39" t="str" cm="1">
        <f t="array" ref="G485">_xlfn.TEXTJOIN("; ",TRUE,_xlfn.UNIQUE(_xlfn._xlws.FILTER('Product Variant Attribute'!$F$2:$F$3000,('Product Variant Attribute'!$B$2:$B$3000=$A485)*('Product Variant Attribute'!$D$2:$D$3000=$D485),"")))</f>
        <v>SpO2, Nhịp tim</v>
      </c>
      <c r="H485" s="39"/>
      <c r="I485" s="39"/>
      <c r="J485" s="39" t="str" cm="1">
        <f t="array" ref="J485">IF($I485="","",_xlfn.TEXTJOIN("; ",TRUE,_xlfn.UNIQUE(_xlfn._xlws.FILTER($A$2:$A$3000,($C$2:$C$3000=$C485)*($E$2:$E$3000=$E485)*($G$2:$G$3000&lt;&gt;$G485)*($G$2:$G$3000&lt;&gt;""),""))))</f>
        <v/>
      </c>
    </row>
    <row r="486" spans="1:10" x14ac:dyDescent="0.25">
      <c r="A486" s="23" t="s">
        <v>745</v>
      </c>
      <c r="B486" s="37" t="str">
        <f>INDEX(Product!$B:$B,MATCH($A486,Product!$A:$A,0))</f>
        <v>[Jumper] Máy đo nồng độ oxy trong máu và nhịp tim SPO2 - JPD-500D</v>
      </c>
      <c r="C486" s="37" t="str">
        <f>INDEX(Product!$D:$D,MATCH($A486,Product!$A:$A,0))</f>
        <v>Máy đo SpO2</v>
      </c>
      <c r="D486" s="23" t="s">
        <v>2471</v>
      </c>
      <c r="E486" s="37" t="str">
        <f>INDEX('Attribute Definition'!$B:$B,MATCH($D486,'Attribute Definition'!$A:$A,0))</f>
        <v>Dạng sản phẩm</v>
      </c>
      <c r="F486" s="38" t="s">
        <v>2657</v>
      </c>
      <c r="G486" s="39" t="str" cm="1">
        <f t="array" ref="G486">_xlfn.TEXTJOIN("; ",TRUE,_xlfn.UNIQUE(_xlfn._xlws.FILTER('Product Variant Attribute'!$F$2:$F$3000,('Product Variant Attribute'!$B$2:$B$3000=$A486)*('Product Variant Attribute'!$D$2:$D$3000=$D486),"")))</f>
        <v>Máy / thiết bị điện tử</v>
      </c>
      <c r="H486" s="39"/>
      <c r="I486" s="39"/>
      <c r="J486" s="39" t="str" cm="1">
        <f t="array" ref="J486">IF($I486="","",_xlfn.TEXTJOIN("; ",TRUE,_xlfn.UNIQUE(_xlfn._xlws.FILTER($A$2:$A$3000,($C$2:$C$3000=$C486)*($E$2:$E$3000=$E486)*($G$2:$G$3000&lt;&gt;$G486)*($G$2:$G$3000&lt;&gt;""),""))))</f>
        <v/>
      </c>
    </row>
    <row r="487" spans="1:10" x14ac:dyDescent="0.25">
      <c r="A487" s="23" t="s">
        <v>746</v>
      </c>
      <c r="B487" s="37" t="str">
        <f>INDEX(Product!$B:$B,MATCH($A487,Product!$A:$A,0))</f>
        <v>[Jumper] Máy đo tim thai cá nhân - Cody Health JPD-100E</v>
      </c>
      <c r="C487" s="37" t="str">
        <f>INDEX(Product!$D:$D,MATCH($A487,Product!$A:$A,0))</f>
        <v>Máy đo tim thai</v>
      </c>
      <c r="D487" s="23" t="s">
        <v>2467</v>
      </c>
      <c r="E487" s="37" t="str">
        <f>INDEX('Attribute Definition'!$B:$B,MATCH($D487,'Attribute Definition'!$A:$A,0))</f>
        <v>Chỉ số đo</v>
      </c>
      <c r="F487" s="38" t="s">
        <v>2657</v>
      </c>
      <c r="G487" s="39" t="str" cm="1">
        <f t="array" ref="G487">_xlfn.TEXTJOIN("; ",TRUE,_xlfn.UNIQUE(_xlfn._xlws.FILTER('Product Variant Attribute'!$F$2:$F$3000,('Product Variant Attribute'!$B$2:$B$3000=$A487)*('Product Variant Attribute'!$D$2:$D$3000=$D487),"")))</f>
        <v>Nhịp tim thai</v>
      </c>
      <c r="H487" s="39"/>
      <c r="I487" s="39"/>
      <c r="J487" s="39" t="str" cm="1">
        <f t="array" ref="J487">IF($I487="","",_xlfn.TEXTJOIN("; ",TRUE,_xlfn.UNIQUE(_xlfn._xlws.FILTER($A$2:$A$3000,($C$2:$C$3000=$C487)*($E$2:$E$3000=$E487)*($G$2:$G$3000&lt;&gt;$G487)*($G$2:$G$3000&lt;&gt;""),""))))</f>
        <v/>
      </c>
    </row>
    <row r="488" spans="1:10" x14ac:dyDescent="0.25">
      <c r="A488" s="23" t="s">
        <v>746</v>
      </c>
      <c r="B488" s="37" t="str">
        <f>INDEX(Product!$B:$B,MATCH($A488,Product!$A:$A,0))</f>
        <v>[Jumper] Máy đo tim thai cá nhân - Cody Health JPD-100E</v>
      </c>
      <c r="C488" s="37" t="str">
        <f>INDEX(Product!$D:$D,MATCH($A488,Product!$A:$A,0))</f>
        <v>Máy đo tim thai</v>
      </c>
      <c r="D488" s="23" t="s">
        <v>2471</v>
      </c>
      <c r="E488" s="37" t="str">
        <f>INDEX('Attribute Definition'!$B:$B,MATCH($D488,'Attribute Definition'!$A:$A,0))</f>
        <v>Dạng sản phẩm</v>
      </c>
      <c r="F488" s="38" t="s">
        <v>2657</v>
      </c>
      <c r="G488" s="39" t="str" cm="1">
        <f t="array" ref="G488">_xlfn.TEXTJOIN("; ",TRUE,_xlfn.UNIQUE(_xlfn._xlws.FILTER('Product Variant Attribute'!$F$2:$F$3000,('Product Variant Attribute'!$B$2:$B$3000=$A488)*('Product Variant Attribute'!$D$2:$D$3000=$D488),"")))</f>
        <v>Máy / thiết bị điện tử</v>
      </c>
      <c r="H488" s="39"/>
      <c r="I488" s="39"/>
      <c r="J488" s="39" t="str" cm="1">
        <f t="array" ref="J488">IF($I488="","",_xlfn.TEXTJOIN("; ",TRUE,_xlfn.UNIQUE(_xlfn._xlws.FILTER($A$2:$A$3000,($C$2:$C$3000=$C488)*($E$2:$E$3000=$E488)*($G$2:$G$3000&lt;&gt;$G488)*($G$2:$G$3000&lt;&gt;""),""))))</f>
        <v/>
      </c>
    </row>
    <row r="489" spans="1:10" x14ac:dyDescent="0.25">
      <c r="A489" s="23" t="s">
        <v>747</v>
      </c>
      <c r="B489" s="37" t="str">
        <f>INDEX(Product!$B:$B,MATCH($A489,Product!$A:$A,0))</f>
        <v>[Medtronic] Bộ truyền tín hiệu kết nối cảm biến CGM và máy bơm insulin - Guardian™ Link 3 Transmitter (640g)</v>
      </c>
      <c r="C489" s="37" t="str">
        <f>INDEX(Product!$D:$D,MATCH($A489,Product!$A:$A,0))</f>
        <v>Hệ thống đo đường huyết liên tục (CGM)</v>
      </c>
      <c r="D489" s="23" t="s">
        <v>2471</v>
      </c>
      <c r="E489" s="37" t="str">
        <f>INDEX('Attribute Definition'!$B:$B,MATCH($D489,'Attribute Definition'!$A:$A,0))</f>
        <v>Dạng sản phẩm</v>
      </c>
      <c r="F489" s="38" t="s">
        <v>2657</v>
      </c>
      <c r="G489" s="39" t="str" cm="1">
        <f t="array" ref="G489">_xlfn.TEXTJOIN("; ",TRUE,_xlfn.UNIQUE(_xlfn._xlws.FILTER('Product Variant Attribute'!$F$2:$F$3000,('Product Variant Attribute'!$B$2:$B$3000=$A489)*('Product Variant Attribute'!$D$2:$D$3000=$D489),"")))</f>
        <v>Cảm biến / phụ kiện điện tử</v>
      </c>
      <c r="H489" s="39"/>
      <c r="I489" s="39"/>
      <c r="J489" s="39" t="str" cm="1">
        <f t="array" ref="J489">IF($I489="","",_xlfn.TEXTJOIN("; ",TRUE,_xlfn.UNIQUE(_xlfn._xlws.FILTER($A$2:$A$3000,($C$2:$C$3000=$C489)*($E$2:$E$3000=$E489)*($G$2:$G$3000&lt;&gt;$G489)*($G$2:$G$3000&lt;&gt;""),""))))</f>
        <v/>
      </c>
    </row>
    <row r="490" spans="1:10" x14ac:dyDescent="0.25">
      <c r="A490" s="23" t="s">
        <v>748</v>
      </c>
      <c r="B490" s="37" t="str">
        <f>INDEX(Product!$B:$B,MATCH($A490,Product!$A:$A,0))</f>
        <v>[Medtronic] Cảm biến hệ thống đo đường huyết liên tục CGM - Guardian™ Sensor 3</v>
      </c>
      <c r="C490" s="37" t="str">
        <f>INDEX(Product!$D:$D,MATCH($A490,Product!$A:$A,0))</f>
        <v>Hệ thống đo đường huyết liên tục (CGM)</v>
      </c>
      <c r="D490" s="23" t="s">
        <v>2467</v>
      </c>
      <c r="E490" s="37" t="str">
        <f>INDEX('Attribute Definition'!$B:$B,MATCH($D490,'Attribute Definition'!$A:$A,0))</f>
        <v>Chỉ số đo</v>
      </c>
      <c r="F490" s="38" t="s">
        <v>2657</v>
      </c>
      <c r="G490" s="39" t="str" cm="1">
        <f t="array" ref="G490">_xlfn.TEXTJOIN("; ",TRUE,_xlfn.UNIQUE(_xlfn._xlws.FILTER('Product Variant Attribute'!$F$2:$F$3000,('Product Variant Attribute'!$B$2:$B$3000=$A490)*('Product Variant Attribute'!$D$2:$D$3000=$D490),"")))</f>
        <v>Đường huyết</v>
      </c>
      <c r="H490" s="39"/>
      <c r="I490" s="39"/>
      <c r="J490" s="39" t="str" cm="1">
        <f t="array" ref="J490">IF($I490="","",_xlfn.TEXTJOIN("; ",TRUE,_xlfn.UNIQUE(_xlfn._xlws.FILTER($A$2:$A$3000,($C$2:$C$3000=$C490)*($E$2:$E$3000=$E490)*($G$2:$G$3000&lt;&gt;$G490)*($G$2:$G$3000&lt;&gt;""),""))))</f>
        <v/>
      </c>
    </row>
    <row r="491" spans="1:10" x14ac:dyDescent="0.25">
      <c r="A491" s="23" t="s">
        <v>748</v>
      </c>
      <c r="B491" s="37" t="str">
        <f>INDEX(Product!$B:$B,MATCH($A491,Product!$A:$A,0))</f>
        <v>[Medtronic] Cảm biến hệ thống đo đường huyết liên tục CGM - Guardian™ Sensor 3</v>
      </c>
      <c r="C491" s="37" t="str">
        <f>INDEX(Product!$D:$D,MATCH($A491,Product!$A:$A,0))</f>
        <v>Hệ thống đo đường huyết liên tục (CGM)</v>
      </c>
      <c r="D491" s="23" t="s">
        <v>2471</v>
      </c>
      <c r="E491" s="37" t="str">
        <f>INDEX('Attribute Definition'!$B:$B,MATCH($D491,'Attribute Definition'!$A:$A,0))</f>
        <v>Dạng sản phẩm</v>
      </c>
      <c r="F491" s="38" t="s">
        <v>2657</v>
      </c>
      <c r="G491" s="39" t="str" cm="1">
        <f t="array" ref="G491">_xlfn.TEXTJOIN("; ",TRUE,_xlfn.UNIQUE(_xlfn._xlws.FILTER('Product Variant Attribute'!$F$2:$F$3000,('Product Variant Attribute'!$B$2:$B$3000=$A491)*('Product Variant Attribute'!$D$2:$D$3000=$D491),"")))</f>
        <v>Cảm biến / phụ kiện điện tử</v>
      </c>
      <c r="H491" s="39"/>
      <c r="I491" s="39"/>
      <c r="J491" s="39" t="str" cm="1">
        <f t="array" ref="J491">IF($I491="","",_xlfn.TEXTJOIN("; ",TRUE,_xlfn.UNIQUE(_xlfn._xlws.FILTER($A$2:$A$3000,($C$2:$C$3000=$C491)*($E$2:$E$3000=$E491)*($G$2:$G$3000&lt;&gt;$G491)*($G$2:$G$3000&lt;&gt;""),""))))</f>
        <v/>
      </c>
    </row>
    <row r="492" spans="1:10" x14ac:dyDescent="0.25">
      <c r="A492" s="23" t="s">
        <v>749</v>
      </c>
      <c r="B492" s="37" t="str">
        <f>INDEX(Product!$B:$B,MATCH($A492,Product!$A:$A,0))</f>
        <v>[Medtronic] Hệ thống đo đường huyết liên tục CGM - GUARDIAN™ CONNECT</v>
      </c>
      <c r="C492" s="37" t="str">
        <f>INDEX(Product!$D:$D,MATCH($A492,Product!$A:$A,0))</f>
        <v>Hệ thống đo đường huyết liên tục (CGM)</v>
      </c>
      <c r="D492" s="23" t="s">
        <v>2467</v>
      </c>
      <c r="E492" s="37" t="str">
        <f>INDEX('Attribute Definition'!$B:$B,MATCH($D492,'Attribute Definition'!$A:$A,0))</f>
        <v>Chỉ số đo</v>
      </c>
      <c r="F492" s="38" t="s">
        <v>2657</v>
      </c>
      <c r="G492" s="39" t="str" cm="1">
        <f t="array" ref="G492">_xlfn.TEXTJOIN("; ",TRUE,_xlfn.UNIQUE(_xlfn._xlws.FILTER('Product Variant Attribute'!$F$2:$F$3000,('Product Variant Attribute'!$B$2:$B$3000=$A492)*('Product Variant Attribute'!$D$2:$D$3000=$D492),"")))</f>
        <v>Đường huyết</v>
      </c>
      <c r="H492" s="39"/>
      <c r="I492" s="39"/>
      <c r="J492" s="39" t="str" cm="1">
        <f t="array" ref="J492">IF($I492="","",_xlfn.TEXTJOIN("; ",TRUE,_xlfn.UNIQUE(_xlfn._xlws.FILTER($A$2:$A$3000,($C$2:$C$3000=$C492)*($E$2:$E$3000=$E492)*($G$2:$G$3000&lt;&gt;$G492)*($G$2:$G$3000&lt;&gt;""),""))))</f>
        <v/>
      </c>
    </row>
    <row r="493" spans="1:10" x14ac:dyDescent="0.25">
      <c r="A493" s="23" t="s">
        <v>749</v>
      </c>
      <c r="B493" s="37" t="str">
        <f>INDEX(Product!$B:$B,MATCH($A493,Product!$A:$A,0))</f>
        <v>[Medtronic] Hệ thống đo đường huyết liên tục CGM - GUARDIAN™ CONNECT</v>
      </c>
      <c r="C493" s="37" t="str">
        <f>INDEX(Product!$D:$D,MATCH($A493,Product!$A:$A,0))</f>
        <v>Hệ thống đo đường huyết liên tục (CGM)</v>
      </c>
      <c r="D493" s="23" t="s">
        <v>2471</v>
      </c>
      <c r="E493" s="37" t="str">
        <f>INDEX('Attribute Definition'!$B:$B,MATCH($D493,'Attribute Definition'!$A:$A,0))</f>
        <v>Dạng sản phẩm</v>
      </c>
      <c r="F493" s="38" t="s">
        <v>2657</v>
      </c>
      <c r="G493" s="39" t="str" cm="1">
        <f t="array" ref="G493">_xlfn.TEXTJOIN("; ",TRUE,_xlfn.UNIQUE(_xlfn._xlws.FILTER('Product Variant Attribute'!$F$2:$F$3000,('Product Variant Attribute'!$B$2:$B$3000=$A493)*('Product Variant Attribute'!$D$2:$D$3000=$D493),"")))</f>
        <v>Máy / thiết bị điện tử</v>
      </c>
      <c r="H493" s="39"/>
      <c r="I493" s="39"/>
      <c r="J493" s="39" t="str" cm="1">
        <f t="array" ref="J493">IF($I493="","",_xlfn.TEXTJOIN("; ",TRUE,_xlfn.UNIQUE(_xlfn._xlws.FILTER($A$2:$A$3000,($C$2:$C$3000=$C493)*($E$2:$E$3000=$E493)*($G$2:$G$3000&lt;&gt;$G493)*($G$2:$G$3000&lt;&gt;""),""))))</f>
        <v/>
      </c>
    </row>
    <row r="494" spans="1:10" x14ac:dyDescent="0.25">
      <c r="A494" s="23" t="s">
        <v>750</v>
      </c>
      <c r="B494" s="37" t="str">
        <f>INDEX(Product!$B:$B,MATCH($A494,Product!$A:$A,0))</f>
        <v>[Omron] Cân sức khỏe điện tử - HN-289</v>
      </c>
      <c r="C494" s="37" t="str">
        <f>INDEX(Product!$D:$D,MATCH($A494,Product!$A:$A,0))</f>
        <v>Cân &amp; máy đo thành phần cơ thể</v>
      </c>
      <c r="D494" s="23" t="s">
        <v>2467</v>
      </c>
      <c r="E494" s="37" t="str">
        <f>INDEX('Attribute Definition'!$B:$B,MATCH($D494,'Attribute Definition'!$A:$A,0))</f>
        <v>Chỉ số đo</v>
      </c>
      <c r="F494" s="38" t="s">
        <v>2657</v>
      </c>
      <c r="G494" s="39" t="str" cm="1">
        <f t="array" ref="G494">_xlfn.TEXTJOIN("; ",TRUE,_xlfn.UNIQUE(_xlfn._xlws.FILTER('Product Variant Attribute'!$F$2:$F$3000,('Product Variant Attribute'!$B$2:$B$3000=$A494)*('Product Variant Attribute'!$D$2:$D$3000=$D494),"")))</f>
        <v>Cân nặng</v>
      </c>
      <c r="H494" s="39"/>
      <c r="I494" s="39" t="s">
        <v>2752</v>
      </c>
      <c r="J494" s="39" t="str" cm="1">
        <f t="array" ref="J494">IF($I494="","",_xlfn.TEXTJOIN("; ",TRUE,_xlfn.UNIQUE(_xlfn._xlws.FILTER($A$2:$A$3000,($C$2:$C$3000=$C494)*($E$2:$E$3000=$E494)*($G$2:$G$3000&lt;&gt;$G494)*($G$2:$G$3000&lt;&gt;""),""))))</f>
        <v>PRODUCT-00190; PRODUCT-00199</v>
      </c>
    </row>
    <row r="495" spans="1:10" x14ac:dyDescent="0.25">
      <c r="A495" s="23" t="s">
        <v>750</v>
      </c>
      <c r="B495" s="37" t="str">
        <f>INDEX(Product!$B:$B,MATCH($A495,Product!$A:$A,0))</f>
        <v>[Omron] Cân sức khỏe điện tử - HN-289</v>
      </c>
      <c r="C495" s="37" t="str">
        <f>INDEX(Product!$D:$D,MATCH($A495,Product!$A:$A,0))</f>
        <v>Cân &amp; máy đo thành phần cơ thể</v>
      </c>
      <c r="D495" s="23" t="s">
        <v>2471</v>
      </c>
      <c r="E495" s="37" t="str">
        <f>INDEX('Attribute Definition'!$B:$B,MATCH($D495,'Attribute Definition'!$A:$A,0))</f>
        <v>Dạng sản phẩm</v>
      </c>
      <c r="F495" s="38" t="s">
        <v>2657</v>
      </c>
      <c r="G495" s="39" t="str" cm="1">
        <f t="array" ref="G495">_xlfn.TEXTJOIN("; ",TRUE,_xlfn.UNIQUE(_xlfn._xlws.FILTER('Product Variant Attribute'!$F$2:$F$3000,('Product Variant Attribute'!$B$2:$B$3000=$A495)*('Product Variant Attribute'!$D$2:$D$3000=$D495),"")))</f>
        <v>Máy / thiết bị điện tử</v>
      </c>
      <c r="H495" s="39"/>
      <c r="I495" s="39"/>
      <c r="J495" s="39" t="str" cm="1">
        <f t="array" ref="J495">IF($I495="","",_xlfn.TEXTJOIN("; ",TRUE,_xlfn.UNIQUE(_xlfn._xlws.FILTER($A$2:$A$3000,($C$2:$C$3000=$C495)*($E$2:$E$3000=$E495)*($G$2:$G$3000&lt;&gt;$G495)*($G$2:$G$3000&lt;&gt;""),""))))</f>
        <v/>
      </c>
    </row>
    <row r="496" spans="1:10" ht="30" x14ac:dyDescent="0.25">
      <c r="A496" s="23" t="s">
        <v>751</v>
      </c>
      <c r="B496" s="37" t="str">
        <f>INDEX(Product!$B:$B,MATCH($A496,Product!$A:$A,0))</f>
        <v>[Omron] Máy cân đo chỉ số cơ thể - BodySCAN™ HBF-224</v>
      </c>
      <c r="C496" s="37" t="str">
        <f>INDEX(Product!$D:$D,MATCH($A496,Product!$A:$A,0))</f>
        <v>Cân &amp; máy đo thành phần cơ thể</v>
      </c>
      <c r="D496" s="23" t="s">
        <v>2467</v>
      </c>
      <c r="E496" s="37" t="str">
        <f>INDEX('Attribute Definition'!$B:$B,MATCH($D496,'Attribute Definition'!$A:$A,0))</f>
        <v>Chỉ số đo</v>
      </c>
      <c r="F496" s="38" t="s">
        <v>2657</v>
      </c>
      <c r="G496" s="39" t="str" cm="1">
        <f t="array" ref="G496">_xlfn.TEXTJOIN("; ",TRUE,_xlfn.UNIQUE(_xlfn._xlws.FILTER('Product Variant Attribute'!$F$2:$F$3000,('Product Variant Attribute'!$B$2:$B$3000=$A496)*('Product Variant Attribute'!$D$2:$D$3000=$D496),"")))</f>
        <v>Cân nặng, Thành phần cơ thể</v>
      </c>
      <c r="H496" s="39"/>
      <c r="I496" s="39" t="s">
        <v>2753</v>
      </c>
      <c r="J496" s="39" t="str" cm="1">
        <f t="array" ref="J496">IF($I496="","",_xlfn.TEXTJOIN("; ",TRUE,_xlfn.UNIQUE(_xlfn._xlws.FILTER($A$2:$A$3000,($C$2:$C$3000=$C496)*($E$2:$E$3000=$E496)*($G$2:$G$3000&lt;&gt;$G496)*($G$2:$G$3000&lt;&gt;""),""))))</f>
        <v>PRODUCT-00189</v>
      </c>
    </row>
    <row r="497" spans="1:10" x14ac:dyDescent="0.25">
      <c r="A497" s="23" t="s">
        <v>751</v>
      </c>
      <c r="B497" s="37" t="str">
        <f>INDEX(Product!$B:$B,MATCH($A497,Product!$A:$A,0))</f>
        <v>[Omron] Máy cân đo chỉ số cơ thể - BodySCAN™ HBF-224</v>
      </c>
      <c r="C497" s="37" t="str">
        <f>INDEX(Product!$D:$D,MATCH($A497,Product!$A:$A,0))</f>
        <v>Cân &amp; máy đo thành phần cơ thể</v>
      </c>
      <c r="D497" s="23" t="s">
        <v>2471</v>
      </c>
      <c r="E497" s="37" t="str">
        <f>INDEX('Attribute Definition'!$B:$B,MATCH($D497,'Attribute Definition'!$A:$A,0))</f>
        <v>Dạng sản phẩm</v>
      </c>
      <c r="F497" s="38" t="s">
        <v>2657</v>
      </c>
      <c r="G497" s="39" t="str" cm="1">
        <f t="array" ref="G497">_xlfn.TEXTJOIN("; ",TRUE,_xlfn.UNIQUE(_xlfn._xlws.FILTER('Product Variant Attribute'!$F$2:$F$3000,('Product Variant Attribute'!$B$2:$B$3000=$A497)*('Product Variant Attribute'!$D$2:$D$3000=$D497),"")))</f>
        <v>Máy / thiết bị điện tử</v>
      </c>
      <c r="H497" s="39"/>
      <c r="I497" s="39"/>
      <c r="J497" s="39" t="str" cm="1">
        <f t="array" ref="J497">IF($I497="","",_xlfn.TEXTJOIN("; ",TRUE,_xlfn.UNIQUE(_xlfn._xlws.FILTER($A$2:$A$3000,($C$2:$C$3000=$C497)*($E$2:$E$3000=$E497)*($G$2:$G$3000&lt;&gt;$G497)*($G$2:$G$3000&lt;&gt;""),""))))</f>
        <v/>
      </c>
    </row>
    <row r="498" spans="1:10" x14ac:dyDescent="0.25">
      <c r="A498" s="23" t="s">
        <v>752</v>
      </c>
      <c r="B498" s="37" t="str">
        <f>INDEX(Product!$B:$B,MATCH($A498,Product!$A:$A,0))</f>
        <v>[Omron] Máy đo huyết áp bắp tay - JPN600</v>
      </c>
      <c r="C498" s="37" t="str">
        <f>INDEX(Product!$D:$D,MATCH($A498,Product!$A:$A,0))</f>
        <v>Máy đo huyết áp</v>
      </c>
      <c r="D498" s="23" t="s">
        <v>2439</v>
      </c>
      <c r="E498" s="37" t="str">
        <f>INDEX('Attribute Definition'!$B:$B,MATCH($D498,'Attribute Definition'!$A:$A,0))</f>
        <v>Vị trí sử dụng trên cơ thể</v>
      </c>
      <c r="F498" s="38" t="s">
        <v>2657</v>
      </c>
      <c r="G498" s="39" t="str" cm="1">
        <f t="array" ref="G498">_xlfn.TEXTJOIN("; ",TRUE,_xlfn.UNIQUE(_xlfn._xlws.FILTER('Product Variant Attribute'!$F$2:$F$3000,('Product Variant Attribute'!$B$2:$B$3000=$A498)*('Product Variant Attribute'!$D$2:$D$3000=$D498),"")))</f>
        <v>Bắp tay</v>
      </c>
      <c r="H498" s="39"/>
      <c r="I498" s="39"/>
      <c r="J498" s="39" t="str" cm="1">
        <f t="array" ref="J498">IF($I498="","",_xlfn.TEXTJOIN("; ",TRUE,_xlfn.UNIQUE(_xlfn._xlws.FILTER($A$2:$A$3000,($C$2:$C$3000=$C498)*($E$2:$E$3000=$E498)*($G$2:$G$3000&lt;&gt;$G498)*($G$2:$G$3000&lt;&gt;""),""))))</f>
        <v/>
      </c>
    </row>
    <row r="499" spans="1:10" x14ac:dyDescent="0.25">
      <c r="A499" s="23" t="s">
        <v>752</v>
      </c>
      <c r="B499" s="37" t="str">
        <f>INDEX(Product!$B:$B,MATCH($A499,Product!$A:$A,0))</f>
        <v>[Omron] Máy đo huyết áp bắp tay - JPN600</v>
      </c>
      <c r="C499" s="37" t="str">
        <f>INDEX(Product!$D:$D,MATCH($A499,Product!$A:$A,0))</f>
        <v>Máy đo huyết áp</v>
      </c>
      <c r="D499" s="23" t="s">
        <v>2467</v>
      </c>
      <c r="E499" s="37" t="str">
        <f>INDEX('Attribute Definition'!$B:$B,MATCH($D499,'Attribute Definition'!$A:$A,0))</f>
        <v>Chỉ số đo</v>
      </c>
      <c r="F499" s="38" t="s">
        <v>2657</v>
      </c>
      <c r="G499" s="39" t="str" cm="1">
        <f t="array" ref="G499">_xlfn.TEXTJOIN("; ",TRUE,_xlfn.UNIQUE(_xlfn._xlws.FILTER('Product Variant Attribute'!$F$2:$F$3000,('Product Variant Attribute'!$B$2:$B$3000=$A499)*('Product Variant Attribute'!$D$2:$D$3000=$D499),"")))</f>
        <v>Huyết áp, Nhịp tim</v>
      </c>
      <c r="H499" s="39"/>
      <c r="I499" s="39"/>
      <c r="J499" s="39" t="str" cm="1">
        <f t="array" ref="J499">IF($I499="","",_xlfn.TEXTJOIN("; ",TRUE,_xlfn.UNIQUE(_xlfn._xlws.FILTER($A$2:$A$3000,($C$2:$C$3000=$C499)*($E$2:$E$3000=$E499)*($G$2:$G$3000&lt;&gt;$G499)*($G$2:$G$3000&lt;&gt;""),""))))</f>
        <v/>
      </c>
    </row>
    <row r="500" spans="1:10" x14ac:dyDescent="0.25">
      <c r="A500" s="23" t="s">
        <v>752</v>
      </c>
      <c r="B500" s="37" t="str">
        <f>INDEX(Product!$B:$B,MATCH($A500,Product!$A:$A,0))</f>
        <v>[Omron] Máy đo huyết áp bắp tay - JPN600</v>
      </c>
      <c r="C500" s="37" t="str">
        <f>INDEX(Product!$D:$D,MATCH($A500,Product!$A:$A,0))</f>
        <v>Máy đo huyết áp</v>
      </c>
      <c r="D500" s="23" t="s">
        <v>2471</v>
      </c>
      <c r="E500" s="37" t="str">
        <f>INDEX('Attribute Definition'!$B:$B,MATCH($D500,'Attribute Definition'!$A:$A,0))</f>
        <v>Dạng sản phẩm</v>
      </c>
      <c r="F500" s="38" t="s">
        <v>2657</v>
      </c>
      <c r="G500" s="39" t="str" cm="1">
        <f t="array" ref="G500">_xlfn.TEXTJOIN("; ",TRUE,_xlfn.UNIQUE(_xlfn._xlws.FILTER('Product Variant Attribute'!$F$2:$F$3000,('Product Variant Attribute'!$B$2:$B$3000=$A500)*('Product Variant Attribute'!$D$2:$D$3000=$D500),"")))</f>
        <v>Máy / thiết bị điện tử</v>
      </c>
      <c r="H500" s="39"/>
      <c r="I500" s="39"/>
      <c r="J500" s="39" t="str" cm="1">
        <f t="array" ref="J500">IF($I500="","",_xlfn.TEXTJOIN("; ",TRUE,_xlfn.UNIQUE(_xlfn._xlws.FILTER($A$2:$A$3000,($C$2:$C$3000=$C500)*($E$2:$E$3000=$E500)*($G$2:$G$3000&lt;&gt;$G500)*($G$2:$G$3000&lt;&gt;""),""))))</f>
        <v/>
      </c>
    </row>
    <row r="501" spans="1:10" x14ac:dyDescent="0.25">
      <c r="A501" s="23" t="s">
        <v>753</v>
      </c>
      <c r="B501" s="37" t="str">
        <f>INDEX(Product!$B:$B,MATCH($A501,Product!$A:$A,0))</f>
        <v>[Omron] Máy đo huyết áp bắp tay - JPN750</v>
      </c>
      <c r="C501" s="37" t="str">
        <f>INDEX(Product!$D:$D,MATCH($A501,Product!$A:$A,0))</f>
        <v>Máy đo huyết áp</v>
      </c>
      <c r="D501" s="23" t="s">
        <v>2439</v>
      </c>
      <c r="E501" s="37" t="str">
        <f>INDEX('Attribute Definition'!$B:$B,MATCH($D501,'Attribute Definition'!$A:$A,0))</f>
        <v>Vị trí sử dụng trên cơ thể</v>
      </c>
      <c r="F501" s="38" t="s">
        <v>2657</v>
      </c>
      <c r="G501" s="39" t="str" cm="1">
        <f t="array" ref="G501">_xlfn.TEXTJOIN("; ",TRUE,_xlfn.UNIQUE(_xlfn._xlws.FILTER('Product Variant Attribute'!$F$2:$F$3000,('Product Variant Attribute'!$B$2:$B$3000=$A501)*('Product Variant Attribute'!$D$2:$D$3000=$D501),"")))</f>
        <v>Bắp tay</v>
      </c>
      <c r="H501" s="39"/>
      <c r="I501" s="39"/>
      <c r="J501" s="39" t="str" cm="1">
        <f t="array" ref="J501">IF($I501="","",_xlfn.TEXTJOIN("; ",TRUE,_xlfn.UNIQUE(_xlfn._xlws.FILTER($A$2:$A$3000,($C$2:$C$3000=$C501)*($E$2:$E$3000=$E501)*($G$2:$G$3000&lt;&gt;$G501)*($G$2:$G$3000&lt;&gt;""),""))))</f>
        <v/>
      </c>
    </row>
    <row r="502" spans="1:10" x14ac:dyDescent="0.25">
      <c r="A502" s="23" t="s">
        <v>753</v>
      </c>
      <c r="B502" s="37" t="str">
        <f>INDEX(Product!$B:$B,MATCH($A502,Product!$A:$A,0))</f>
        <v>[Omron] Máy đo huyết áp bắp tay - JPN750</v>
      </c>
      <c r="C502" s="37" t="str">
        <f>INDEX(Product!$D:$D,MATCH($A502,Product!$A:$A,0))</f>
        <v>Máy đo huyết áp</v>
      </c>
      <c r="D502" s="23" t="s">
        <v>2467</v>
      </c>
      <c r="E502" s="37" t="str">
        <f>INDEX('Attribute Definition'!$B:$B,MATCH($D502,'Attribute Definition'!$A:$A,0))</f>
        <v>Chỉ số đo</v>
      </c>
      <c r="F502" s="38" t="s">
        <v>2657</v>
      </c>
      <c r="G502" s="39" t="str" cm="1">
        <f t="array" ref="G502">_xlfn.TEXTJOIN("; ",TRUE,_xlfn.UNIQUE(_xlfn._xlws.FILTER('Product Variant Attribute'!$F$2:$F$3000,('Product Variant Attribute'!$B$2:$B$3000=$A502)*('Product Variant Attribute'!$D$2:$D$3000=$D502),"")))</f>
        <v>Huyết áp, Nhịp tim</v>
      </c>
      <c r="H502" s="39"/>
      <c r="I502" s="39"/>
      <c r="J502" s="39" t="str" cm="1">
        <f t="array" ref="J502">IF($I502="","",_xlfn.TEXTJOIN("; ",TRUE,_xlfn.UNIQUE(_xlfn._xlws.FILTER($A$2:$A$3000,($C$2:$C$3000=$C502)*($E$2:$E$3000=$E502)*($G$2:$G$3000&lt;&gt;$G502)*($G$2:$G$3000&lt;&gt;""),""))))</f>
        <v/>
      </c>
    </row>
    <row r="503" spans="1:10" x14ac:dyDescent="0.25">
      <c r="A503" s="23" t="s">
        <v>753</v>
      </c>
      <c r="B503" s="37" t="str">
        <f>INDEX(Product!$B:$B,MATCH($A503,Product!$A:$A,0))</f>
        <v>[Omron] Máy đo huyết áp bắp tay - JPN750</v>
      </c>
      <c r="C503" s="37" t="str">
        <f>INDEX(Product!$D:$D,MATCH($A503,Product!$A:$A,0))</f>
        <v>Máy đo huyết áp</v>
      </c>
      <c r="D503" s="23" t="s">
        <v>2471</v>
      </c>
      <c r="E503" s="37" t="str">
        <f>INDEX('Attribute Definition'!$B:$B,MATCH($D503,'Attribute Definition'!$A:$A,0))</f>
        <v>Dạng sản phẩm</v>
      </c>
      <c r="F503" s="38" t="s">
        <v>2657</v>
      </c>
      <c r="G503" s="39" t="str" cm="1">
        <f t="array" ref="G503">_xlfn.TEXTJOIN("; ",TRUE,_xlfn.UNIQUE(_xlfn._xlws.FILTER('Product Variant Attribute'!$F$2:$F$3000,('Product Variant Attribute'!$B$2:$B$3000=$A503)*('Product Variant Attribute'!$D$2:$D$3000=$D503),"")))</f>
        <v>Máy / thiết bị điện tử</v>
      </c>
      <c r="H503" s="39"/>
      <c r="I503" s="39"/>
      <c r="J503" s="39" t="str" cm="1">
        <f t="array" ref="J503">IF($I503="","",_xlfn.TEXTJOIN("; ",TRUE,_xlfn.UNIQUE(_xlfn._xlws.FILTER($A$2:$A$3000,($C$2:$C$3000=$C503)*($E$2:$E$3000=$E503)*($G$2:$G$3000&lt;&gt;$G503)*($G$2:$G$3000&lt;&gt;""),""))))</f>
        <v/>
      </c>
    </row>
    <row r="504" spans="1:10" x14ac:dyDescent="0.25">
      <c r="A504" s="23" t="s">
        <v>754</v>
      </c>
      <c r="B504" s="37" t="str">
        <f>INDEX(Product!$B:$B,MATCH($A504,Product!$A:$A,0))</f>
        <v>[Omron] Máy đo huyết áp bắp tay kết nối Bluetooth - HEM-7156T</v>
      </c>
      <c r="C504" s="37" t="str">
        <f>INDEX(Product!$D:$D,MATCH($A504,Product!$A:$A,0))</f>
        <v>Máy đo huyết áp</v>
      </c>
      <c r="D504" s="23" t="s">
        <v>2429</v>
      </c>
      <c r="E504" s="37" t="str">
        <f>INDEX('Attribute Definition'!$B:$B,MATCH($D504,'Attribute Definition'!$A:$A,0))</f>
        <v>Kết nối</v>
      </c>
      <c r="F504" s="38" t="s">
        <v>2657</v>
      </c>
      <c r="G504" s="39" t="str" cm="1">
        <f t="array" ref="G504">_xlfn.TEXTJOIN("; ",TRUE,_xlfn.UNIQUE(_xlfn._xlws.FILTER('Product Variant Attribute'!$F$2:$F$3000,('Product Variant Attribute'!$B$2:$B$3000=$A504)*('Product Variant Attribute'!$D$2:$D$3000=$D504),"")))</f>
        <v>Bluetooth</v>
      </c>
      <c r="H504" s="39"/>
      <c r="I504" s="39"/>
      <c r="J504" s="39" t="str" cm="1">
        <f t="array" ref="J504">IF($I504="","",_xlfn.TEXTJOIN("; ",TRUE,_xlfn.UNIQUE(_xlfn._xlws.FILTER($A$2:$A$3000,($C$2:$C$3000=$C504)*($E$2:$E$3000=$E504)*($G$2:$G$3000&lt;&gt;$G504)*($G$2:$G$3000&lt;&gt;""),""))))</f>
        <v/>
      </c>
    </row>
    <row r="505" spans="1:10" x14ac:dyDescent="0.25">
      <c r="A505" s="23" t="s">
        <v>754</v>
      </c>
      <c r="B505" s="37" t="str">
        <f>INDEX(Product!$B:$B,MATCH($A505,Product!$A:$A,0))</f>
        <v>[Omron] Máy đo huyết áp bắp tay kết nối Bluetooth - HEM-7156T</v>
      </c>
      <c r="C505" s="37" t="str">
        <f>INDEX(Product!$D:$D,MATCH($A505,Product!$A:$A,0))</f>
        <v>Máy đo huyết áp</v>
      </c>
      <c r="D505" s="23" t="s">
        <v>2439</v>
      </c>
      <c r="E505" s="37" t="str">
        <f>INDEX('Attribute Definition'!$B:$B,MATCH($D505,'Attribute Definition'!$A:$A,0))</f>
        <v>Vị trí sử dụng trên cơ thể</v>
      </c>
      <c r="F505" s="38" t="s">
        <v>2657</v>
      </c>
      <c r="G505" s="39" t="str" cm="1">
        <f t="array" ref="G505">_xlfn.TEXTJOIN("; ",TRUE,_xlfn.UNIQUE(_xlfn._xlws.FILTER('Product Variant Attribute'!$F$2:$F$3000,('Product Variant Attribute'!$B$2:$B$3000=$A505)*('Product Variant Attribute'!$D$2:$D$3000=$D505),"")))</f>
        <v>Bắp tay</v>
      </c>
      <c r="H505" s="39"/>
      <c r="I505" s="39"/>
      <c r="J505" s="39" t="str" cm="1">
        <f t="array" ref="J505">IF($I505="","",_xlfn.TEXTJOIN("; ",TRUE,_xlfn.UNIQUE(_xlfn._xlws.FILTER($A$2:$A$3000,($C$2:$C$3000=$C505)*($E$2:$E$3000=$E505)*($G$2:$G$3000&lt;&gt;$G505)*($G$2:$G$3000&lt;&gt;""),""))))</f>
        <v/>
      </c>
    </row>
    <row r="506" spans="1:10" x14ac:dyDescent="0.25">
      <c r="A506" s="23" t="s">
        <v>754</v>
      </c>
      <c r="B506" s="37" t="str">
        <f>INDEX(Product!$B:$B,MATCH($A506,Product!$A:$A,0))</f>
        <v>[Omron] Máy đo huyết áp bắp tay kết nối Bluetooth - HEM-7156T</v>
      </c>
      <c r="C506" s="37" t="str">
        <f>INDEX(Product!$D:$D,MATCH($A506,Product!$A:$A,0))</f>
        <v>Máy đo huyết áp</v>
      </c>
      <c r="D506" s="23" t="s">
        <v>2467</v>
      </c>
      <c r="E506" s="37" t="str">
        <f>INDEX('Attribute Definition'!$B:$B,MATCH($D506,'Attribute Definition'!$A:$A,0))</f>
        <v>Chỉ số đo</v>
      </c>
      <c r="F506" s="38" t="s">
        <v>2657</v>
      </c>
      <c r="G506" s="39" t="str" cm="1">
        <f t="array" ref="G506">_xlfn.TEXTJOIN("; ",TRUE,_xlfn.UNIQUE(_xlfn._xlws.FILTER('Product Variant Attribute'!$F$2:$F$3000,('Product Variant Attribute'!$B$2:$B$3000=$A506)*('Product Variant Attribute'!$D$2:$D$3000=$D506),"")))</f>
        <v>Huyết áp, Nhịp tim</v>
      </c>
      <c r="H506" s="39"/>
      <c r="I506" s="39"/>
      <c r="J506" s="39" t="str" cm="1">
        <f t="array" ref="J506">IF($I506="","",_xlfn.TEXTJOIN("; ",TRUE,_xlfn.UNIQUE(_xlfn._xlws.FILTER($A$2:$A$3000,($C$2:$C$3000=$C506)*($E$2:$E$3000=$E506)*($G$2:$G$3000&lt;&gt;$G506)*($G$2:$G$3000&lt;&gt;""),""))))</f>
        <v/>
      </c>
    </row>
    <row r="507" spans="1:10" x14ac:dyDescent="0.25">
      <c r="A507" s="23" t="s">
        <v>754</v>
      </c>
      <c r="B507" s="37" t="str">
        <f>INDEX(Product!$B:$B,MATCH($A507,Product!$A:$A,0))</f>
        <v>[Omron] Máy đo huyết áp bắp tay kết nối Bluetooth - HEM-7156T</v>
      </c>
      <c r="C507" s="37" t="str">
        <f>INDEX(Product!$D:$D,MATCH($A507,Product!$A:$A,0))</f>
        <v>Máy đo huyết áp</v>
      </c>
      <c r="D507" s="23" t="s">
        <v>2471</v>
      </c>
      <c r="E507" s="37" t="str">
        <f>INDEX('Attribute Definition'!$B:$B,MATCH($D507,'Attribute Definition'!$A:$A,0))</f>
        <v>Dạng sản phẩm</v>
      </c>
      <c r="F507" s="38" t="s">
        <v>2657</v>
      </c>
      <c r="G507" s="39" t="str" cm="1">
        <f t="array" ref="G507">_xlfn.TEXTJOIN("; ",TRUE,_xlfn.UNIQUE(_xlfn._xlws.FILTER('Product Variant Attribute'!$F$2:$F$3000,('Product Variant Attribute'!$B$2:$B$3000=$A507)*('Product Variant Attribute'!$D$2:$D$3000=$D507),"")))</f>
        <v>Máy / thiết bị điện tử</v>
      </c>
      <c r="H507" s="39"/>
      <c r="I507" s="39"/>
      <c r="J507" s="39" t="str" cm="1">
        <f t="array" ref="J507">IF($I507="","",_xlfn.TEXTJOIN("; ",TRUE,_xlfn.UNIQUE(_xlfn._xlws.FILTER($A$2:$A$3000,($C$2:$C$3000=$C507)*($E$2:$E$3000=$E507)*($G$2:$G$3000&lt;&gt;$G507)*($G$2:$G$3000&lt;&gt;""),""))))</f>
        <v/>
      </c>
    </row>
    <row r="508" spans="1:10" x14ac:dyDescent="0.25">
      <c r="A508" s="23" t="s">
        <v>755</v>
      </c>
      <c r="B508" s="37" t="str">
        <f>INDEX(Product!$B:$B,MATCH($A508,Product!$A:$A,0))</f>
        <v>[Omron] Máy đo huyết áp bắp tay tự động - HEM-7156</v>
      </c>
      <c r="C508" s="37" t="str">
        <f>INDEX(Product!$D:$D,MATCH($A508,Product!$A:$A,0))</f>
        <v>Máy đo huyết áp</v>
      </c>
      <c r="D508" s="23" t="s">
        <v>2439</v>
      </c>
      <c r="E508" s="37" t="str">
        <f>INDEX('Attribute Definition'!$B:$B,MATCH($D508,'Attribute Definition'!$A:$A,0))</f>
        <v>Vị trí sử dụng trên cơ thể</v>
      </c>
      <c r="F508" s="38" t="s">
        <v>2657</v>
      </c>
      <c r="G508" s="39" t="str" cm="1">
        <f t="array" ref="G508">_xlfn.TEXTJOIN("; ",TRUE,_xlfn.UNIQUE(_xlfn._xlws.FILTER('Product Variant Attribute'!$F$2:$F$3000,('Product Variant Attribute'!$B$2:$B$3000=$A508)*('Product Variant Attribute'!$D$2:$D$3000=$D508),"")))</f>
        <v>Bắp tay</v>
      </c>
      <c r="H508" s="39"/>
      <c r="I508" s="39"/>
      <c r="J508" s="39" t="str" cm="1">
        <f t="array" ref="J508">IF($I508="","",_xlfn.TEXTJOIN("; ",TRUE,_xlfn.UNIQUE(_xlfn._xlws.FILTER($A$2:$A$3000,($C$2:$C$3000=$C508)*($E$2:$E$3000=$E508)*($G$2:$G$3000&lt;&gt;$G508)*($G$2:$G$3000&lt;&gt;""),""))))</f>
        <v/>
      </c>
    </row>
    <row r="509" spans="1:10" x14ac:dyDescent="0.25">
      <c r="A509" s="23" t="s">
        <v>755</v>
      </c>
      <c r="B509" s="37" t="str">
        <f>INDEX(Product!$B:$B,MATCH($A509,Product!$A:$A,0))</f>
        <v>[Omron] Máy đo huyết áp bắp tay tự động - HEM-7156</v>
      </c>
      <c r="C509" s="37" t="str">
        <f>INDEX(Product!$D:$D,MATCH($A509,Product!$A:$A,0))</f>
        <v>Máy đo huyết áp</v>
      </c>
      <c r="D509" s="23" t="s">
        <v>2467</v>
      </c>
      <c r="E509" s="37" t="str">
        <f>INDEX('Attribute Definition'!$B:$B,MATCH($D509,'Attribute Definition'!$A:$A,0))</f>
        <v>Chỉ số đo</v>
      </c>
      <c r="F509" s="38" t="s">
        <v>2657</v>
      </c>
      <c r="G509" s="39" t="str" cm="1">
        <f t="array" ref="G509">_xlfn.TEXTJOIN("; ",TRUE,_xlfn.UNIQUE(_xlfn._xlws.FILTER('Product Variant Attribute'!$F$2:$F$3000,('Product Variant Attribute'!$B$2:$B$3000=$A509)*('Product Variant Attribute'!$D$2:$D$3000=$D509),"")))</f>
        <v>Huyết áp, Nhịp tim</v>
      </c>
      <c r="H509" s="39"/>
      <c r="I509" s="39"/>
      <c r="J509" s="39" t="str" cm="1">
        <f t="array" ref="J509">IF($I509="","",_xlfn.TEXTJOIN("; ",TRUE,_xlfn.UNIQUE(_xlfn._xlws.FILTER($A$2:$A$3000,($C$2:$C$3000=$C509)*($E$2:$E$3000=$E509)*($G$2:$G$3000&lt;&gt;$G509)*($G$2:$G$3000&lt;&gt;""),""))))</f>
        <v/>
      </c>
    </row>
    <row r="510" spans="1:10" x14ac:dyDescent="0.25">
      <c r="A510" s="23" t="s">
        <v>755</v>
      </c>
      <c r="B510" s="37" t="str">
        <f>INDEX(Product!$B:$B,MATCH($A510,Product!$A:$A,0))</f>
        <v>[Omron] Máy đo huyết áp bắp tay tự động - HEM-7156</v>
      </c>
      <c r="C510" s="37" t="str">
        <f>INDEX(Product!$D:$D,MATCH($A510,Product!$A:$A,0))</f>
        <v>Máy đo huyết áp</v>
      </c>
      <c r="D510" s="23" t="s">
        <v>2471</v>
      </c>
      <c r="E510" s="37" t="str">
        <f>INDEX('Attribute Definition'!$B:$B,MATCH($D510,'Attribute Definition'!$A:$A,0))</f>
        <v>Dạng sản phẩm</v>
      </c>
      <c r="F510" s="38" t="s">
        <v>2657</v>
      </c>
      <c r="G510" s="39" t="str" cm="1">
        <f t="array" ref="G510">_xlfn.TEXTJOIN("; ",TRUE,_xlfn.UNIQUE(_xlfn._xlws.FILTER('Product Variant Attribute'!$F$2:$F$3000,('Product Variant Attribute'!$B$2:$B$3000=$A510)*('Product Variant Attribute'!$D$2:$D$3000=$D510),"")))</f>
        <v>Máy / thiết bị điện tử</v>
      </c>
      <c r="H510" s="39"/>
      <c r="I510" s="39"/>
      <c r="J510" s="39" t="str" cm="1">
        <f t="array" ref="J510">IF($I510="","",_xlfn.TEXTJOIN("; ",TRUE,_xlfn.UNIQUE(_xlfn._xlws.FILTER($A$2:$A$3000,($C$2:$C$3000=$C510)*($E$2:$E$3000=$E510)*($G$2:$G$3000&lt;&gt;$G510)*($G$2:$G$3000&lt;&gt;""),""))))</f>
        <v/>
      </c>
    </row>
    <row r="511" spans="1:10" x14ac:dyDescent="0.25">
      <c r="A511" s="23" t="s">
        <v>756</v>
      </c>
      <c r="B511" s="37" t="str">
        <f>INDEX(Product!$B:$B,MATCH($A511,Product!$A:$A,0))</f>
        <v>[Omron] Máy đo huyết áp tự động - HEM-7180 (EZ Lite)</v>
      </c>
      <c r="C511" s="37" t="str">
        <f>INDEX(Product!$D:$D,MATCH($A511,Product!$A:$A,0))</f>
        <v>Máy đo huyết áp</v>
      </c>
      <c r="D511" s="23" t="s">
        <v>2467</v>
      </c>
      <c r="E511" s="37" t="str">
        <f>INDEX('Attribute Definition'!$B:$B,MATCH($D511,'Attribute Definition'!$A:$A,0))</f>
        <v>Chỉ số đo</v>
      </c>
      <c r="F511" s="38" t="s">
        <v>2657</v>
      </c>
      <c r="G511" s="39" t="str" cm="1">
        <f t="array" ref="G511">_xlfn.TEXTJOIN("; ",TRUE,_xlfn.UNIQUE(_xlfn._xlws.FILTER('Product Variant Attribute'!$F$2:$F$3000,('Product Variant Attribute'!$B$2:$B$3000=$A511)*('Product Variant Attribute'!$D$2:$D$3000=$D511),"")))</f>
        <v>Huyết áp, Nhịp tim</v>
      </c>
      <c r="H511" s="39"/>
      <c r="I511" s="39"/>
      <c r="J511" s="39" t="str" cm="1">
        <f t="array" ref="J511">IF($I511="","",_xlfn.TEXTJOIN("; ",TRUE,_xlfn.UNIQUE(_xlfn._xlws.FILTER($A$2:$A$3000,($C$2:$C$3000=$C511)*($E$2:$E$3000=$E511)*($G$2:$G$3000&lt;&gt;$G511)*($G$2:$G$3000&lt;&gt;""),""))))</f>
        <v/>
      </c>
    </row>
    <row r="512" spans="1:10" x14ac:dyDescent="0.25">
      <c r="A512" s="23" t="s">
        <v>756</v>
      </c>
      <c r="B512" s="37" t="str">
        <f>INDEX(Product!$B:$B,MATCH($A512,Product!$A:$A,0))</f>
        <v>[Omron] Máy đo huyết áp tự động - HEM-7180 (EZ Lite)</v>
      </c>
      <c r="C512" s="37" t="str">
        <f>INDEX(Product!$D:$D,MATCH($A512,Product!$A:$A,0))</f>
        <v>Máy đo huyết áp</v>
      </c>
      <c r="D512" s="23" t="s">
        <v>2471</v>
      </c>
      <c r="E512" s="37" t="str">
        <f>INDEX('Attribute Definition'!$B:$B,MATCH($D512,'Attribute Definition'!$A:$A,0))</f>
        <v>Dạng sản phẩm</v>
      </c>
      <c r="F512" s="38" t="s">
        <v>2657</v>
      </c>
      <c r="G512" s="39" t="str" cm="1">
        <f t="array" ref="G512">_xlfn.TEXTJOIN("; ",TRUE,_xlfn.UNIQUE(_xlfn._xlws.FILTER('Product Variant Attribute'!$F$2:$F$3000,('Product Variant Attribute'!$B$2:$B$3000=$A512)*('Product Variant Attribute'!$D$2:$D$3000=$D512),"")))</f>
        <v>Máy / thiết bị điện tử</v>
      </c>
      <c r="H512" s="39"/>
      <c r="I512" s="39"/>
      <c r="J512" s="39" t="str" cm="1">
        <f t="array" ref="J512">IF($I512="","",_xlfn.TEXTJOIN("; ",TRUE,_xlfn.UNIQUE(_xlfn._xlws.FILTER($A$2:$A$3000,($C$2:$C$3000=$C512)*($E$2:$E$3000=$E512)*($G$2:$G$3000&lt;&gt;$G512)*($G$2:$G$3000&lt;&gt;""),""))))</f>
        <v/>
      </c>
    </row>
    <row r="513" spans="1:10" x14ac:dyDescent="0.25">
      <c r="A513" s="23" t="s">
        <v>757</v>
      </c>
      <c r="B513" s="37" t="str">
        <f>INDEX(Product!$B:$B,MATCH($A513,Product!$A:$A,0))</f>
        <v>[Omron] Máy đo huyết áp tự động kết nối Bluetooth - HEM-7142T1</v>
      </c>
      <c r="C513" s="37" t="str">
        <f>INDEX(Product!$D:$D,MATCH($A513,Product!$A:$A,0))</f>
        <v>Máy đo huyết áp</v>
      </c>
      <c r="D513" s="23" t="s">
        <v>2429</v>
      </c>
      <c r="E513" s="37" t="str">
        <f>INDEX('Attribute Definition'!$B:$B,MATCH($D513,'Attribute Definition'!$A:$A,0))</f>
        <v>Kết nối</v>
      </c>
      <c r="F513" s="38" t="s">
        <v>2657</v>
      </c>
      <c r="G513" s="39" t="str" cm="1">
        <f t="array" ref="G513">_xlfn.TEXTJOIN("; ",TRUE,_xlfn.UNIQUE(_xlfn._xlws.FILTER('Product Variant Attribute'!$F$2:$F$3000,('Product Variant Attribute'!$B$2:$B$3000=$A513)*('Product Variant Attribute'!$D$2:$D$3000=$D513),"")))</f>
        <v>Bluetooth</v>
      </c>
      <c r="H513" s="39"/>
      <c r="I513" s="39"/>
      <c r="J513" s="39" t="str" cm="1">
        <f t="array" ref="J513">IF($I513="","",_xlfn.TEXTJOIN("; ",TRUE,_xlfn.UNIQUE(_xlfn._xlws.FILTER($A$2:$A$3000,($C$2:$C$3000=$C513)*($E$2:$E$3000=$E513)*($G$2:$G$3000&lt;&gt;$G513)*($G$2:$G$3000&lt;&gt;""),""))))</f>
        <v/>
      </c>
    </row>
    <row r="514" spans="1:10" x14ac:dyDescent="0.25">
      <c r="A514" s="23" t="s">
        <v>757</v>
      </c>
      <c r="B514" s="37" t="str">
        <f>INDEX(Product!$B:$B,MATCH($A514,Product!$A:$A,0))</f>
        <v>[Omron] Máy đo huyết áp tự động kết nối Bluetooth - HEM-7142T1</v>
      </c>
      <c r="C514" s="37" t="str">
        <f>INDEX(Product!$D:$D,MATCH($A514,Product!$A:$A,0))</f>
        <v>Máy đo huyết áp</v>
      </c>
      <c r="D514" s="23" t="s">
        <v>2467</v>
      </c>
      <c r="E514" s="37" t="str">
        <f>INDEX('Attribute Definition'!$B:$B,MATCH($D514,'Attribute Definition'!$A:$A,0))</f>
        <v>Chỉ số đo</v>
      </c>
      <c r="F514" s="38" t="s">
        <v>2657</v>
      </c>
      <c r="G514" s="39" t="str" cm="1">
        <f t="array" ref="G514">_xlfn.TEXTJOIN("; ",TRUE,_xlfn.UNIQUE(_xlfn._xlws.FILTER('Product Variant Attribute'!$F$2:$F$3000,('Product Variant Attribute'!$B$2:$B$3000=$A514)*('Product Variant Attribute'!$D$2:$D$3000=$D514),"")))</f>
        <v>Huyết áp, Nhịp tim</v>
      </c>
      <c r="H514" s="39"/>
      <c r="I514" s="39"/>
      <c r="J514" s="39" t="str" cm="1">
        <f t="array" ref="J514">IF($I514="","",_xlfn.TEXTJOIN("; ",TRUE,_xlfn.UNIQUE(_xlfn._xlws.FILTER($A$2:$A$3000,($C$2:$C$3000=$C514)*($E$2:$E$3000=$E514)*($G$2:$G$3000&lt;&gt;$G514)*($G$2:$G$3000&lt;&gt;""),""))))</f>
        <v/>
      </c>
    </row>
    <row r="515" spans="1:10" x14ac:dyDescent="0.25">
      <c r="A515" s="23" t="s">
        <v>757</v>
      </c>
      <c r="B515" s="37" t="str">
        <f>INDEX(Product!$B:$B,MATCH($A515,Product!$A:$A,0))</f>
        <v>[Omron] Máy đo huyết áp tự động kết nối Bluetooth - HEM-7142T1</v>
      </c>
      <c r="C515" s="37" t="str">
        <f>INDEX(Product!$D:$D,MATCH($A515,Product!$A:$A,0))</f>
        <v>Máy đo huyết áp</v>
      </c>
      <c r="D515" s="23" t="s">
        <v>2471</v>
      </c>
      <c r="E515" s="37" t="str">
        <f>INDEX('Attribute Definition'!$B:$B,MATCH($D515,'Attribute Definition'!$A:$A,0))</f>
        <v>Dạng sản phẩm</v>
      </c>
      <c r="F515" s="38" t="s">
        <v>2657</v>
      </c>
      <c r="G515" s="39" t="str" cm="1">
        <f t="array" ref="G515">_xlfn.TEXTJOIN("; ",TRUE,_xlfn.UNIQUE(_xlfn._xlws.FILTER('Product Variant Attribute'!$F$2:$F$3000,('Product Variant Attribute'!$B$2:$B$3000=$A515)*('Product Variant Attribute'!$D$2:$D$3000=$D515),"")))</f>
        <v>Máy / thiết bị điện tử</v>
      </c>
      <c r="H515" s="39"/>
      <c r="I515" s="39"/>
      <c r="J515" s="39" t="str" cm="1">
        <f t="array" ref="J515">IF($I515="","",_xlfn.TEXTJOIN("; ",TRUE,_xlfn.UNIQUE(_xlfn._xlws.FILTER($A$2:$A$3000,($C$2:$C$3000=$C515)*($E$2:$E$3000=$E515)*($G$2:$G$3000&lt;&gt;$G515)*($G$2:$G$3000&lt;&gt;""),""))))</f>
        <v/>
      </c>
    </row>
    <row r="516" spans="1:10" x14ac:dyDescent="0.25">
      <c r="A516" s="23" t="s">
        <v>758</v>
      </c>
      <c r="B516" s="37" t="str">
        <f>INDEX(Product!$B:$B,MATCH($A516,Product!$A:$A,0))</f>
        <v>[Omron] Máy đo huyết áp tự động kết nối Bluetooth - HEM-7142T2</v>
      </c>
      <c r="C516" s="37" t="str">
        <f>INDEX(Product!$D:$D,MATCH($A516,Product!$A:$A,0))</f>
        <v>Máy đo huyết áp</v>
      </c>
      <c r="D516" s="23" t="s">
        <v>2429</v>
      </c>
      <c r="E516" s="37" t="str">
        <f>INDEX('Attribute Definition'!$B:$B,MATCH($D516,'Attribute Definition'!$A:$A,0))</f>
        <v>Kết nối</v>
      </c>
      <c r="F516" s="38" t="s">
        <v>2657</v>
      </c>
      <c r="G516" s="39" t="str" cm="1">
        <f t="array" ref="G516">_xlfn.TEXTJOIN("; ",TRUE,_xlfn.UNIQUE(_xlfn._xlws.FILTER('Product Variant Attribute'!$F$2:$F$3000,('Product Variant Attribute'!$B$2:$B$3000=$A516)*('Product Variant Attribute'!$D$2:$D$3000=$D516),"")))</f>
        <v>Bluetooth</v>
      </c>
      <c r="H516" s="39"/>
      <c r="I516" s="39"/>
      <c r="J516" s="39" t="str" cm="1">
        <f t="array" ref="J516">IF($I516="","",_xlfn.TEXTJOIN("; ",TRUE,_xlfn.UNIQUE(_xlfn._xlws.FILTER($A$2:$A$3000,($C$2:$C$3000=$C516)*($E$2:$E$3000=$E516)*($G$2:$G$3000&lt;&gt;$G516)*($G$2:$G$3000&lt;&gt;""),""))))</f>
        <v/>
      </c>
    </row>
    <row r="517" spans="1:10" x14ac:dyDescent="0.25">
      <c r="A517" s="23" t="s">
        <v>758</v>
      </c>
      <c r="B517" s="37" t="str">
        <f>INDEX(Product!$B:$B,MATCH($A517,Product!$A:$A,0))</f>
        <v>[Omron] Máy đo huyết áp tự động kết nối Bluetooth - HEM-7142T2</v>
      </c>
      <c r="C517" s="37" t="str">
        <f>INDEX(Product!$D:$D,MATCH($A517,Product!$A:$A,0))</f>
        <v>Máy đo huyết áp</v>
      </c>
      <c r="D517" s="23" t="s">
        <v>2467</v>
      </c>
      <c r="E517" s="37" t="str">
        <f>INDEX('Attribute Definition'!$B:$B,MATCH($D517,'Attribute Definition'!$A:$A,0))</f>
        <v>Chỉ số đo</v>
      </c>
      <c r="F517" s="38" t="s">
        <v>2657</v>
      </c>
      <c r="G517" s="39" t="str" cm="1">
        <f t="array" ref="G517">_xlfn.TEXTJOIN("; ",TRUE,_xlfn.UNIQUE(_xlfn._xlws.FILTER('Product Variant Attribute'!$F$2:$F$3000,('Product Variant Attribute'!$B$2:$B$3000=$A517)*('Product Variant Attribute'!$D$2:$D$3000=$D517),"")))</f>
        <v>Huyết áp, Nhịp tim</v>
      </c>
      <c r="H517" s="39"/>
      <c r="I517" s="39"/>
      <c r="J517" s="39" t="str" cm="1">
        <f t="array" ref="J517">IF($I517="","",_xlfn.TEXTJOIN("; ",TRUE,_xlfn.UNIQUE(_xlfn._xlws.FILTER($A$2:$A$3000,($C$2:$C$3000=$C517)*($E$2:$E$3000=$E517)*($G$2:$G$3000&lt;&gt;$G517)*($G$2:$G$3000&lt;&gt;""),""))))</f>
        <v/>
      </c>
    </row>
    <row r="518" spans="1:10" x14ac:dyDescent="0.25">
      <c r="A518" s="23" t="s">
        <v>758</v>
      </c>
      <c r="B518" s="37" t="str">
        <f>INDEX(Product!$B:$B,MATCH($A518,Product!$A:$A,0))</f>
        <v>[Omron] Máy đo huyết áp tự động kết nối Bluetooth - HEM-7142T2</v>
      </c>
      <c r="C518" s="37" t="str">
        <f>INDEX(Product!$D:$D,MATCH($A518,Product!$A:$A,0))</f>
        <v>Máy đo huyết áp</v>
      </c>
      <c r="D518" s="23" t="s">
        <v>2471</v>
      </c>
      <c r="E518" s="37" t="str">
        <f>INDEX('Attribute Definition'!$B:$B,MATCH($D518,'Attribute Definition'!$A:$A,0))</f>
        <v>Dạng sản phẩm</v>
      </c>
      <c r="F518" s="38" t="s">
        <v>2657</v>
      </c>
      <c r="G518" s="39" t="str" cm="1">
        <f t="array" ref="G518">_xlfn.TEXTJOIN("; ",TRUE,_xlfn.UNIQUE(_xlfn._xlws.FILTER('Product Variant Attribute'!$F$2:$F$3000,('Product Variant Attribute'!$B$2:$B$3000=$A518)*('Product Variant Attribute'!$D$2:$D$3000=$D518),"")))</f>
        <v>Máy / thiết bị điện tử</v>
      </c>
      <c r="H518" s="39"/>
      <c r="I518" s="39"/>
      <c r="J518" s="39" t="str" cm="1">
        <f t="array" ref="J518">IF($I518="","",_xlfn.TEXTJOIN("; ",TRUE,_xlfn.UNIQUE(_xlfn._xlws.FILTER($A$2:$A$3000,($C$2:$C$3000=$C518)*($E$2:$E$3000=$E518)*($G$2:$G$3000&lt;&gt;$G518)*($G$2:$G$3000&lt;&gt;""),""))))</f>
        <v/>
      </c>
    </row>
    <row r="519" spans="1:10" x14ac:dyDescent="0.25">
      <c r="A519" s="23" t="s">
        <v>759</v>
      </c>
      <c r="B519" s="37" t="str">
        <f>INDEX(Product!$B:$B,MATCH($A519,Product!$A:$A,0))</f>
        <v>[Omron] Máy đo huyết áp tự động kết nối Bluetooth - HEM-7143T1</v>
      </c>
      <c r="C519" s="37" t="str">
        <f>INDEX(Product!$D:$D,MATCH($A519,Product!$A:$A,0))</f>
        <v>Máy đo huyết áp</v>
      </c>
      <c r="D519" s="23" t="s">
        <v>2429</v>
      </c>
      <c r="E519" s="37" t="str">
        <f>INDEX('Attribute Definition'!$B:$B,MATCH($D519,'Attribute Definition'!$A:$A,0))</f>
        <v>Kết nối</v>
      </c>
      <c r="F519" s="38" t="s">
        <v>2657</v>
      </c>
      <c r="G519" s="39" t="str" cm="1">
        <f t="array" ref="G519">_xlfn.TEXTJOIN("; ",TRUE,_xlfn.UNIQUE(_xlfn._xlws.FILTER('Product Variant Attribute'!$F$2:$F$3000,('Product Variant Attribute'!$B$2:$B$3000=$A519)*('Product Variant Attribute'!$D$2:$D$3000=$D519),"")))</f>
        <v>Bluetooth</v>
      </c>
      <c r="H519" s="39"/>
      <c r="I519" s="39"/>
      <c r="J519" s="39" t="str" cm="1">
        <f t="array" ref="J519">IF($I519="","",_xlfn.TEXTJOIN("; ",TRUE,_xlfn.UNIQUE(_xlfn._xlws.FILTER($A$2:$A$3000,($C$2:$C$3000=$C519)*($E$2:$E$3000=$E519)*($G$2:$G$3000&lt;&gt;$G519)*($G$2:$G$3000&lt;&gt;""),""))))</f>
        <v/>
      </c>
    </row>
    <row r="520" spans="1:10" x14ac:dyDescent="0.25">
      <c r="A520" s="23" t="s">
        <v>759</v>
      </c>
      <c r="B520" s="37" t="str">
        <f>INDEX(Product!$B:$B,MATCH($A520,Product!$A:$A,0))</f>
        <v>[Omron] Máy đo huyết áp tự động kết nối Bluetooth - HEM-7143T1</v>
      </c>
      <c r="C520" s="37" t="str">
        <f>INDEX(Product!$D:$D,MATCH($A520,Product!$A:$A,0))</f>
        <v>Máy đo huyết áp</v>
      </c>
      <c r="D520" s="23" t="s">
        <v>2467</v>
      </c>
      <c r="E520" s="37" t="str">
        <f>INDEX('Attribute Definition'!$B:$B,MATCH($D520,'Attribute Definition'!$A:$A,0))</f>
        <v>Chỉ số đo</v>
      </c>
      <c r="F520" s="38" t="s">
        <v>2657</v>
      </c>
      <c r="G520" s="39" t="str" cm="1">
        <f t="array" ref="G520">_xlfn.TEXTJOIN("; ",TRUE,_xlfn.UNIQUE(_xlfn._xlws.FILTER('Product Variant Attribute'!$F$2:$F$3000,('Product Variant Attribute'!$B$2:$B$3000=$A520)*('Product Variant Attribute'!$D$2:$D$3000=$D520),"")))</f>
        <v>Huyết áp, Nhịp tim</v>
      </c>
      <c r="H520" s="39"/>
      <c r="I520" s="39"/>
      <c r="J520" s="39" t="str" cm="1">
        <f t="array" ref="J520">IF($I520="","",_xlfn.TEXTJOIN("; ",TRUE,_xlfn.UNIQUE(_xlfn._xlws.FILTER($A$2:$A$3000,($C$2:$C$3000=$C520)*($E$2:$E$3000=$E520)*($G$2:$G$3000&lt;&gt;$G520)*($G$2:$G$3000&lt;&gt;""),""))))</f>
        <v/>
      </c>
    </row>
    <row r="521" spans="1:10" x14ac:dyDescent="0.25">
      <c r="A521" s="23" t="s">
        <v>759</v>
      </c>
      <c r="B521" s="37" t="str">
        <f>INDEX(Product!$B:$B,MATCH($A521,Product!$A:$A,0))</f>
        <v>[Omron] Máy đo huyết áp tự động kết nối Bluetooth - HEM-7143T1</v>
      </c>
      <c r="C521" s="37" t="str">
        <f>INDEX(Product!$D:$D,MATCH($A521,Product!$A:$A,0))</f>
        <v>Máy đo huyết áp</v>
      </c>
      <c r="D521" s="23" t="s">
        <v>2471</v>
      </c>
      <c r="E521" s="37" t="str">
        <f>INDEX('Attribute Definition'!$B:$B,MATCH($D521,'Attribute Definition'!$A:$A,0))</f>
        <v>Dạng sản phẩm</v>
      </c>
      <c r="F521" s="38" t="s">
        <v>2657</v>
      </c>
      <c r="G521" s="39" t="str" cm="1">
        <f t="array" ref="G521">_xlfn.TEXTJOIN("; ",TRUE,_xlfn.UNIQUE(_xlfn._xlws.FILTER('Product Variant Attribute'!$F$2:$F$3000,('Product Variant Attribute'!$B$2:$B$3000=$A521)*('Product Variant Attribute'!$D$2:$D$3000=$D521),"")))</f>
        <v>Máy / thiết bị điện tử</v>
      </c>
      <c r="H521" s="39"/>
      <c r="I521" s="39"/>
      <c r="J521" s="39" t="str" cm="1">
        <f t="array" ref="J521">IF($I521="","",_xlfn.TEXTJOIN("; ",TRUE,_xlfn.UNIQUE(_xlfn._xlws.FILTER($A$2:$A$3000,($C$2:$C$3000=$C521)*($E$2:$E$3000=$E521)*($G$2:$G$3000&lt;&gt;$G521)*($G$2:$G$3000&lt;&gt;""),""))))</f>
        <v/>
      </c>
    </row>
    <row r="522" spans="1:10" ht="30" x14ac:dyDescent="0.25">
      <c r="A522" s="23" t="s">
        <v>760</v>
      </c>
      <c r="B522" s="37" t="str">
        <f>INDEX(Product!$B:$B,MATCH($A522,Product!$A:$A,0))</f>
        <v>[Omron] Máy đo thành phần cơ thể - HBF-375</v>
      </c>
      <c r="C522" s="37" t="str">
        <f>INDEX(Product!$D:$D,MATCH($A522,Product!$A:$A,0))</f>
        <v>Cân &amp; máy đo thành phần cơ thể</v>
      </c>
      <c r="D522" s="23" t="s">
        <v>2467</v>
      </c>
      <c r="E522" s="37" t="str">
        <f>INDEX('Attribute Definition'!$B:$B,MATCH($D522,'Attribute Definition'!$A:$A,0))</f>
        <v>Chỉ số đo</v>
      </c>
      <c r="F522" s="38" t="s">
        <v>2657</v>
      </c>
      <c r="G522" s="39" t="str" cm="1">
        <f t="array" ref="G522">_xlfn.TEXTJOIN("; ",TRUE,_xlfn.UNIQUE(_xlfn._xlws.FILTER('Product Variant Attribute'!$F$2:$F$3000,('Product Variant Attribute'!$B$2:$B$3000=$A522)*('Product Variant Attribute'!$D$2:$D$3000=$D522),"")))</f>
        <v>Cân nặng, Thành phần cơ thể</v>
      </c>
      <c r="H522" s="39"/>
      <c r="I522" s="39" t="s">
        <v>2753</v>
      </c>
      <c r="J522" s="39" t="str" cm="1">
        <f t="array" ref="J522">IF($I522="","",_xlfn.TEXTJOIN("; ",TRUE,_xlfn.UNIQUE(_xlfn._xlws.FILTER($A$2:$A$3000,($C$2:$C$3000=$C522)*($E$2:$E$3000=$E522)*($G$2:$G$3000&lt;&gt;$G522)*($G$2:$G$3000&lt;&gt;""),""))))</f>
        <v>PRODUCT-00189</v>
      </c>
    </row>
    <row r="523" spans="1:10" x14ac:dyDescent="0.25">
      <c r="A523" s="23" t="s">
        <v>760</v>
      </c>
      <c r="B523" s="37" t="str">
        <f>INDEX(Product!$B:$B,MATCH($A523,Product!$A:$A,0))</f>
        <v>[Omron] Máy đo thành phần cơ thể - HBF-375</v>
      </c>
      <c r="C523" s="37" t="str">
        <f>INDEX(Product!$D:$D,MATCH($A523,Product!$A:$A,0))</f>
        <v>Cân &amp; máy đo thành phần cơ thể</v>
      </c>
      <c r="D523" s="23" t="s">
        <v>2471</v>
      </c>
      <c r="E523" s="37" t="str">
        <f>INDEX('Attribute Definition'!$B:$B,MATCH($D523,'Attribute Definition'!$A:$A,0))</f>
        <v>Dạng sản phẩm</v>
      </c>
      <c r="F523" s="38" t="s">
        <v>2657</v>
      </c>
      <c r="G523" s="39" t="str" cm="1">
        <f t="array" ref="G523">_xlfn.TEXTJOIN("; ",TRUE,_xlfn.UNIQUE(_xlfn._xlws.FILTER('Product Variant Attribute'!$F$2:$F$3000,('Product Variant Attribute'!$B$2:$B$3000=$A523)*('Product Variant Attribute'!$D$2:$D$3000=$D523),"")))</f>
        <v>Máy / thiết bị điện tử</v>
      </c>
      <c r="H523" s="39"/>
      <c r="I523" s="39"/>
      <c r="J523" s="39" t="str" cm="1">
        <f t="array" ref="J523">IF($I523="","",_xlfn.TEXTJOIN("; ",TRUE,_xlfn.UNIQUE(_xlfn._xlws.FILTER($A$2:$A$3000,($C$2:$C$3000=$C523)*($E$2:$E$3000=$E523)*($G$2:$G$3000&lt;&gt;$G523)*($G$2:$G$3000&lt;&gt;""),""))))</f>
        <v/>
      </c>
    </row>
    <row r="524" spans="1:10" x14ac:dyDescent="0.25">
      <c r="A524" s="23" t="s">
        <v>761</v>
      </c>
      <c r="B524" s="37" t="str">
        <f>INDEX(Product!$B:$B,MATCH($A524,Product!$A:$A,0))</f>
        <v>[Omron] Nhiệt kế điện tử - MC-246</v>
      </c>
      <c r="C524" s="37" t="str">
        <f>INDEX(Product!$D:$D,MATCH($A524,Product!$A:$A,0))</f>
        <v>Nhiệt kế điện tử</v>
      </c>
      <c r="D524" s="23" t="s">
        <v>2467</v>
      </c>
      <c r="E524" s="37" t="str">
        <f>INDEX('Attribute Definition'!$B:$B,MATCH($D524,'Attribute Definition'!$A:$A,0))</f>
        <v>Chỉ số đo</v>
      </c>
      <c r="F524" s="38" t="s">
        <v>2657</v>
      </c>
      <c r="G524" s="39" t="str" cm="1">
        <f t="array" ref="G524">_xlfn.TEXTJOIN("; ",TRUE,_xlfn.UNIQUE(_xlfn._xlws.FILTER('Product Variant Attribute'!$F$2:$F$3000,('Product Variant Attribute'!$B$2:$B$3000=$A524)*('Product Variant Attribute'!$D$2:$D$3000=$D524),"")))</f>
        <v>Nhiệt độ</v>
      </c>
      <c r="H524" s="39"/>
      <c r="I524" s="39"/>
      <c r="J524" s="39" t="str" cm="1">
        <f t="array" ref="J524">IF($I524="","",_xlfn.TEXTJOIN("; ",TRUE,_xlfn.UNIQUE(_xlfn._xlws.FILTER($A$2:$A$3000,($C$2:$C$3000=$C524)*($E$2:$E$3000=$E524)*($G$2:$G$3000&lt;&gt;$G524)*($G$2:$G$3000&lt;&gt;""),""))))</f>
        <v/>
      </c>
    </row>
    <row r="525" spans="1:10" x14ac:dyDescent="0.25">
      <c r="A525" s="23" t="s">
        <v>761</v>
      </c>
      <c r="B525" s="37" t="str">
        <f>INDEX(Product!$B:$B,MATCH($A525,Product!$A:$A,0))</f>
        <v>[Omron] Nhiệt kế điện tử - MC-246</v>
      </c>
      <c r="C525" s="37" t="str">
        <f>INDEX(Product!$D:$D,MATCH($A525,Product!$A:$A,0))</f>
        <v>Nhiệt kế điện tử</v>
      </c>
      <c r="D525" s="23" t="s">
        <v>2471</v>
      </c>
      <c r="E525" s="37" t="str">
        <f>INDEX('Attribute Definition'!$B:$B,MATCH($D525,'Attribute Definition'!$A:$A,0))</f>
        <v>Dạng sản phẩm</v>
      </c>
      <c r="F525" s="38" t="s">
        <v>2657</v>
      </c>
      <c r="G525" s="39" t="str" cm="1">
        <f t="array" ref="G525">_xlfn.TEXTJOIN("; ",TRUE,_xlfn.UNIQUE(_xlfn._xlws.FILTER('Product Variant Attribute'!$F$2:$F$3000,('Product Variant Attribute'!$B$2:$B$3000=$A525)*('Product Variant Attribute'!$D$2:$D$3000=$D525),"")))</f>
        <v>Máy / thiết bị điện tử</v>
      </c>
      <c r="H525" s="39"/>
      <c r="I525" s="39"/>
      <c r="J525" s="39" t="str" cm="1">
        <f t="array" ref="J525">IF($I525="","",_xlfn.TEXTJOIN("; ",TRUE,_xlfn.UNIQUE(_xlfn._xlws.FILTER($A$2:$A$3000,($C$2:$C$3000=$C525)*($E$2:$E$3000=$E525)*($G$2:$G$3000&lt;&gt;$G525)*($G$2:$G$3000&lt;&gt;""),""))))</f>
        <v/>
      </c>
    </row>
    <row r="526" spans="1:10" x14ac:dyDescent="0.25">
      <c r="A526" s="23" t="s">
        <v>762</v>
      </c>
      <c r="B526" s="37" t="str">
        <f>INDEX(Product!$B:$B,MATCH($A526,Product!$A:$A,0))</f>
        <v>[Omron] Nhiệt kế điện tử đo trán - MC-720</v>
      </c>
      <c r="C526" s="37" t="str">
        <f>INDEX(Product!$D:$D,MATCH($A526,Product!$A:$A,0))</f>
        <v>Nhiệt kế điện tử</v>
      </c>
      <c r="D526" s="23" t="s">
        <v>2439</v>
      </c>
      <c r="E526" s="37" t="str">
        <f>INDEX('Attribute Definition'!$B:$B,MATCH($D526,'Attribute Definition'!$A:$A,0))</f>
        <v>Vị trí sử dụng trên cơ thể</v>
      </c>
      <c r="F526" s="38" t="s">
        <v>2657</v>
      </c>
      <c r="G526" s="39" t="str" cm="1">
        <f t="array" ref="G526">_xlfn.TEXTJOIN("; ",TRUE,_xlfn.UNIQUE(_xlfn._xlws.FILTER('Product Variant Attribute'!$F$2:$F$3000,('Product Variant Attribute'!$B$2:$B$3000=$A526)*('Product Variant Attribute'!$D$2:$D$3000=$D526),"")))</f>
        <v>Trán</v>
      </c>
      <c r="H526" s="39"/>
      <c r="I526" s="39"/>
      <c r="J526" s="39" t="str" cm="1">
        <f t="array" ref="J526">IF($I526="","",_xlfn.TEXTJOIN("; ",TRUE,_xlfn.UNIQUE(_xlfn._xlws.FILTER($A$2:$A$3000,($C$2:$C$3000=$C526)*($E$2:$E$3000=$E526)*($G$2:$G$3000&lt;&gt;$G526)*($G$2:$G$3000&lt;&gt;""),""))))</f>
        <v/>
      </c>
    </row>
    <row r="527" spans="1:10" x14ac:dyDescent="0.25">
      <c r="A527" s="23" t="s">
        <v>762</v>
      </c>
      <c r="B527" s="37" t="str">
        <f>INDEX(Product!$B:$B,MATCH($A527,Product!$A:$A,0))</f>
        <v>[Omron] Nhiệt kế điện tử đo trán - MC-720</v>
      </c>
      <c r="C527" s="37" t="str">
        <f>INDEX(Product!$D:$D,MATCH($A527,Product!$A:$A,0))</f>
        <v>Nhiệt kế điện tử</v>
      </c>
      <c r="D527" s="23" t="s">
        <v>2467</v>
      </c>
      <c r="E527" s="37" t="str">
        <f>INDEX('Attribute Definition'!$B:$B,MATCH($D527,'Attribute Definition'!$A:$A,0))</f>
        <v>Chỉ số đo</v>
      </c>
      <c r="F527" s="38" t="s">
        <v>2657</v>
      </c>
      <c r="G527" s="39" t="str" cm="1">
        <f t="array" ref="G527">_xlfn.TEXTJOIN("; ",TRUE,_xlfn.UNIQUE(_xlfn._xlws.FILTER('Product Variant Attribute'!$F$2:$F$3000,('Product Variant Attribute'!$B$2:$B$3000=$A527)*('Product Variant Attribute'!$D$2:$D$3000=$D527),"")))</f>
        <v>Nhiệt độ</v>
      </c>
      <c r="H527" s="39"/>
      <c r="I527" s="39"/>
      <c r="J527" s="39" t="str" cm="1">
        <f t="array" ref="J527">IF($I527="","",_xlfn.TEXTJOIN("; ",TRUE,_xlfn.UNIQUE(_xlfn._xlws.FILTER($A$2:$A$3000,($C$2:$C$3000=$C527)*($E$2:$E$3000=$E527)*($G$2:$G$3000&lt;&gt;$G527)*($G$2:$G$3000&lt;&gt;""),""))))</f>
        <v/>
      </c>
    </row>
    <row r="528" spans="1:10" x14ac:dyDescent="0.25">
      <c r="A528" s="23" t="s">
        <v>762</v>
      </c>
      <c r="B528" s="37" t="str">
        <f>INDEX(Product!$B:$B,MATCH($A528,Product!$A:$A,0))</f>
        <v>[Omron] Nhiệt kế điện tử đo trán - MC-720</v>
      </c>
      <c r="C528" s="37" t="str">
        <f>INDEX(Product!$D:$D,MATCH($A528,Product!$A:$A,0))</f>
        <v>Nhiệt kế điện tử</v>
      </c>
      <c r="D528" s="23" t="s">
        <v>2471</v>
      </c>
      <c r="E528" s="37" t="str">
        <f>INDEX('Attribute Definition'!$B:$B,MATCH($D528,'Attribute Definition'!$A:$A,0))</f>
        <v>Dạng sản phẩm</v>
      </c>
      <c r="F528" s="38" t="s">
        <v>2657</v>
      </c>
      <c r="G528" s="39" t="str" cm="1">
        <f t="array" ref="G528">_xlfn.TEXTJOIN("; ",TRUE,_xlfn.UNIQUE(_xlfn._xlws.FILTER('Product Variant Attribute'!$F$2:$F$3000,('Product Variant Attribute'!$B$2:$B$3000=$A528)*('Product Variant Attribute'!$D$2:$D$3000=$D528),"")))</f>
        <v>Máy / thiết bị điện tử</v>
      </c>
      <c r="H528" s="39"/>
      <c r="I528" s="39"/>
      <c r="J528" s="39" t="str" cm="1">
        <f t="array" ref="J528">IF($I528="","",_xlfn.TEXTJOIN("; ",TRUE,_xlfn.UNIQUE(_xlfn._xlws.FILTER($A$2:$A$3000,($C$2:$C$3000=$C528)*($E$2:$E$3000=$E528)*($G$2:$G$3000&lt;&gt;$G528)*($G$2:$G$3000&lt;&gt;""),""))))</f>
        <v/>
      </c>
    </row>
    <row r="529" spans="1:10" ht="30" x14ac:dyDescent="0.25">
      <c r="A529" s="23" t="s">
        <v>763</v>
      </c>
      <c r="B529" s="37" t="str">
        <f>INDEX(Product!$B:$B,MATCH($A529,Product!$A:$A,0))</f>
        <v>[Roche] Máy đo đường huyết - Accu-Chek Instant</v>
      </c>
      <c r="C529" s="37" t="str">
        <f>INDEX(Product!$D:$D,MATCH($A529,Product!$A:$A,0))</f>
        <v>Máy đo đường huyết</v>
      </c>
      <c r="D529" s="23" t="s">
        <v>2467</v>
      </c>
      <c r="E529" s="37" t="str">
        <f>INDEX('Attribute Definition'!$B:$B,MATCH($D529,'Attribute Definition'!$A:$A,0))</f>
        <v>Chỉ số đo</v>
      </c>
      <c r="F529" s="38" t="s">
        <v>2657</v>
      </c>
      <c r="G529" s="39" t="str" cm="1">
        <f t="array" ref="G529">_xlfn.TEXTJOIN("; ",TRUE,_xlfn.UNIQUE(_xlfn._xlws.FILTER('Product Variant Attribute'!$F$2:$F$3000,('Product Variant Attribute'!$B$2:$B$3000=$A529)*('Product Variant Attribute'!$D$2:$D$3000=$D529),"")))</f>
        <v>Đường huyết</v>
      </c>
      <c r="H529" s="39"/>
      <c r="I529" s="39" t="s">
        <v>2750</v>
      </c>
      <c r="J529" s="39" t="str" cm="1">
        <f t="array" ref="J529">IF($I529="","",_xlfn.TEXTJOIN("; ",TRUE,_xlfn.UNIQUE(_xlfn._xlws.FILTER($A$2:$A$3000,($C$2:$C$3000=$C529)*($E$2:$E$3000=$E529)*($G$2:$G$3000&lt;&gt;$G529)*($G$2:$G$3000&lt;&gt;""),""))))</f>
        <v>PRODUCT-00180</v>
      </c>
    </row>
    <row r="530" spans="1:10" x14ac:dyDescent="0.25">
      <c r="A530" s="23" t="s">
        <v>763</v>
      </c>
      <c r="B530" s="37" t="str">
        <f>INDEX(Product!$B:$B,MATCH($A530,Product!$A:$A,0))</f>
        <v>[Roche] Máy đo đường huyết - Accu-Chek Instant</v>
      </c>
      <c r="C530" s="37" t="str">
        <f>INDEX(Product!$D:$D,MATCH($A530,Product!$A:$A,0))</f>
        <v>Máy đo đường huyết</v>
      </c>
      <c r="D530" s="23" t="s">
        <v>2471</v>
      </c>
      <c r="E530" s="37" t="str">
        <f>INDEX('Attribute Definition'!$B:$B,MATCH($D530,'Attribute Definition'!$A:$A,0))</f>
        <v>Dạng sản phẩm</v>
      </c>
      <c r="F530" s="38" t="s">
        <v>2657</v>
      </c>
      <c r="G530" s="39" t="str" cm="1">
        <f t="array" ref="G530">_xlfn.TEXTJOIN("; ",TRUE,_xlfn.UNIQUE(_xlfn._xlws.FILTER('Product Variant Attribute'!$F$2:$F$3000,('Product Variant Attribute'!$B$2:$B$3000=$A530)*('Product Variant Attribute'!$D$2:$D$3000=$D530),"")))</f>
        <v>Máy / thiết bị điện tử</v>
      </c>
      <c r="H530" s="39"/>
      <c r="I530" s="39"/>
      <c r="J530" s="39" t="str" cm="1">
        <f t="array" ref="J530">IF($I530="","",_xlfn.TEXTJOIN("; ",TRUE,_xlfn.UNIQUE(_xlfn._xlws.FILTER($A$2:$A$3000,($C$2:$C$3000=$C530)*($E$2:$E$3000=$E530)*($G$2:$G$3000&lt;&gt;$G530)*($G$2:$G$3000&lt;&gt;""),""))))</f>
        <v/>
      </c>
    </row>
    <row r="531" spans="1:10" x14ac:dyDescent="0.25">
      <c r="A531" s="23" t="s">
        <v>764</v>
      </c>
      <c r="B531" s="37" t="str">
        <f>INDEX(Product!$B:$B,MATCH($A531,Product!$A:$A,0))</f>
        <v>[Roche] Que thử đường huyết - Accu-Chek Instant</v>
      </c>
      <c r="C531" s="37" t="str">
        <f>INDEX(Product!$D:$D,MATCH($A531,Product!$A:$A,0))</f>
        <v>Que thử</v>
      </c>
      <c r="D531" s="23" t="s">
        <v>2467</v>
      </c>
      <c r="E531" s="37" t="str">
        <f>INDEX('Attribute Definition'!$B:$B,MATCH($D531,'Attribute Definition'!$A:$A,0))</f>
        <v>Chỉ số đo</v>
      </c>
      <c r="F531" s="38" t="s">
        <v>2657</v>
      </c>
      <c r="G531" s="39" t="str" cm="1">
        <f t="array" ref="G531">_xlfn.TEXTJOIN("; ",TRUE,_xlfn.UNIQUE(_xlfn._xlws.FILTER('Product Variant Attribute'!$F$2:$F$3000,('Product Variant Attribute'!$B$2:$B$3000=$A531)*('Product Variant Attribute'!$D$2:$D$3000=$D531),"")))</f>
        <v>Đường huyết</v>
      </c>
      <c r="H531" s="39"/>
      <c r="I531" s="39"/>
      <c r="J531" s="39" t="str" cm="1">
        <f t="array" ref="J531">IF($I531="","",_xlfn.TEXTJOIN("; ",TRUE,_xlfn.UNIQUE(_xlfn._xlws.FILTER($A$2:$A$3000,($C$2:$C$3000=$C531)*($E$2:$E$3000=$E531)*($G$2:$G$3000&lt;&gt;$G531)*($G$2:$G$3000&lt;&gt;""),""))))</f>
        <v/>
      </c>
    </row>
    <row r="532" spans="1:10" x14ac:dyDescent="0.25">
      <c r="A532" s="23" t="s">
        <v>764</v>
      </c>
      <c r="B532" s="37" t="str">
        <f>INDEX(Product!$B:$B,MATCH($A532,Product!$A:$A,0))</f>
        <v>[Roche] Que thử đường huyết - Accu-Chek Instant</v>
      </c>
      <c r="C532" s="37" t="str">
        <f>INDEX(Product!$D:$D,MATCH($A532,Product!$A:$A,0))</f>
        <v>Que thử</v>
      </c>
      <c r="D532" s="23" t="s">
        <v>2471</v>
      </c>
      <c r="E532" s="37" t="str">
        <f>INDEX('Attribute Definition'!$B:$B,MATCH($D532,'Attribute Definition'!$A:$A,0))</f>
        <v>Dạng sản phẩm</v>
      </c>
      <c r="F532" s="38" t="s">
        <v>2657</v>
      </c>
      <c r="G532" s="39" t="str" cm="1">
        <f t="array" ref="G532">_xlfn.TEXTJOIN("; ",TRUE,_xlfn.UNIQUE(_xlfn._xlws.FILTER('Product Variant Attribute'!$F$2:$F$3000,('Product Variant Attribute'!$B$2:$B$3000=$A532)*('Product Variant Attribute'!$D$2:$D$3000=$D532),"")))</f>
        <v>Que thử</v>
      </c>
      <c r="H532" s="39"/>
      <c r="I532" s="39"/>
      <c r="J532" s="39" t="str" cm="1">
        <f t="array" ref="J532">IF($I532="","",_xlfn.TEXTJOIN("; ",TRUE,_xlfn.UNIQUE(_xlfn._xlws.FILTER($A$2:$A$3000,($C$2:$C$3000=$C532)*($E$2:$E$3000=$E532)*($G$2:$G$3000&lt;&gt;$G532)*($G$2:$G$3000&lt;&gt;""),""))))</f>
        <v/>
      </c>
    </row>
    <row r="533" spans="1:10" x14ac:dyDescent="0.25">
      <c r="A533" s="23" t="s">
        <v>765</v>
      </c>
      <c r="B533" s="37" t="str">
        <f>INDEX(Product!$B:$B,MATCH($A533,Product!$A:$A,0))</f>
        <v>[Sinocare] Hệ thống đo đường huyết liên tục CGM - iCan i3</v>
      </c>
      <c r="C533" s="37" t="str">
        <f>INDEX(Product!$D:$D,MATCH($A533,Product!$A:$A,0))</f>
        <v>Hệ thống đo đường huyết liên tục (CGM)</v>
      </c>
      <c r="D533" s="23" t="s">
        <v>2467</v>
      </c>
      <c r="E533" s="37" t="str">
        <f>INDEX('Attribute Definition'!$B:$B,MATCH($D533,'Attribute Definition'!$A:$A,0))</f>
        <v>Chỉ số đo</v>
      </c>
      <c r="F533" s="38" t="s">
        <v>2657</v>
      </c>
      <c r="G533" s="39" t="str" cm="1">
        <f t="array" ref="G533">_xlfn.TEXTJOIN("; ",TRUE,_xlfn.UNIQUE(_xlfn._xlws.FILTER('Product Variant Attribute'!$F$2:$F$3000,('Product Variant Attribute'!$B$2:$B$3000=$A533)*('Product Variant Attribute'!$D$2:$D$3000=$D533),"")))</f>
        <v>Đường huyết</v>
      </c>
      <c r="H533" s="39"/>
      <c r="I533" s="39"/>
      <c r="J533" s="39" t="str" cm="1">
        <f t="array" ref="J533">IF($I533="","",_xlfn.TEXTJOIN("; ",TRUE,_xlfn.UNIQUE(_xlfn._xlws.FILTER($A$2:$A$3000,($C$2:$C$3000=$C533)*($E$2:$E$3000=$E533)*($G$2:$G$3000&lt;&gt;$G533)*($G$2:$G$3000&lt;&gt;""),""))))</f>
        <v/>
      </c>
    </row>
    <row r="534" spans="1:10" x14ac:dyDescent="0.25">
      <c r="A534" s="23" t="s">
        <v>765</v>
      </c>
      <c r="B534" s="37" t="str">
        <f>INDEX(Product!$B:$B,MATCH($A534,Product!$A:$A,0))</f>
        <v>[Sinocare] Hệ thống đo đường huyết liên tục CGM - iCan i3</v>
      </c>
      <c r="C534" s="37" t="str">
        <f>INDEX(Product!$D:$D,MATCH($A534,Product!$A:$A,0))</f>
        <v>Hệ thống đo đường huyết liên tục (CGM)</v>
      </c>
      <c r="D534" s="23" t="s">
        <v>2471</v>
      </c>
      <c r="E534" s="37" t="str">
        <f>INDEX('Attribute Definition'!$B:$B,MATCH($D534,'Attribute Definition'!$A:$A,0))</f>
        <v>Dạng sản phẩm</v>
      </c>
      <c r="F534" s="38" t="s">
        <v>2657</v>
      </c>
      <c r="G534" s="39" t="str" cm="1">
        <f t="array" ref="G534">_xlfn.TEXTJOIN("; ",TRUE,_xlfn.UNIQUE(_xlfn._xlws.FILTER('Product Variant Attribute'!$F$2:$F$3000,('Product Variant Attribute'!$B$2:$B$3000=$A534)*('Product Variant Attribute'!$D$2:$D$3000=$D534),"")))</f>
        <v>Máy / thiết bị điện tử</v>
      </c>
      <c r="H534" s="39"/>
      <c r="I534" s="39"/>
      <c r="J534" s="39" t="str" cm="1">
        <f t="array" ref="J534">IF($I534="","",_xlfn.TEXTJOIN("; ",TRUE,_xlfn.UNIQUE(_xlfn._xlws.FILTER($A$2:$A$3000,($C$2:$C$3000=$C534)*($E$2:$E$3000=$E534)*($G$2:$G$3000&lt;&gt;$G534)*($G$2:$G$3000&lt;&gt;""),""))))</f>
        <v/>
      </c>
    </row>
    <row r="535" spans="1:10" ht="30" x14ac:dyDescent="0.25">
      <c r="A535" s="23" t="s">
        <v>766</v>
      </c>
      <c r="B535" s="37" t="str">
        <f>INDEX(Product!$B:$B,MATCH($A535,Product!$A:$A,0))</f>
        <v>[Sinocare] Máy đo đường huyết - Safe-Accu</v>
      </c>
      <c r="C535" s="37" t="str">
        <f>INDEX(Product!$D:$D,MATCH($A535,Product!$A:$A,0))</f>
        <v>Máy đo đường huyết</v>
      </c>
      <c r="D535" s="23" t="s">
        <v>2467</v>
      </c>
      <c r="E535" s="37" t="str">
        <f>INDEX('Attribute Definition'!$B:$B,MATCH($D535,'Attribute Definition'!$A:$A,0))</f>
        <v>Chỉ số đo</v>
      </c>
      <c r="F535" s="38" t="s">
        <v>2657</v>
      </c>
      <c r="G535" s="39" t="str" cm="1">
        <f t="array" ref="G535">_xlfn.TEXTJOIN("; ",TRUE,_xlfn.UNIQUE(_xlfn._xlws.FILTER('Product Variant Attribute'!$F$2:$F$3000,('Product Variant Attribute'!$B$2:$B$3000=$A535)*('Product Variant Attribute'!$D$2:$D$3000=$D535),"")))</f>
        <v>Đường huyết</v>
      </c>
      <c r="H535" s="39"/>
      <c r="I535" s="39" t="s">
        <v>2750</v>
      </c>
      <c r="J535" s="39" t="str" cm="1">
        <f t="array" ref="J535">IF($I535="","",_xlfn.TEXTJOIN("; ",TRUE,_xlfn.UNIQUE(_xlfn._xlws.FILTER($A$2:$A$3000,($C$2:$C$3000=$C535)*($E$2:$E$3000=$E535)*($G$2:$G$3000&lt;&gt;$G535)*($G$2:$G$3000&lt;&gt;""),""))))</f>
        <v>PRODUCT-00180</v>
      </c>
    </row>
    <row r="536" spans="1:10" x14ac:dyDescent="0.25">
      <c r="A536" s="23" t="s">
        <v>766</v>
      </c>
      <c r="B536" s="37" t="str">
        <f>INDEX(Product!$B:$B,MATCH($A536,Product!$A:$A,0))</f>
        <v>[Sinocare] Máy đo đường huyết - Safe-Accu</v>
      </c>
      <c r="C536" s="37" t="str">
        <f>INDEX(Product!$D:$D,MATCH($A536,Product!$A:$A,0))</f>
        <v>Máy đo đường huyết</v>
      </c>
      <c r="D536" s="23" t="s">
        <v>2471</v>
      </c>
      <c r="E536" s="37" t="str">
        <f>INDEX('Attribute Definition'!$B:$B,MATCH($D536,'Attribute Definition'!$A:$A,0))</f>
        <v>Dạng sản phẩm</v>
      </c>
      <c r="F536" s="38" t="s">
        <v>2657</v>
      </c>
      <c r="G536" s="39" t="str" cm="1">
        <f t="array" ref="G536">_xlfn.TEXTJOIN("; ",TRUE,_xlfn.UNIQUE(_xlfn._xlws.FILTER('Product Variant Attribute'!$F$2:$F$3000,('Product Variant Attribute'!$B$2:$B$3000=$A536)*('Product Variant Attribute'!$D$2:$D$3000=$D536),"")))</f>
        <v>Máy / thiết bị điện tử</v>
      </c>
      <c r="H536" s="39"/>
      <c r="I536" s="39"/>
      <c r="J536" s="39" t="str" cm="1">
        <f t="array" ref="J536">IF($I536="","",_xlfn.TEXTJOIN("; ",TRUE,_xlfn.UNIQUE(_xlfn._xlws.FILTER($A$2:$A$3000,($C$2:$C$3000=$C536)*($E$2:$E$3000=$E536)*($G$2:$G$3000&lt;&gt;$G536)*($G$2:$G$3000&lt;&gt;""),""))))</f>
        <v/>
      </c>
    </row>
    <row r="537" spans="1:10" x14ac:dyDescent="0.25">
      <c r="A537" s="23" t="s">
        <v>767</v>
      </c>
      <c r="B537" s="37" t="str">
        <f>INDEX(Product!$B:$B,MATCH($A537,Product!$A:$A,0))</f>
        <v>[Sinocare] Que thử đường huyết - Safe-Accu</v>
      </c>
      <c r="C537" s="37" t="str">
        <f>INDEX(Product!$D:$D,MATCH($A537,Product!$A:$A,0))</f>
        <v>Que thử</v>
      </c>
      <c r="D537" s="23" t="s">
        <v>2467</v>
      </c>
      <c r="E537" s="37" t="str">
        <f>INDEX('Attribute Definition'!$B:$B,MATCH($D537,'Attribute Definition'!$A:$A,0))</f>
        <v>Chỉ số đo</v>
      </c>
      <c r="F537" s="38" t="s">
        <v>2657</v>
      </c>
      <c r="G537" s="39" t="str" cm="1">
        <f t="array" ref="G537">_xlfn.TEXTJOIN("; ",TRUE,_xlfn.UNIQUE(_xlfn._xlws.FILTER('Product Variant Attribute'!$F$2:$F$3000,('Product Variant Attribute'!$B$2:$B$3000=$A537)*('Product Variant Attribute'!$D$2:$D$3000=$D537),"")))</f>
        <v>Đường huyết</v>
      </c>
      <c r="H537" s="39"/>
      <c r="I537" s="39"/>
      <c r="J537" s="39" t="str" cm="1">
        <f t="array" ref="J537">IF($I537="","",_xlfn.TEXTJOIN("; ",TRUE,_xlfn.UNIQUE(_xlfn._xlws.FILTER($A$2:$A$3000,($C$2:$C$3000=$C537)*($E$2:$E$3000=$E537)*($G$2:$G$3000&lt;&gt;$G537)*($G$2:$G$3000&lt;&gt;""),""))))</f>
        <v/>
      </c>
    </row>
    <row r="538" spans="1:10" x14ac:dyDescent="0.25">
      <c r="A538" s="23" t="s">
        <v>767</v>
      </c>
      <c r="B538" s="37" t="str">
        <f>INDEX(Product!$B:$B,MATCH($A538,Product!$A:$A,0))</f>
        <v>[Sinocare] Que thử đường huyết - Safe-Accu</v>
      </c>
      <c r="C538" s="37" t="str">
        <f>INDEX(Product!$D:$D,MATCH($A538,Product!$A:$A,0))</f>
        <v>Que thử</v>
      </c>
      <c r="D538" s="23" t="s">
        <v>2471</v>
      </c>
      <c r="E538" s="37" t="str">
        <f>INDEX('Attribute Definition'!$B:$B,MATCH($D538,'Attribute Definition'!$A:$A,0))</f>
        <v>Dạng sản phẩm</v>
      </c>
      <c r="F538" s="38" t="s">
        <v>2657</v>
      </c>
      <c r="G538" s="39" t="str" cm="1">
        <f t="array" ref="G538">_xlfn.TEXTJOIN("; ",TRUE,_xlfn.UNIQUE(_xlfn._xlws.FILTER('Product Variant Attribute'!$F$2:$F$3000,('Product Variant Attribute'!$B$2:$B$3000=$A538)*('Product Variant Attribute'!$D$2:$D$3000=$D538),"")))</f>
        <v>Que thử</v>
      </c>
      <c r="H538" s="39"/>
      <c r="I538" s="39"/>
      <c r="J538" s="39" t="str" cm="1">
        <f t="array" ref="J538">IF($I538="","",_xlfn.TEXTJOIN("; ",TRUE,_xlfn.UNIQUE(_xlfn._xlws.FILTER($A$2:$A$3000,($C$2:$C$3000=$C538)*($E$2:$E$3000=$E538)*($G$2:$G$3000&lt;&gt;$G538)*($G$2:$G$3000&lt;&gt;""),""))))</f>
        <v/>
      </c>
    </row>
    <row r="539" spans="1:10" x14ac:dyDescent="0.25">
      <c r="A539" s="23" t="s">
        <v>768</v>
      </c>
      <c r="B539" s="37" t="str">
        <f>INDEX(Product!$B:$B,MATCH($A539,Product!$A:$A,0))</f>
        <v>[Create Medic] Bộ ống thông tiểu ngắt quãng silicon - Cliny</v>
      </c>
      <c r="C539" s="37" t="str">
        <f>INDEX(Product!$D:$D,MATCH($A539,Product!$A:$A,0))</f>
        <v>Ống thông tiểu ngắt quãng</v>
      </c>
      <c r="D539" s="23" t="s">
        <v>2367</v>
      </c>
      <c r="E539" s="37" t="str">
        <f>INDEX('Attribute Definition'!$B:$B,MATCH($D539,'Attribute Definition'!$A:$A,0))</f>
        <v>Chất liệu</v>
      </c>
      <c r="F539" s="38" t="s">
        <v>2657</v>
      </c>
      <c r="G539" s="39" t="str" cm="1">
        <f t="array" ref="G539">_xlfn.TEXTJOIN("; ",TRUE,_xlfn.UNIQUE(_xlfn._xlws.FILTER('Product Variant Attribute'!$F$2:$F$3000,('Product Variant Attribute'!$B$2:$B$3000=$A539)*('Product Variant Attribute'!$D$2:$D$3000=$D539),"")))</f>
        <v>Silicone</v>
      </c>
      <c r="H539" s="39"/>
      <c r="I539" s="39"/>
      <c r="J539" s="39" t="str" cm="1">
        <f t="array" ref="J539">IF($I539="","",_xlfn.TEXTJOIN("; ",TRUE,_xlfn.UNIQUE(_xlfn._xlws.FILTER($A$2:$A$3000,($C$2:$C$3000=$C539)*($E$2:$E$3000=$E539)*($G$2:$G$3000&lt;&gt;$G539)*($G$2:$G$3000&lt;&gt;""),""))))</f>
        <v/>
      </c>
    </row>
    <row r="540" spans="1:10" ht="30" x14ac:dyDescent="0.25">
      <c r="A540" s="23" t="s">
        <v>768</v>
      </c>
      <c r="B540" s="37" t="str">
        <f>INDEX(Product!$B:$B,MATCH($A540,Product!$A:$A,0))</f>
        <v>[Create Medic] Bộ ống thông tiểu ngắt quãng silicon - Cliny</v>
      </c>
      <c r="C540" s="37" t="str">
        <f>INDEX(Product!$D:$D,MATCH($A540,Product!$A:$A,0))</f>
        <v>Ống thông tiểu ngắt quãng</v>
      </c>
      <c r="D540" s="23" t="s">
        <v>2471</v>
      </c>
      <c r="E540" s="37" t="str">
        <f>INDEX('Attribute Definition'!$B:$B,MATCH($D540,'Attribute Definition'!$A:$A,0))</f>
        <v>Dạng sản phẩm</v>
      </c>
      <c r="F540" s="38" t="s">
        <v>2657</v>
      </c>
      <c r="G540" s="39" t="str" cm="1">
        <f t="array" ref="G540">_xlfn.TEXTJOIN("; ",TRUE,_xlfn.UNIQUE(_xlfn._xlws.FILTER('Product Variant Attribute'!$F$2:$F$3000,('Product Variant Attribute'!$B$2:$B$3000=$A540)*('Product Variant Attribute'!$D$2:$D$3000=$D540),"")))</f>
        <v>Bộ dụng cụ</v>
      </c>
      <c r="H540" s="39"/>
      <c r="I540" s="39" t="s">
        <v>2754</v>
      </c>
      <c r="J540" s="39" t="str" cm="1">
        <f t="array" ref="J540">IF($I540="","",_xlfn.TEXTJOIN("; ",TRUE,_xlfn.UNIQUE(_xlfn._xlws.FILTER($A$2:$A$3000,($C$2:$C$3000=$C540)*($E$2:$E$3000=$E540)*($G$2:$G$3000&lt;&gt;$G540)*($G$2:$G$3000&lt;&gt;""),""))))</f>
        <v>PRODUCT-00208; PRODUCT-00216</v>
      </c>
    </row>
    <row r="541" spans="1:10" ht="30" x14ac:dyDescent="0.25">
      <c r="A541" s="23" t="s">
        <v>768</v>
      </c>
      <c r="B541" s="37" t="str">
        <f>INDEX(Product!$B:$B,MATCH($A541,Product!$A:$A,0))</f>
        <v>[Create Medic] Bộ ống thông tiểu ngắt quãng silicon - Cliny</v>
      </c>
      <c r="C541" s="37" t="str">
        <f>INDEX(Product!$D:$D,MATCH($A541,Product!$A:$A,0))</f>
        <v>Ống thông tiểu ngắt quãng</v>
      </c>
      <c r="D541" s="23" t="s">
        <v>2656</v>
      </c>
      <c r="E541" s="37" t="str">
        <f>INDEX('Attribute Definition'!$B:$B,MATCH($D541,'Attribute Definition'!$A:$A,0))</f>
        <v>Kích cỡ</v>
      </c>
      <c r="F541" s="38" t="s">
        <v>2485</v>
      </c>
      <c r="G541" s="39" t="str" cm="1">
        <f t="array" ref="G541">_xlfn.TEXTJOIN("; ",TRUE,_xlfn.UNIQUE(_xlfn._xlws.FILTER('Product Variant Attribute'!$F$2:$F$3000,('Product Variant Attribute'!$B$2:$B$3000=$A541)*('Product Variant Attribute'!$D$2:$D$3000=$D541),"")))</f>
        <v>12Fr; 14Fr</v>
      </c>
      <c r="H541" s="39" t="s">
        <v>2696</v>
      </c>
      <c r="I541" s="39"/>
      <c r="J541" s="39" t="str" cm="1">
        <f t="array" ref="J541">IF($I541="","",_xlfn.TEXTJOIN("; ",TRUE,_xlfn.UNIQUE(_xlfn._xlws.FILTER($A$2:$A$3000,($C$2:$C$3000=$C541)*($E$2:$E$3000=$E541)*($G$2:$G$3000&lt;&gt;$G541)*($G$2:$G$3000&lt;&gt;""),""))))</f>
        <v/>
      </c>
    </row>
    <row r="542" spans="1:10" x14ac:dyDescent="0.25">
      <c r="A542" s="23" t="s">
        <v>769</v>
      </c>
      <c r="B542" s="37" t="str">
        <f>INDEX(Product!$B:$B,MATCH($A542,Product!$A:$A,0))</f>
        <v>[Fuji System] Ống thông tiểu ngắt quãng silicone - Selfcath</v>
      </c>
      <c r="C542" s="37" t="str">
        <f>INDEX(Product!$D:$D,MATCH($A542,Product!$A:$A,0))</f>
        <v>Ống thông tiểu ngắt quãng</v>
      </c>
      <c r="D542" s="23" t="s">
        <v>2367</v>
      </c>
      <c r="E542" s="37" t="str">
        <f>INDEX('Attribute Definition'!$B:$B,MATCH($D542,'Attribute Definition'!$A:$A,0))</f>
        <v>Chất liệu</v>
      </c>
      <c r="F542" s="38" t="s">
        <v>2657</v>
      </c>
      <c r="G542" s="39" t="str" cm="1">
        <f t="array" ref="G542">_xlfn.TEXTJOIN("; ",TRUE,_xlfn.UNIQUE(_xlfn._xlws.FILTER('Product Variant Attribute'!$F$2:$F$3000,('Product Variant Attribute'!$B$2:$B$3000=$A542)*('Product Variant Attribute'!$D$2:$D$3000=$D542),"")))</f>
        <v>Silicone</v>
      </c>
      <c r="H542" s="39"/>
      <c r="I542" s="39"/>
      <c r="J542" s="39" t="str" cm="1">
        <f t="array" ref="J542">IF($I542="","",_xlfn.TEXTJOIN("; ",TRUE,_xlfn.UNIQUE(_xlfn._xlws.FILTER($A$2:$A$3000,($C$2:$C$3000=$C542)*($E$2:$E$3000=$E542)*($G$2:$G$3000&lt;&gt;$G542)*($G$2:$G$3000&lt;&gt;""),""))))</f>
        <v/>
      </c>
    </row>
    <row r="543" spans="1:10" ht="30" x14ac:dyDescent="0.25">
      <c r="A543" s="23" t="s">
        <v>769</v>
      </c>
      <c r="B543" s="37" t="str">
        <f>INDEX(Product!$B:$B,MATCH($A543,Product!$A:$A,0))</f>
        <v>[Fuji System] Ống thông tiểu ngắt quãng silicone - Selfcath</v>
      </c>
      <c r="C543" s="37" t="str">
        <f>INDEX(Product!$D:$D,MATCH($A543,Product!$A:$A,0))</f>
        <v>Ống thông tiểu ngắt quãng</v>
      </c>
      <c r="D543" s="23" t="s">
        <v>2471</v>
      </c>
      <c r="E543" s="37" t="str">
        <f>INDEX('Attribute Definition'!$B:$B,MATCH($D543,'Attribute Definition'!$A:$A,0))</f>
        <v>Dạng sản phẩm</v>
      </c>
      <c r="F543" s="38" t="s">
        <v>2657</v>
      </c>
      <c r="G543" s="39" t="str" cm="1">
        <f t="array" ref="G543">_xlfn.TEXTJOIN("; ",TRUE,_xlfn.UNIQUE(_xlfn._xlws.FILTER('Product Variant Attribute'!$F$2:$F$3000,('Product Variant Attribute'!$B$2:$B$3000=$A543)*('Product Variant Attribute'!$D$2:$D$3000=$D543),"")))</f>
        <v>Ống / dây</v>
      </c>
      <c r="H543" s="39"/>
      <c r="I543" s="39" t="s">
        <v>2755</v>
      </c>
      <c r="J543" s="39" t="str" cm="1">
        <f t="array" ref="J543">IF($I543="","",_xlfn.TEXTJOIN("; ",TRUE,_xlfn.UNIQUE(_xlfn._xlws.FILTER($A$2:$A$3000,($C$2:$C$3000=$C543)*($E$2:$E$3000=$E543)*($G$2:$G$3000&lt;&gt;$G543)*($G$2:$G$3000&lt;&gt;""),""))))</f>
        <v>PRODUCT-00207</v>
      </c>
    </row>
    <row r="544" spans="1:10" x14ac:dyDescent="0.25">
      <c r="A544" s="23" t="s">
        <v>770</v>
      </c>
      <c r="B544" s="37" t="str">
        <f>INDEX(Product!$B:$B,MATCH($A544,Product!$A:$A,0))</f>
        <v>[Idealcare] Ống thông tiểu Foley silicon 2 nhánh dài ngày</v>
      </c>
      <c r="C544" s="37" t="str">
        <f>INDEX(Product!$D:$D,MATCH($A544,Product!$A:$A,0))</f>
        <v>Ống thông tiểu Foley</v>
      </c>
      <c r="D544" s="23" t="s">
        <v>2367</v>
      </c>
      <c r="E544" s="37" t="str">
        <f>INDEX('Attribute Definition'!$B:$B,MATCH($D544,'Attribute Definition'!$A:$A,0))</f>
        <v>Chất liệu</v>
      </c>
      <c r="F544" s="38" t="s">
        <v>2657</v>
      </c>
      <c r="G544" s="39" t="str" cm="1">
        <f t="array" ref="G544">_xlfn.TEXTJOIN("; ",TRUE,_xlfn.UNIQUE(_xlfn._xlws.FILTER('Product Variant Attribute'!$F$2:$F$3000,('Product Variant Attribute'!$B$2:$B$3000=$A544)*('Product Variant Attribute'!$D$2:$D$3000=$D544),"")))</f>
        <v>Silicone</v>
      </c>
      <c r="H544" s="39"/>
      <c r="I544" s="39"/>
      <c r="J544" s="39" t="str" cm="1">
        <f t="array" ref="J544">IF($I544="","",_xlfn.TEXTJOIN("; ",TRUE,_xlfn.UNIQUE(_xlfn._xlws.FILTER($A$2:$A$3000,($C$2:$C$3000=$C544)*($E$2:$E$3000=$E544)*($G$2:$G$3000&lt;&gt;$G544)*($G$2:$G$3000&lt;&gt;""),""))))</f>
        <v/>
      </c>
    </row>
    <row r="545" spans="1:10" ht="30" x14ac:dyDescent="0.25">
      <c r="A545" s="23" t="s">
        <v>770</v>
      </c>
      <c r="B545" s="37" t="str">
        <f>INDEX(Product!$B:$B,MATCH($A545,Product!$A:$A,0))</f>
        <v>[Idealcare] Ống thông tiểu Foley silicon 2 nhánh dài ngày</v>
      </c>
      <c r="C545" s="37" t="str">
        <f>INDEX(Product!$D:$D,MATCH($A545,Product!$A:$A,0))</f>
        <v>Ống thông tiểu Foley</v>
      </c>
      <c r="D545" s="23" t="s">
        <v>2411</v>
      </c>
      <c r="E545" s="37" t="str">
        <f>INDEX('Attribute Definition'!$B:$B,MATCH($D545,'Attribute Definition'!$A:$A,0))</f>
        <v>Số nòng / nhánh</v>
      </c>
      <c r="F545" s="38" t="s">
        <v>2657</v>
      </c>
      <c r="G545" s="39" t="str" cm="1">
        <f t="array" ref="G545">_xlfn.TEXTJOIN("; ",TRUE,_xlfn.UNIQUE(_xlfn._xlws.FILTER('Product Variant Attribute'!$F$2:$F$3000,('Product Variant Attribute'!$B$2:$B$3000=$A545)*('Product Variant Attribute'!$D$2:$D$3000=$D545),"")))</f>
        <v>2 nhánh</v>
      </c>
      <c r="H545" s="39"/>
      <c r="I545" s="39" t="s">
        <v>2756</v>
      </c>
      <c r="J545" s="39" t="str" cm="1">
        <f t="array" ref="J545">IF($I545="","",_xlfn.TEXTJOIN("; ",TRUE,_xlfn.UNIQUE(_xlfn._xlws.FILTER($A$2:$A$3000,($C$2:$C$3000=$C545)*($E$2:$E$3000=$E545)*($G$2:$G$3000&lt;&gt;$G545)*($G$2:$G$3000&lt;&gt;""),""))))</f>
        <v>PRODUCT-00210</v>
      </c>
    </row>
    <row r="546" spans="1:10" x14ac:dyDescent="0.25">
      <c r="A546" s="23" t="s">
        <v>770</v>
      </c>
      <c r="B546" s="37" t="str">
        <f>INDEX(Product!$B:$B,MATCH($A546,Product!$A:$A,0))</f>
        <v>[Idealcare] Ống thông tiểu Foley silicon 2 nhánh dài ngày</v>
      </c>
      <c r="C546" s="37" t="str">
        <f>INDEX(Product!$D:$D,MATCH($A546,Product!$A:$A,0))</f>
        <v>Ống thông tiểu Foley</v>
      </c>
      <c r="D546" s="23" t="s">
        <v>2454</v>
      </c>
      <c r="E546" s="37" t="str">
        <f>INDEX('Attribute Definition'!$B:$B,MATCH($D546,'Attribute Definition'!$A:$A,0))</f>
        <v>Thời gian sử dụng</v>
      </c>
      <c r="F546" s="38" t="s">
        <v>2657</v>
      </c>
      <c r="G546" s="39" t="str" cm="1">
        <f t="array" ref="G546">_xlfn.TEXTJOIN("; ",TRUE,_xlfn.UNIQUE(_xlfn._xlws.FILTER('Product Variant Attribute'!$F$2:$F$3000,('Product Variant Attribute'!$B$2:$B$3000=$A546)*('Product Variant Attribute'!$D$2:$D$3000=$D546),"")))</f>
        <v>Dài ngày</v>
      </c>
      <c r="H546" s="39"/>
      <c r="I546" s="39"/>
      <c r="J546" s="39" t="str" cm="1">
        <f t="array" ref="J546">IF($I546="","",_xlfn.TEXTJOIN("; ",TRUE,_xlfn.UNIQUE(_xlfn._xlws.FILTER($A$2:$A$3000,($C$2:$C$3000=$C546)*($E$2:$E$3000=$E546)*($G$2:$G$3000&lt;&gt;$G546)*($G$2:$G$3000&lt;&gt;""),""))))</f>
        <v/>
      </c>
    </row>
    <row r="547" spans="1:10" x14ac:dyDescent="0.25">
      <c r="A547" s="23" t="s">
        <v>770</v>
      </c>
      <c r="B547" s="37" t="str">
        <f>INDEX(Product!$B:$B,MATCH($A547,Product!$A:$A,0))</f>
        <v>[Idealcare] Ống thông tiểu Foley silicon 2 nhánh dài ngày</v>
      </c>
      <c r="C547" s="37" t="str">
        <f>INDEX(Product!$D:$D,MATCH($A547,Product!$A:$A,0))</f>
        <v>Ống thông tiểu Foley</v>
      </c>
      <c r="D547" s="23" t="s">
        <v>2471</v>
      </c>
      <c r="E547" s="37" t="str">
        <f>INDEX('Attribute Definition'!$B:$B,MATCH($D547,'Attribute Definition'!$A:$A,0))</f>
        <v>Dạng sản phẩm</v>
      </c>
      <c r="F547" s="38" t="s">
        <v>2657</v>
      </c>
      <c r="G547" s="39" t="str" cm="1">
        <f t="array" ref="G547">_xlfn.TEXTJOIN("; ",TRUE,_xlfn.UNIQUE(_xlfn._xlws.FILTER('Product Variant Attribute'!$F$2:$F$3000,('Product Variant Attribute'!$B$2:$B$3000=$A547)*('Product Variant Attribute'!$D$2:$D$3000=$D547),"")))</f>
        <v>Ống / dây</v>
      </c>
      <c r="H547" s="39"/>
      <c r="I547" s="39"/>
      <c r="J547" s="39" t="str" cm="1">
        <f t="array" ref="J547">IF($I547="","",_xlfn.TEXTJOIN("; ",TRUE,_xlfn.UNIQUE(_xlfn._xlws.FILTER($A$2:$A$3000,($C$2:$C$3000=$C547)*($E$2:$E$3000=$E547)*($G$2:$G$3000&lt;&gt;$G547)*($G$2:$G$3000&lt;&gt;""),""))))</f>
        <v/>
      </c>
    </row>
    <row r="548" spans="1:10" ht="60" x14ac:dyDescent="0.25">
      <c r="A548" s="23" t="s">
        <v>770</v>
      </c>
      <c r="B548" s="37" t="str">
        <f>INDEX(Product!$B:$B,MATCH($A548,Product!$A:$A,0))</f>
        <v>[Idealcare] Ống thông tiểu Foley silicon 2 nhánh dài ngày</v>
      </c>
      <c r="C548" s="37" t="str">
        <f>INDEX(Product!$D:$D,MATCH($A548,Product!$A:$A,0))</f>
        <v>Ống thông tiểu Foley</v>
      </c>
      <c r="D548" s="23" t="s">
        <v>2656</v>
      </c>
      <c r="E548" s="37" t="str">
        <f>INDEX('Attribute Definition'!$B:$B,MATCH($D548,'Attribute Definition'!$A:$A,0))</f>
        <v>Kích cỡ</v>
      </c>
      <c r="F548" s="38" t="s">
        <v>2485</v>
      </c>
      <c r="G548" s="39" t="str" cm="1">
        <f t="array" ref="G548">_xlfn.TEXTJOIN("; ",TRUE,_xlfn.UNIQUE(_xlfn._xlws.FILTER('Product Variant Attribute'!$F$2:$F$3000,('Product Variant Attribute'!$B$2:$B$3000=$A548)*('Product Variant Attribute'!$D$2:$D$3000=$D548),"")))</f>
        <v>16Fr; 18Fr; 20Fr; 22Fr</v>
      </c>
      <c r="H548" s="39" t="s">
        <v>2697</v>
      </c>
      <c r="I548" s="39"/>
      <c r="J548" s="39" t="str" cm="1">
        <f t="array" ref="J548">IF($I548="","",_xlfn.TEXTJOIN("; ",TRUE,_xlfn.UNIQUE(_xlfn._xlws.FILTER($A$2:$A$3000,($C$2:$C$3000=$C548)*($E$2:$E$3000=$E548)*($G$2:$G$3000&lt;&gt;$G548)*($G$2:$G$3000&lt;&gt;""),""))))</f>
        <v/>
      </c>
    </row>
    <row r="549" spans="1:10" x14ac:dyDescent="0.25">
      <c r="A549" s="23" t="s">
        <v>771</v>
      </c>
      <c r="B549" s="37" t="str">
        <f>INDEX(Product!$B:$B,MATCH($A549,Product!$A:$A,0))</f>
        <v>[Idealcare] Ống thông tiểu Foley silicon 3 nhánh dài ngày</v>
      </c>
      <c r="C549" s="37" t="str">
        <f>INDEX(Product!$D:$D,MATCH($A549,Product!$A:$A,0))</f>
        <v>Ống thông tiểu Foley</v>
      </c>
      <c r="D549" s="23" t="s">
        <v>2367</v>
      </c>
      <c r="E549" s="37" t="str">
        <f>INDEX('Attribute Definition'!$B:$B,MATCH($D549,'Attribute Definition'!$A:$A,0))</f>
        <v>Chất liệu</v>
      </c>
      <c r="F549" s="38" t="s">
        <v>2657</v>
      </c>
      <c r="G549" s="39" t="str" cm="1">
        <f t="array" ref="G549">_xlfn.TEXTJOIN("; ",TRUE,_xlfn.UNIQUE(_xlfn._xlws.FILTER('Product Variant Attribute'!$F$2:$F$3000,('Product Variant Attribute'!$B$2:$B$3000=$A549)*('Product Variant Attribute'!$D$2:$D$3000=$D549),"")))</f>
        <v>Silicone</v>
      </c>
      <c r="H549" s="39"/>
      <c r="I549" s="39"/>
      <c r="J549" s="39" t="str" cm="1">
        <f t="array" ref="J549">IF($I549="","",_xlfn.TEXTJOIN("; ",TRUE,_xlfn.UNIQUE(_xlfn._xlws.FILTER($A$2:$A$3000,($C$2:$C$3000=$C549)*($E$2:$E$3000=$E549)*($G$2:$G$3000&lt;&gt;$G549)*($G$2:$G$3000&lt;&gt;""),""))))</f>
        <v/>
      </c>
    </row>
    <row r="550" spans="1:10" ht="30" x14ac:dyDescent="0.25">
      <c r="A550" s="23" t="s">
        <v>771</v>
      </c>
      <c r="B550" s="37" t="str">
        <f>INDEX(Product!$B:$B,MATCH($A550,Product!$A:$A,0))</f>
        <v>[Idealcare] Ống thông tiểu Foley silicon 3 nhánh dài ngày</v>
      </c>
      <c r="C550" s="37" t="str">
        <f>INDEX(Product!$D:$D,MATCH($A550,Product!$A:$A,0))</f>
        <v>Ống thông tiểu Foley</v>
      </c>
      <c r="D550" s="23" t="s">
        <v>2411</v>
      </c>
      <c r="E550" s="37" t="str">
        <f>INDEX('Attribute Definition'!$B:$B,MATCH($D550,'Attribute Definition'!$A:$A,0))</f>
        <v>Số nòng / nhánh</v>
      </c>
      <c r="F550" s="38" t="s">
        <v>2657</v>
      </c>
      <c r="G550" s="39" t="str" cm="1">
        <f t="array" ref="G550">_xlfn.TEXTJOIN("; ",TRUE,_xlfn.UNIQUE(_xlfn._xlws.FILTER('Product Variant Attribute'!$F$2:$F$3000,('Product Variant Attribute'!$B$2:$B$3000=$A550)*('Product Variant Attribute'!$D$2:$D$3000=$D550),"")))</f>
        <v>3 nhánh</v>
      </c>
      <c r="H550" s="39"/>
      <c r="I550" s="39" t="s">
        <v>2757</v>
      </c>
      <c r="J550" s="39" t="str" cm="1">
        <f t="array" ref="J550">IF($I550="","",_xlfn.TEXTJOIN("; ",TRUE,_xlfn.UNIQUE(_xlfn._xlws.FILTER($A$2:$A$3000,($C$2:$C$3000=$C550)*($E$2:$E$3000=$E550)*($G$2:$G$3000&lt;&gt;$G550)*($G$2:$G$3000&lt;&gt;""),""))))</f>
        <v>PRODUCT-00209; PRODUCT-00211; PRODUCT-00215</v>
      </c>
    </row>
    <row r="551" spans="1:10" x14ac:dyDescent="0.25">
      <c r="A551" s="23" t="s">
        <v>771</v>
      </c>
      <c r="B551" s="37" t="str">
        <f>INDEX(Product!$B:$B,MATCH($A551,Product!$A:$A,0))</f>
        <v>[Idealcare] Ống thông tiểu Foley silicon 3 nhánh dài ngày</v>
      </c>
      <c r="C551" s="37" t="str">
        <f>INDEX(Product!$D:$D,MATCH($A551,Product!$A:$A,0))</f>
        <v>Ống thông tiểu Foley</v>
      </c>
      <c r="D551" s="23" t="s">
        <v>2454</v>
      </c>
      <c r="E551" s="37" t="str">
        <f>INDEX('Attribute Definition'!$B:$B,MATCH($D551,'Attribute Definition'!$A:$A,0))</f>
        <v>Thời gian sử dụng</v>
      </c>
      <c r="F551" s="38" t="s">
        <v>2657</v>
      </c>
      <c r="G551" s="39" t="str" cm="1">
        <f t="array" ref="G551">_xlfn.TEXTJOIN("; ",TRUE,_xlfn.UNIQUE(_xlfn._xlws.FILTER('Product Variant Attribute'!$F$2:$F$3000,('Product Variant Attribute'!$B$2:$B$3000=$A551)*('Product Variant Attribute'!$D$2:$D$3000=$D551),"")))</f>
        <v>Dài ngày</v>
      </c>
      <c r="H551" s="39"/>
      <c r="I551" s="39"/>
      <c r="J551" s="39" t="str" cm="1">
        <f t="array" ref="J551">IF($I551="","",_xlfn.TEXTJOIN("; ",TRUE,_xlfn.UNIQUE(_xlfn._xlws.FILTER($A$2:$A$3000,($C$2:$C$3000=$C551)*($E$2:$E$3000=$E551)*($G$2:$G$3000&lt;&gt;$G551)*($G$2:$G$3000&lt;&gt;""),""))))</f>
        <v/>
      </c>
    </row>
    <row r="552" spans="1:10" x14ac:dyDescent="0.25">
      <c r="A552" s="23" t="s">
        <v>771</v>
      </c>
      <c r="B552" s="37" t="str">
        <f>INDEX(Product!$B:$B,MATCH($A552,Product!$A:$A,0))</f>
        <v>[Idealcare] Ống thông tiểu Foley silicon 3 nhánh dài ngày</v>
      </c>
      <c r="C552" s="37" t="str">
        <f>INDEX(Product!$D:$D,MATCH($A552,Product!$A:$A,0))</f>
        <v>Ống thông tiểu Foley</v>
      </c>
      <c r="D552" s="23" t="s">
        <v>2471</v>
      </c>
      <c r="E552" s="37" t="str">
        <f>INDEX('Attribute Definition'!$B:$B,MATCH($D552,'Attribute Definition'!$A:$A,0))</f>
        <v>Dạng sản phẩm</v>
      </c>
      <c r="F552" s="38" t="s">
        <v>2657</v>
      </c>
      <c r="G552" s="39" t="str" cm="1">
        <f t="array" ref="G552">_xlfn.TEXTJOIN("; ",TRUE,_xlfn.UNIQUE(_xlfn._xlws.FILTER('Product Variant Attribute'!$F$2:$F$3000,('Product Variant Attribute'!$B$2:$B$3000=$A552)*('Product Variant Attribute'!$D$2:$D$3000=$D552),"")))</f>
        <v>Ống / dây</v>
      </c>
      <c r="H552" s="39"/>
      <c r="I552" s="39"/>
      <c r="J552" s="39" t="str" cm="1">
        <f t="array" ref="J552">IF($I552="","",_xlfn.TEXTJOIN("; ",TRUE,_xlfn.UNIQUE(_xlfn._xlws.FILTER($A$2:$A$3000,($C$2:$C$3000=$C552)*($E$2:$E$3000=$E552)*($G$2:$G$3000&lt;&gt;$G552)*($G$2:$G$3000&lt;&gt;""),""))))</f>
        <v/>
      </c>
    </row>
    <row r="553" spans="1:10" ht="30" x14ac:dyDescent="0.25">
      <c r="A553" s="23" t="s">
        <v>771</v>
      </c>
      <c r="B553" s="37" t="str">
        <f>INDEX(Product!$B:$B,MATCH($A553,Product!$A:$A,0))</f>
        <v>[Idealcare] Ống thông tiểu Foley silicon 3 nhánh dài ngày</v>
      </c>
      <c r="C553" s="37" t="str">
        <f>INDEX(Product!$D:$D,MATCH($A553,Product!$A:$A,0))</f>
        <v>Ống thông tiểu Foley</v>
      </c>
      <c r="D553" s="23" t="s">
        <v>2656</v>
      </c>
      <c r="E553" s="37" t="str">
        <f>INDEX('Attribute Definition'!$B:$B,MATCH($D553,'Attribute Definition'!$A:$A,0))</f>
        <v>Kích cỡ</v>
      </c>
      <c r="F553" s="38" t="s">
        <v>2485</v>
      </c>
      <c r="G553" s="39" t="str" cm="1">
        <f t="array" ref="G553">_xlfn.TEXTJOIN("; ",TRUE,_xlfn.UNIQUE(_xlfn._xlws.FILTER('Product Variant Attribute'!$F$2:$F$3000,('Product Variant Attribute'!$B$2:$B$3000=$A553)*('Product Variant Attribute'!$D$2:$D$3000=$D553),"")))</f>
        <v>20Fr; 22Fr</v>
      </c>
      <c r="H553" s="39" t="s">
        <v>2698</v>
      </c>
      <c r="I553" s="39"/>
      <c r="J553" s="39" t="str" cm="1">
        <f t="array" ref="J553">IF($I553="","",_xlfn.TEXTJOIN("; ",TRUE,_xlfn.UNIQUE(_xlfn._xlws.FILTER($A$2:$A$3000,($C$2:$C$3000=$C553)*($E$2:$E$3000=$E553)*($G$2:$G$3000&lt;&gt;$G553)*($G$2:$G$3000&lt;&gt;""),""))))</f>
        <v/>
      </c>
    </row>
    <row r="554" spans="1:10" x14ac:dyDescent="0.25">
      <c r="A554" s="23" t="s">
        <v>772</v>
      </c>
      <c r="B554" s="37" t="str">
        <f>INDEX(Product!$B:$B,MATCH($A554,Product!$A:$A,0))</f>
        <v>[Mepro] Ống thông tiểu Foley silicon 2 nhánh dài ngày</v>
      </c>
      <c r="C554" s="37" t="str">
        <f>INDEX(Product!$D:$D,MATCH($A554,Product!$A:$A,0))</f>
        <v>Ống thông tiểu Foley</v>
      </c>
      <c r="D554" s="23" t="s">
        <v>2367</v>
      </c>
      <c r="E554" s="37" t="str">
        <f>INDEX('Attribute Definition'!$B:$B,MATCH($D554,'Attribute Definition'!$A:$A,0))</f>
        <v>Chất liệu</v>
      </c>
      <c r="F554" s="38" t="s">
        <v>2657</v>
      </c>
      <c r="G554" s="39" t="str" cm="1">
        <f t="array" ref="G554">_xlfn.TEXTJOIN("; ",TRUE,_xlfn.UNIQUE(_xlfn._xlws.FILTER('Product Variant Attribute'!$F$2:$F$3000,('Product Variant Attribute'!$B$2:$B$3000=$A554)*('Product Variant Attribute'!$D$2:$D$3000=$D554),"")))</f>
        <v>Silicone</v>
      </c>
      <c r="H554" s="39"/>
      <c r="I554" s="39"/>
      <c r="J554" s="39" t="str" cm="1">
        <f t="array" ref="J554">IF($I554="","",_xlfn.TEXTJOIN("; ",TRUE,_xlfn.UNIQUE(_xlfn._xlws.FILTER($A$2:$A$3000,($C$2:$C$3000=$C554)*($E$2:$E$3000=$E554)*($G$2:$G$3000&lt;&gt;$G554)*($G$2:$G$3000&lt;&gt;""),""))))</f>
        <v/>
      </c>
    </row>
    <row r="555" spans="1:10" ht="30" x14ac:dyDescent="0.25">
      <c r="A555" s="23" t="s">
        <v>772</v>
      </c>
      <c r="B555" s="37" t="str">
        <f>INDEX(Product!$B:$B,MATCH($A555,Product!$A:$A,0))</f>
        <v>[Mepro] Ống thông tiểu Foley silicon 2 nhánh dài ngày</v>
      </c>
      <c r="C555" s="37" t="str">
        <f>INDEX(Product!$D:$D,MATCH($A555,Product!$A:$A,0))</f>
        <v>Ống thông tiểu Foley</v>
      </c>
      <c r="D555" s="23" t="s">
        <v>2411</v>
      </c>
      <c r="E555" s="37" t="str">
        <f>INDEX('Attribute Definition'!$B:$B,MATCH($D555,'Attribute Definition'!$A:$A,0))</f>
        <v>Số nòng / nhánh</v>
      </c>
      <c r="F555" s="38" t="s">
        <v>2657</v>
      </c>
      <c r="G555" s="39" t="str" cm="1">
        <f t="array" ref="G555">_xlfn.TEXTJOIN("; ",TRUE,_xlfn.UNIQUE(_xlfn._xlws.FILTER('Product Variant Attribute'!$F$2:$F$3000,('Product Variant Attribute'!$B$2:$B$3000=$A555)*('Product Variant Attribute'!$D$2:$D$3000=$D555),"")))</f>
        <v>2 nhánh</v>
      </c>
      <c r="H555" s="39"/>
      <c r="I555" s="39" t="s">
        <v>2756</v>
      </c>
      <c r="J555" s="39" t="str" cm="1">
        <f t="array" ref="J555">IF($I555="","",_xlfn.TEXTJOIN("; ",TRUE,_xlfn.UNIQUE(_xlfn._xlws.FILTER($A$2:$A$3000,($C$2:$C$3000=$C555)*($E$2:$E$3000=$E555)*($G$2:$G$3000&lt;&gt;$G555)*($G$2:$G$3000&lt;&gt;""),""))))</f>
        <v>PRODUCT-00210</v>
      </c>
    </row>
    <row r="556" spans="1:10" x14ac:dyDescent="0.25">
      <c r="A556" s="23" t="s">
        <v>772</v>
      </c>
      <c r="B556" s="37" t="str">
        <f>INDEX(Product!$B:$B,MATCH($A556,Product!$A:$A,0))</f>
        <v>[Mepro] Ống thông tiểu Foley silicon 2 nhánh dài ngày</v>
      </c>
      <c r="C556" s="37" t="str">
        <f>INDEX(Product!$D:$D,MATCH($A556,Product!$A:$A,0))</f>
        <v>Ống thông tiểu Foley</v>
      </c>
      <c r="D556" s="23" t="s">
        <v>2454</v>
      </c>
      <c r="E556" s="37" t="str">
        <f>INDEX('Attribute Definition'!$B:$B,MATCH($D556,'Attribute Definition'!$A:$A,0))</f>
        <v>Thời gian sử dụng</v>
      </c>
      <c r="F556" s="38" t="s">
        <v>2657</v>
      </c>
      <c r="G556" s="39" t="str" cm="1">
        <f t="array" ref="G556">_xlfn.TEXTJOIN("; ",TRUE,_xlfn.UNIQUE(_xlfn._xlws.FILTER('Product Variant Attribute'!$F$2:$F$3000,('Product Variant Attribute'!$B$2:$B$3000=$A556)*('Product Variant Attribute'!$D$2:$D$3000=$D556),"")))</f>
        <v>Dài ngày</v>
      </c>
      <c r="H556" s="39"/>
      <c r="I556" s="39"/>
      <c r="J556" s="39" t="str" cm="1">
        <f t="array" ref="J556">IF($I556="","",_xlfn.TEXTJOIN("; ",TRUE,_xlfn.UNIQUE(_xlfn._xlws.FILTER($A$2:$A$3000,($C$2:$C$3000=$C556)*($E$2:$E$3000=$E556)*($G$2:$G$3000&lt;&gt;$G556)*($G$2:$G$3000&lt;&gt;""),""))))</f>
        <v/>
      </c>
    </row>
    <row r="557" spans="1:10" x14ac:dyDescent="0.25">
      <c r="A557" s="23" t="s">
        <v>772</v>
      </c>
      <c r="B557" s="37" t="str">
        <f>INDEX(Product!$B:$B,MATCH($A557,Product!$A:$A,0))</f>
        <v>[Mepro] Ống thông tiểu Foley silicon 2 nhánh dài ngày</v>
      </c>
      <c r="C557" s="37" t="str">
        <f>INDEX(Product!$D:$D,MATCH($A557,Product!$A:$A,0))</f>
        <v>Ống thông tiểu Foley</v>
      </c>
      <c r="D557" s="23" t="s">
        <v>2471</v>
      </c>
      <c r="E557" s="37" t="str">
        <f>INDEX('Attribute Definition'!$B:$B,MATCH($D557,'Attribute Definition'!$A:$A,0))</f>
        <v>Dạng sản phẩm</v>
      </c>
      <c r="F557" s="38" t="s">
        <v>2657</v>
      </c>
      <c r="G557" s="39" t="str" cm="1">
        <f t="array" ref="G557">_xlfn.TEXTJOIN("; ",TRUE,_xlfn.UNIQUE(_xlfn._xlws.FILTER('Product Variant Attribute'!$F$2:$F$3000,('Product Variant Attribute'!$B$2:$B$3000=$A557)*('Product Variant Attribute'!$D$2:$D$3000=$D557),"")))</f>
        <v>Ống / dây</v>
      </c>
      <c r="H557" s="39"/>
      <c r="I557" s="39"/>
      <c r="J557" s="39" t="str" cm="1">
        <f t="array" ref="J557">IF($I557="","",_xlfn.TEXTJOIN("; ",TRUE,_xlfn.UNIQUE(_xlfn._xlws.FILTER($A$2:$A$3000,($C$2:$C$3000=$C557)*($E$2:$E$3000=$E557)*($G$2:$G$3000&lt;&gt;$G557)*($G$2:$G$3000&lt;&gt;""),""))))</f>
        <v/>
      </c>
    </row>
    <row r="558" spans="1:10" ht="45" x14ac:dyDescent="0.25">
      <c r="A558" s="23" t="s">
        <v>772</v>
      </c>
      <c r="B558" s="37" t="str">
        <f>INDEX(Product!$B:$B,MATCH($A558,Product!$A:$A,0))</f>
        <v>[Mepro] Ống thông tiểu Foley silicon 2 nhánh dài ngày</v>
      </c>
      <c r="C558" s="37" t="str">
        <f>INDEX(Product!$D:$D,MATCH($A558,Product!$A:$A,0))</f>
        <v>Ống thông tiểu Foley</v>
      </c>
      <c r="D558" s="23" t="s">
        <v>2656</v>
      </c>
      <c r="E558" s="37" t="str">
        <f>INDEX('Attribute Definition'!$B:$B,MATCH($D558,'Attribute Definition'!$A:$A,0))</f>
        <v>Kích cỡ</v>
      </c>
      <c r="F558" s="38" t="s">
        <v>2485</v>
      </c>
      <c r="G558" s="39" t="str" cm="1">
        <f t="array" ref="G558">_xlfn.TEXTJOIN("; ",TRUE,_xlfn.UNIQUE(_xlfn._xlws.FILTER('Product Variant Attribute'!$F$2:$F$3000,('Product Variant Attribute'!$B$2:$B$3000=$A558)*('Product Variant Attribute'!$D$2:$D$3000=$D558),"")))</f>
        <v>16Fr; 18Fr; 20Fr</v>
      </c>
      <c r="H558" s="39" t="s">
        <v>2699</v>
      </c>
      <c r="I558" s="39"/>
      <c r="J558" s="39" t="str" cm="1">
        <f t="array" ref="J558">IF($I558="","",_xlfn.TEXTJOIN("; ",TRUE,_xlfn.UNIQUE(_xlfn._xlws.FILTER($A$2:$A$3000,($C$2:$C$3000=$C558)*($E$2:$E$3000=$E558)*($G$2:$G$3000&lt;&gt;$G558)*($G$2:$G$3000&lt;&gt;""),""))))</f>
        <v/>
      </c>
    </row>
    <row r="559" spans="1:10" x14ac:dyDescent="0.25">
      <c r="A559" s="23" t="s">
        <v>773</v>
      </c>
      <c r="B559" s="37" t="str">
        <f>INDEX(Product!$B:$B,MATCH($A559,Product!$A:$A,0))</f>
        <v>[Pitr Med] Dụng cụ hỗ trợ đi tiểu nam (bộ chụp tiểu silicon)</v>
      </c>
      <c r="C559" s="37" t="str">
        <f>INDEX(Product!$D:$D,MATCH($A559,Product!$A:$A,0))</f>
        <v>Dụng cụ hỗ trợ đi tiểu nam</v>
      </c>
      <c r="D559" s="23" t="s">
        <v>2367</v>
      </c>
      <c r="E559" s="37" t="str">
        <f>INDEX('Attribute Definition'!$B:$B,MATCH($D559,'Attribute Definition'!$A:$A,0))</f>
        <v>Chất liệu</v>
      </c>
      <c r="F559" s="38" t="s">
        <v>2657</v>
      </c>
      <c r="G559" s="39" t="str" cm="1">
        <f t="array" ref="G559">_xlfn.TEXTJOIN("; ",TRUE,_xlfn.UNIQUE(_xlfn._xlws.FILTER('Product Variant Attribute'!$F$2:$F$3000,('Product Variant Attribute'!$B$2:$B$3000=$A559)*('Product Variant Attribute'!$D$2:$D$3000=$D559),"")))</f>
        <v>Silicone</v>
      </c>
      <c r="H559" s="39"/>
      <c r="I559" s="39"/>
      <c r="J559" s="39" t="str" cm="1">
        <f t="array" ref="J559">IF($I559="","",_xlfn.TEXTJOIN("; ",TRUE,_xlfn.UNIQUE(_xlfn._xlws.FILTER($A$2:$A$3000,($C$2:$C$3000=$C559)*($E$2:$E$3000=$E559)*($G$2:$G$3000&lt;&gt;$G559)*($G$2:$G$3000&lt;&gt;""),""))))</f>
        <v/>
      </c>
    </row>
    <row r="560" spans="1:10" x14ac:dyDescent="0.25">
      <c r="A560" s="23" t="s">
        <v>773</v>
      </c>
      <c r="B560" s="37" t="str">
        <f>INDEX(Product!$B:$B,MATCH($A560,Product!$A:$A,0))</f>
        <v>[Pitr Med] Dụng cụ hỗ trợ đi tiểu nam (bộ chụp tiểu silicon)</v>
      </c>
      <c r="C560" s="37" t="str">
        <f>INDEX(Product!$D:$D,MATCH($A560,Product!$A:$A,0))</f>
        <v>Dụng cụ hỗ trợ đi tiểu nam</v>
      </c>
      <c r="D560" s="23" t="s">
        <v>2449</v>
      </c>
      <c r="E560" s="37" t="str">
        <f>INDEX('Attribute Definition'!$B:$B,MATCH($D560,'Attribute Definition'!$A:$A,0))</f>
        <v>Đối tượng sử dụng</v>
      </c>
      <c r="F560" s="38" t="s">
        <v>2657</v>
      </c>
      <c r="G560" s="39" t="str" cm="1">
        <f t="array" ref="G560">_xlfn.TEXTJOIN("; ",TRUE,_xlfn.UNIQUE(_xlfn._xlws.FILTER('Product Variant Attribute'!$F$2:$F$3000,('Product Variant Attribute'!$B$2:$B$3000=$A560)*('Product Variant Attribute'!$D$2:$D$3000=$D560),"")))</f>
        <v>Nam giới</v>
      </c>
      <c r="H560" s="39"/>
      <c r="I560" s="39"/>
      <c r="J560" s="39" t="str" cm="1">
        <f t="array" ref="J560">IF($I560="","",_xlfn.TEXTJOIN("; ",TRUE,_xlfn.UNIQUE(_xlfn._xlws.FILTER($A$2:$A$3000,($C$2:$C$3000=$C560)*($E$2:$E$3000=$E560)*($G$2:$G$3000&lt;&gt;$G560)*($G$2:$G$3000&lt;&gt;""),""))))</f>
        <v/>
      </c>
    </row>
    <row r="561" spans="1:10" x14ac:dyDescent="0.25">
      <c r="A561" s="23" t="s">
        <v>773</v>
      </c>
      <c r="B561" s="37" t="str">
        <f>INDEX(Product!$B:$B,MATCH($A561,Product!$A:$A,0))</f>
        <v>[Pitr Med] Dụng cụ hỗ trợ đi tiểu nam (bộ chụp tiểu silicon)</v>
      </c>
      <c r="C561" s="37" t="str">
        <f>INDEX(Product!$D:$D,MATCH($A561,Product!$A:$A,0))</f>
        <v>Dụng cụ hỗ trợ đi tiểu nam</v>
      </c>
      <c r="D561" s="23" t="s">
        <v>2471</v>
      </c>
      <c r="E561" s="37" t="str">
        <f>INDEX('Attribute Definition'!$B:$B,MATCH($D561,'Attribute Definition'!$A:$A,0))</f>
        <v>Dạng sản phẩm</v>
      </c>
      <c r="F561" s="38" t="s">
        <v>2657</v>
      </c>
      <c r="G561" s="39" t="str" cm="1">
        <f t="array" ref="G561">_xlfn.TEXTJOIN("; ",TRUE,_xlfn.UNIQUE(_xlfn._xlws.FILTER('Product Variant Attribute'!$F$2:$F$3000,('Product Variant Attribute'!$B$2:$B$3000=$A561)*('Product Variant Attribute'!$D$2:$D$3000=$D561),"")))</f>
        <v>Dụng cụ / phụ kiện</v>
      </c>
      <c r="H561" s="39"/>
      <c r="I561" s="39"/>
      <c r="J561" s="39" t="str" cm="1">
        <f t="array" ref="J561">IF($I561="","",_xlfn.TEXTJOIN("; ",TRUE,_xlfn.UNIQUE(_xlfn._xlws.FILTER($A$2:$A$3000,($C$2:$C$3000=$C561)*($E$2:$E$3000=$E561)*($G$2:$G$3000&lt;&gt;$G561)*($G$2:$G$3000&lt;&gt;""),""))))</f>
        <v/>
      </c>
    </row>
    <row r="562" spans="1:10" x14ac:dyDescent="0.25">
      <c r="A562" s="23" t="s">
        <v>774</v>
      </c>
      <c r="B562" s="37" t="str">
        <f>INDEX(Product!$B:$B,MATCH($A562,Product!$A:$A,0))</f>
        <v>[Welford] Túi đựng nước tiểu có van khóa - i-CARE</v>
      </c>
      <c r="C562" s="37" t="str">
        <f>INDEX(Product!$D:$D,MATCH($A562,Product!$A:$A,0))</f>
        <v>Túi đựng nước tiểu</v>
      </c>
      <c r="D562" s="23" t="s">
        <v>2374</v>
      </c>
      <c r="E562" s="37" t="str">
        <f>INDEX('Attribute Definition'!$B:$B,MATCH($D562,'Attribute Definition'!$A:$A,0))</f>
        <v>Vô trùng</v>
      </c>
      <c r="F562" s="38" t="s">
        <v>2657</v>
      </c>
      <c r="G562" s="39" t="str" cm="1">
        <f t="array" ref="G562">_xlfn.TEXTJOIN("; ",TRUE,_xlfn.UNIQUE(_xlfn._xlws.FILTER('Product Variant Attribute'!$F$2:$F$3000,('Product Variant Attribute'!$B$2:$B$3000=$A562)*('Product Variant Attribute'!$D$2:$D$3000=$D562),"")))</f>
        <v>Có</v>
      </c>
      <c r="H562" s="39"/>
      <c r="I562" s="39"/>
      <c r="J562" s="39" t="str" cm="1">
        <f t="array" ref="J562">IF($I562="","",_xlfn.TEXTJOIN("; ",TRUE,_xlfn.UNIQUE(_xlfn._xlws.FILTER($A$2:$A$3000,($C$2:$C$3000=$C562)*($E$2:$E$3000=$E562)*($G$2:$G$3000&lt;&gt;$G562)*($G$2:$G$3000&lt;&gt;""),""))))</f>
        <v/>
      </c>
    </row>
    <row r="563" spans="1:10" x14ac:dyDescent="0.25">
      <c r="A563" s="23" t="s">
        <v>774</v>
      </c>
      <c r="B563" s="37" t="str">
        <f>INDEX(Product!$B:$B,MATCH($A563,Product!$A:$A,0))</f>
        <v>[Welford] Túi đựng nước tiểu có van khóa - i-CARE</v>
      </c>
      <c r="C563" s="37" t="str">
        <f>INDEX(Product!$D:$D,MATCH($A563,Product!$A:$A,0))</f>
        <v>Túi đựng nước tiểu</v>
      </c>
      <c r="D563" s="23" t="s">
        <v>2401</v>
      </c>
      <c r="E563" s="37" t="str">
        <f>INDEX('Attribute Definition'!$B:$B,MATCH($D563,'Attribute Definition'!$A:$A,0))</f>
        <v>Kiểu khóa / xả</v>
      </c>
      <c r="F563" s="38" t="s">
        <v>2657</v>
      </c>
      <c r="G563" s="39" t="str" cm="1">
        <f t="array" ref="G563">_xlfn.TEXTJOIN("; ",TRUE,_xlfn.UNIQUE(_xlfn._xlws.FILTER('Product Variant Attribute'!$F$2:$F$3000,('Product Variant Attribute'!$B$2:$B$3000=$A563)*('Product Variant Attribute'!$D$2:$D$3000=$D563),"")))</f>
        <v>Van khóa</v>
      </c>
      <c r="H563" s="39"/>
      <c r="I563" s="39"/>
      <c r="J563" s="39" t="str" cm="1">
        <f t="array" ref="J563">IF($I563="","",_xlfn.TEXTJOIN("; ",TRUE,_xlfn.UNIQUE(_xlfn._xlws.FILTER($A$2:$A$3000,($C$2:$C$3000=$C563)*($E$2:$E$3000=$E563)*($G$2:$G$3000&lt;&gt;$G563)*($G$2:$G$3000&lt;&gt;""),""))))</f>
        <v/>
      </c>
    </row>
    <row r="564" spans="1:10" x14ac:dyDescent="0.25">
      <c r="A564" s="23" t="s">
        <v>774</v>
      </c>
      <c r="B564" s="37" t="str">
        <f>INDEX(Product!$B:$B,MATCH($A564,Product!$A:$A,0))</f>
        <v>[Welford] Túi đựng nước tiểu có van khóa - i-CARE</v>
      </c>
      <c r="C564" s="37" t="str">
        <f>INDEX(Product!$D:$D,MATCH($A564,Product!$A:$A,0))</f>
        <v>Túi đựng nước tiểu</v>
      </c>
      <c r="D564" s="23" t="s">
        <v>2471</v>
      </c>
      <c r="E564" s="37" t="str">
        <f>INDEX('Attribute Definition'!$B:$B,MATCH($D564,'Attribute Definition'!$A:$A,0))</f>
        <v>Dạng sản phẩm</v>
      </c>
      <c r="F564" s="38" t="s">
        <v>2657</v>
      </c>
      <c r="G564" s="39" t="str" cm="1">
        <f t="array" ref="G564">_xlfn.TEXTJOIN("; ",TRUE,_xlfn.UNIQUE(_xlfn._xlws.FILTER('Product Variant Attribute'!$F$2:$F$3000,('Product Variant Attribute'!$B$2:$B$3000=$A564)*('Product Variant Attribute'!$D$2:$D$3000=$D564),"")))</f>
        <v>Túi</v>
      </c>
      <c r="H564" s="39"/>
      <c r="I564" s="39"/>
      <c r="J564" s="39" t="str" cm="1">
        <f t="array" ref="J564">IF($I564="","",_xlfn.TEXTJOIN("; ",TRUE,_xlfn.UNIQUE(_xlfn._xlws.FILTER($A$2:$A$3000,($C$2:$C$3000=$C564)*($E$2:$E$3000=$E564)*($G$2:$G$3000&lt;&gt;$G564)*($G$2:$G$3000&lt;&gt;""),""))))</f>
        <v/>
      </c>
    </row>
    <row r="565" spans="1:10" x14ac:dyDescent="0.25">
      <c r="A565" s="23" t="s">
        <v>775</v>
      </c>
      <c r="B565" s="37" t="str">
        <f>INDEX(Product!$B:$B,MATCH($A565,Product!$A:$A,0))</f>
        <v>[Yushin] Bộ mở bàng quang qua da - Suprapubic Catheter Set</v>
      </c>
      <c r="C565" s="37" t="str">
        <f>INDEX(Product!$D:$D,MATCH($A565,Product!$A:$A,0))</f>
        <v>Bộ mở bàng quang qua da</v>
      </c>
      <c r="D565" s="23" t="s">
        <v>2471</v>
      </c>
      <c r="E565" s="37" t="str">
        <f>INDEX('Attribute Definition'!$B:$B,MATCH($D565,'Attribute Definition'!$A:$A,0))</f>
        <v>Dạng sản phẩm</v>
      </c>
      <c r="F565" s="38" t="s">
        <v>2657</v>
      </c>
      <c r="G565" s="39" t="str" cm="1">
        <f t="array" ref="G565">_xlfn.TEXTJOIN("; ",TRUE,_xlfn.UNIQUE(_xlfn._xlws.FILTER('Product Variant Attribute'!$F$2:$F$3000,('Product Variant Attribute'!$B$2:$B$3000=$A565)*('Product Variant Attribute'!$D$2:$D$3000=$D565),"")))</f>
        <v>Bộ dụng cụ</v>
      </c>
      <c r="H565" s="39"/>
      <c r="I565" s="39"/>
      <c r="J565" s="39" t="str" cm="1">
        <f t="array" ref="J565">IF($I565="","",_xlfn.TEXTJOIN("; ",TRUE,_xlfn.UNIQUE(_xlfn._xlws.FILTER($A$2:$A$3000,($C$2:$C$3000=$C565)*($E$2:$E$3000=$E565)*($G$2:$G$3000&lt;&gt;$G565)*($G$2:$G$3000&lt;&gt;""),""))))</f>
        <v/>
      </c>
    </row>
    <row r="566" spans="1:10" ht="30" x14ac:dyDescent="0.25">
      <c r="A566" s="23" t="s">
        <v>775</v>
      </c>
      <c r="B566" s="37" t="str">
        <f>INDEX(Product!$B:$B,MATCH($A566,Product!$A:$A,0))</f>
        <v>[Yushin] Bộ mở bàng quang qua da - Suprapubic Catheter Set</v>
      </c>
      <c r="C566" s="37" t="str">
        <f>INDEX(Product!$D:$D,MATCH($A566,Product!$A:$A,0))</f>
        <v>Bộ mở bàng quang qua da</v>
      </c>
      <c r="D566" s="23" t="s">
        <v>2656</v>
      </c>
      <c r="E566" s="37" t="str">
        <f>INDEX('Attribute Definition'!$B:$B,MATCH($D566,'Attribute Definition'!$A:$A,0))</f>
        <v>Kích cỡ</v>
      </c>
      <c r="F566" s="38" t="s">
        <v>2485</v>
      </c>
      <c r="G566" s="39" t="str" cm="1">
        <f t="array" ref="G566">_xlfn.TEXTJOIN("; ",TRUE,_xlfn.UNIQUE(_xlfn._xlws.FILTER('Product Variant Attribute'!$F$2:$F$3000,('Product Variant Attribute'!$B$2:$B$3000=$A566)*('Product Variant Attribute'!$D$2:$D$3000=$D566),"")))</f>
        <v>16Fr; 18Fr</v>
      </c>
      <c r="H566" s="39" t="s">
        <v>2700</v>
      </c>
      <c r="I566" s="39"/>
      <c r="J566" s="39" t="str" cm="1">
        <f t="array" ref="J566">IF($I566="","",_xlfn.TEXTJOIN("; ",TRUE,_xlfn.UNIQUE(_xlfn._xlws.FILTER($A$2:$A$3000,($C$2:$C$3000=$C566)*($E$2:$E$3000=$E566)*($G$2:$G$3000&lt;&gt;$G566)*($G$2:$G$3000&lt;&gt;""),""))))</f>
        <v/>
      </c>
    </row>
    <row r="567" spans="1:10" x14ac:dyDescent="0.25">
      <c r="A567" s="23" t="s">
        <v>776</v>
      </c>
      <c r="B567" s="37" t="str">
        <f>INDEX(Product!$B:$B,MATCH($A567,Product!$A:$A,0))</f>
        <v>[Yushin] Ống thông tiểu Foley silicon 2 nhánh dài ngày</v>
      </c>
      <c r="C567" s="37" t="str">
        <f>INDEX(Product!$D:$D,MATCH($A567,Product!$A:$A,0))</f>
        <v>Ống thông tiểu Foley</v>
      </c>
      <c r="D567" s="23" t="s">
        <v>2367</v>
      </c>
      <c r="E567" s="37" t="str">
        <f>INDEX('Attribute Definition'!$B:$B,MATCH($D567,'Attribute Definition'!$A:$A,0))</f>
        <v>Chất liệu</v>
      </c>
      <c r="F567" s="38" t="s">
        <v>2657</v>
      </c>
      <c r="G567" s="39" t="str" cm="1">
        <f t="array" ref="G567">_xlfn.TEXTJOIN("; ",TRUE,_xlfn.UNIQUE(_xlfn._xlws.FILTER('Product Variant Attribute'!$F$2:$F$3000,('Product Variant Attribute'!$B$2:$B$3000=$A567)*('Product Variant Attribute'!$D$2:$D$3000=$D567),"")))</f>
        <v>Silicone</v>
      </c>
      <c r="H567" s="39"/>
      <c r="I567" s="39"/>
      <c r="J567" s="39" t="str" cm="1">
        <f t="array" ref="J567">IF($I567="","",_xlfn.TEXTJOIN("; ",TRUE,_xlfn.UNIQUE(_xlfn._xlws.FILTER($A$2:$A$3000,($C$2:$C$3000=$C567)*($E$2:$E$3000=$E567)*($G$2:$G$3000&lt;&gt;$G567)*($G$2:$G$3000&lt;&gt;""),""))))</f>
        <v/>
      </c>
    </row>
    <row r="568" spans="1:10" ht="30" x14ac:dyDescent="0.25">
      <c r="A568" s="23" t="s">
        <v>776</v>
      </c>
      <c r="B568" s="37" t="str">
        <f>INDEX(Product!$B:$B,MATCH($A568,Product!$A:$A,0))</f>
        <v>[Yushin] Ống thông tiểu Foley silicon 2 nhánh dài ngày</v>
      </c>
      <c r="C568" s="37" t="str">
        <f>INDEX(Product!$D:$D,MATCH($A568,Product!$A:$A,0))</f>
        <v>Ống thông tiểu Foley</v>
      </c>
      <c r="D568" s="23" t="s">
        <v>2411</v>
      </c>
      <c r="E568" s="37" t="str">
        <f>INDEX('Attribute Definition'!$B:$B,MATCH($D568,'Attribute Definition'!$A:$A,0))</f>
        <v>Số nòng / nhánh</v>
      </c>
      <c r="F568" s="38" t="s">
        <v>2657</v>
      </c>
      <c r="G568" s="39" t="str" cm="1">
        <f t="array" ref="G568">_xlfn.TEXTJOIN("; ",TRUE,_xlfn.UNIQUE(_xlfn._xlws.FILTER('Product Variant Attribute'!$F$2:$F$3000,('Product Variant Attribute'!$B$2:$B$3000=$A568)*('Product Variant Attribute'!$D$2:$D$3000=$D568),"")))</f>
        <v>2 nhánh</v>
      </c>
      <c r="H568" s="39"/>
      <c r="I568" s="39" t="s">
        <v>2756</v>
      </c>
      <c r="J568" s="39" t="str" cm="1">
        <f t="array" ref="J568">IF($I568="","",_xlfn.TEXTJOIN("; ",TRUE,_xlfn.UNIQUE(_xlfn._xlws.FILTER($A$2:$A$3000,($C$2:$C$3000=$C568)*($E$2:$E$3000=$E568)*($G$2:$G$3000&lt;&gt;$G568)*($G$2:$G$3000&lt;&gt;""),""))))</f>
        <v>PRODUCT-00210</v>
      </c>
    </row>
    <row r="569" spans="1:10" x14ac:dyDescent="0.25">
      <c r="A569" s="23" t="s">
        <v>776</v>
      </c>
      <c r="B569" s="37" t="str">
        <f>INDEX(Product!$B:$B,MATCH($A569,Product!$A:$A,0))</f>
        <v>[Yushin] Ống thông tiểu Foley silicon 2 nhánh dài ngày</v>
      </c>
      <c r="C569" s="37" t="str">
        <f>INDEX(Product!$D:$D,MATCH($A569,Product!$A:$A,0))</f>
        <v>Ống thông tiểu Foley</v>
      </c>
      <c r="D569" s="23" t="s">
        <v>2454</v>
      </c>
      <c r="E569" s="37" t="str">
        <f>INDEX('Attribute Definition'!$B:$B,MATCH($D569,'Attribute Definition'!$A:$A,0))</f>
        <v>Thời gian sử dụng</v>
      </c>
      <c r="F569" s="38" t="s">
        <v>2657</v>
      </c>
      <c r="G569" s="39" t="str" cm="1">
        <f t="array" ref="G569">_xlfn.TEXTJOIN("; ",TRUE,_xlfn.UNIQUE(_xlfn._xlws.FILTER('Product Variant Attribute'!$F$2:$F$3000,('Product Variant Attribute'!$B$2:$B$3000=$A569)*('Product Variant Attribute'!$D$2:$D$3000=$D569),"")))</f>
        <v>Dài ngày</v>
      </c>
      <c r="H569" s="39"/>
      <c r="I569" s="39"/>
      <c r="J569" s="39" t="str" cm="1">
        <f t="array" ref="J569">IF($I569="","",_xlfn.TEXTJOIN("; ",TRUE,_xlfn.UNIQUE(_xlfn._xlws.FILTER($A$2:$A$3000,($C$2:$C$3000=$C569)*($E$2:$E$3000=$E569)*($G$2:$G$3000&lt;&gt;$G569)*($G$2:$G$3000&lt;&gt;""),""))))</f>
        <v/>
      </c>
    </row>
    <row r="570" spans="1:10" x14ac:dyDescent="0.25">
      <c r="A570" s="23" t="s">
        <v>776</v>
      </c>
      <c r="B570" s="37" t="str">
        <f>INDEX(Product!$B:$B,MATCH($A570,Product!$A:$A,0))</f>
        <v>[Yushin] Ống thông tiểu Foley silicon 2 nhánh dài ngày</v>
      </c>
      <c r="C570" s="37" t="str">
        <f>INDEX(Product!$D:$D,MATCH($A570,Product!$A:$A,0))</f>
        <v>Ống thông tiểu Foley</v>
      </c>
      <c r="D570" s="23" t="s">
        <v>2471</v>
      </c>
      <c r="E570" s="37" t="str">
        <f>INDEX('Attribute Definition'!$B:$B,MATCH($D570,'Attribute Definition'!$A:$A,0))</f>
        <v>Dạng sản phẩm</v>
      </c>
      <c r="F570" s="38" t="s">
        <v>2657</v>
      </c>
      <c r="G570" s="39" t="str" cm="1">
        <f t="array" ref="G570">_xlfn.TEXTJOIN("; ",TRUE,_xlfn.UNIQUE(_xlfn._xlws.FILTER('Product Variant Attribute'!$F$2:$F$3000,('Product Variant Attribute'!$B$2:$B$3000=$A570)*('Product Variant Attribute'!$D$2:$D$3000=$D570),"")))</f>
        <v>Ống / dây</v>
      </c>
      <c r="H570" s="39"/>
      <c r="I570" s="39"/>
      <c r="J570" s="39" t="str" cm="1">
        <f t="array" ref="J570">IF($I570="","",_xlfn.TEXTJOIN("; ",TRUE,_xlfn.UNIQUE(_xlfn._xlws.FILTER($A$2:$A$3000,($C$2:$C$3000=$C570)*($E$2:$E$3000=$E570)*($G$2:$G$3000&lt;&gt;$G570)*($G$2:$G$3000&lt;&gt;""),""))))</f>
        <v/>
      </c>
    </row>
    <row r="571" spans="1:10" ht="30" x14ac:dyDescent="0.25">
      <c r="A571" s="23" t="s">
        <v>776</v>
      </c>
      <c r="B571" s="37" t="str">
        <f>INDEX(Product!$B:$B,MATCH($A571,Product!$A:$A,0))</f>
        <v>[Yushin] Ống thông tiểu Foley silicon 2 nhánh dài ngày</v>
      </c>
      <c r="C571" s="37" t="str">
        <f>INDEX(Product!$D:$D,MATCH($A571,Product!$A:$A,0))</f>
        <v>Ống thông tiểu Foley</v>
      </c>
      <c r="D571" s="23" t="s">
        <v>2656</v>
      </c>
      <c r="E571" s="37" t="str">
        <f>INDEX('Attribute Definition'!$B:$B,MATCH($D571,'Attribute Definition'!$A:$A,0))</f>
        <v>Kích cỡ</v>
      </c>
      <c r="F571" s="38" t="s">
        <v>2485</v>
      </c>
      <c r="G571" s="39" t="str" cm="1">
        <f t="array" ref="G571">_xlfn.TEXTJOIN("; ",TRUE,_xlfn.UNIQUE(_xlfn._xlws.FILTER('Product Variant Attribute'!$F$2:$F$3000,('Product Variant Attribute'!$B$2:$B$3000=$A571)*('Product Variant Attribute'!$D$2:$D$3000=$D571),"")))</f>
        <v>16Fr; 18Fr</v>
      </c>
      <c r="H571" s="39" t="s">
        <v>2701</v>
      </c>
      <c r="I571" s="39"/>
      <c r="J571" s="39" t="str" cm="1">
        <f t="array" ref="J571">IF($I571="","",_xlfn.TEXTJOIN("; ",TRUE,_xlfn.UNIQUE(_xlfn._xlws.FILTER($A$2:$A$3000,($C$2:$C$3000=$C571)*($E$2:$E$3000=$E571)*($G$2:$G$3000&lt;&gt;$G571)*($G$2:$G$3000&lt;&gt;""),""))))</f>
        <v/>
      </c>
    </row>
    <row r="572" spans="1:10" x14ac:dyDescent="0.25">
      <c r="A572" s="23" t="s">
        <v>777</v>
      </c>
      <c r="B572" s="37" t="str">
        <f>INDEX(Product!$B:$B,MATCH($A572,Product!$A:$A,0))</f>
        <v>[Yushin] Ống thông tiểu ngắt quãng silicon</v>
      </c>
      <c r="C572" s="37" t="str">
        <f>INDEX(Product!$D:$D,MATCH($A572,Product!$A:$A,0))</f>
        <v>Ống thông tiểu ngắt quãng</v>
      </c>
      <c r="D572" s="23" t="s">
        <v>2367</v>
      </c>
      <c r="E572" s="37" t="str">
        <f>INDEX('Attribute Definition'!$B:$B,MATCH($D572,'Attribute Definition'!$A:$A,0))</f>
        <v>Chất liệu</v>
      </c>
      <c r="F572" s="38" t="s">
        <v>2657</v>
      </c>
      <c r="G572" s="39" t="str" cm="1">
        <f t="array" ref="G572">_xlfn.TEXTJOIN("; ",TRUE,_xlfn.UNIQUE(_xlfn._xlws.FILTER('Product Variant Attribute'!$F$2:$F$3000,('Product Variant Attribute'!$B$2:$B$3000=$A572)*('Product Variant Attribute'!$D$2:$D$3000=$D572),"")))</f>
        <v>Silicone</v>
      </c>
      <c r="H572" s="39"/>
      <c r="I572" s="39"/>
      <c r="J572" s="39" t="str" cm="1">
        <f t="array" ref="J572">IF($I572="","",_xlfn.TEXTJOIN("; ",TRUE,_xlfn.UNIQUE(_xlfn._xlws.FILTER($A$2:$A$3000,($C$2:$C$3000=$C572)*($E$2:$E$3000=$E572)*($G$2:$G$3000&lt;&gt;$G572)*($G$2:$G$3000&lt;&gt;""),""))))</f>
        <v/>
      </c>
    </row>
    <row r="573" spans="1:10" ht="30" x14ac:dyDescent="0.25">
      <c r="A573" s="23" t="s">
        <v>777</v>
      </c>
      <c r="B573" s="37" t="str">
        <f>INDEX(Product!$B:$B,MATCH($A573,Product!$A:$A,0))</f>
        <v>[Yushin] Ống thông tiểu ngắt quãng silicon</v>
      </c>
      <c r="C573" s="37" t="str">
        <f>INDEX(Product!$D:$D,MATCH($A573,Product!$A:$A,0))</f>
        <v>Ống thông tiểu ngắt quãng</v>
      </c>
      <c r="D573" s="23" t="s">
        <v>2471</v>
      </c>
      <c r="E573" s="37" t="str">
        <f>INDEX('Attribute Definition'!$B:$B,MATCH($D573,'Attribute Definition'!$A:$A,0))</f>
        <v>Dạng sản phẩm</v>
      </c>
      <c r="F573" s="38" t="s">
        <v>2657</v>
      </c>
      <c r="G573" s="39" t="str" cm="1">
        <f t="array" ref="G573">_xlfn.TEXTJOIN("; ",TRUE,_xlfn.UNIQUE(_xlfn._xlws.FILTER('Product Variant Attribute'!$F$2:$F$3000,('Product Variant Attribute'!$B$2:$B$3000=$A573)*('Product Variant Attribute'!$D$2:$D$3000=$D573),"")))</f>
        <v>Ống / dây</v>
      </c>
      <c r="H573" s="39"/>
      <c r="I573" s="39" t="s">
        <v>2755</v>
      </c>
      <c r="J573" s="39" t="str" cm="1">
        <f t="array" ref="J573">IF($I573="","",_xlfn.TEXTJOIN("; ",TRUE,_xlfn.UNIQUE(_xlfn._xlws.FILTER($A$2:$A$3000,($C$2:$C$3000=$C573)*($E$2:$E$3000=$E573)*($G$2:$G$3000&lt;&gt;$G573)*($G$2:$G$3000&lt;&gt;""),""))))</f>
        <v>PRODUCT-00207</v>
      </c>
    </row>
    <row r="574" spans="1:10" ht="30" x14ac:dyDescent="0.25">
      <c r="A574" s="23" t="s">
        <v>777</v>
      </c>
      <c r="B574" s="37" t="str">
        <f>INDEX(Product!$B:$B,MATCH($A574,Product!$A:$A,0))</f>
        <v>[Yushin] Ống thông tiểu ngắt quãng silicon</v>
      </c>
      <c r="C574" s="37" t="str">
        <f>INDEX(Product!$D:$D,MATCH($A574,Product!$A:$A,0))</f>
        <v>Ống thông tiểu ngắt quãng</v>
      </c>
      <c r="D574" s="23" t="s">
        <v>2656</v>
      </c>
      <c r="E574" s="37" t="str">
        <f>INDEX('Attribute Definition'!$B:$B,MATCH($D574,'Attribute Definition'!$A:$A,0))</f>
        <v>Kích cỡ</v>
      </c>
      <c r="F574" s="38" t="s">
        <v>2485</v>
      </c>
      <c r="G574" s="39" t="str" cm="1">
        <f t="array" ref="G574">_xlfn.TEXTJOIN("; ",TRUE,_xlfn.UNIQUE(_xlfn._xlws.FILTER('Product Variant Attribute'!$F$2:$F$3000,('Product Variant Attribute'!$B$2:$B$3000=$A574)*('Product Variant Attribute'!$D$2:$D$3000=$D574),"")))</f>
        <v>12Fr; 14Fr</v>
      </c>
      <c r="H574" s="39" t="s">
        <v>2696</v>
      </c>
      <c r="I574" s="39"/>
      <c r="J574" s="39" t="str" cm="1">
        <f t="array" ref="J574">IF($I574="","",_xlfn.TEXTJOIN("; ",TRUE,_xlfn.UNIQUE(_xlfn._xlws.FILTER($A$2:$A$3000,($C$2:$C$3000=$C574)*($E$2:$E$3000=$E574)*($G$2:$G$3000&lt;&gt;$G574)*($G$2:$G$3000&lt;&gt;""),""))))</f>
        <v/>
      </c>
    </row>
    <row r="575" spans="1:10" x14ac:dyDescent="0.25">
      <c r="A575" s="23" t="s">
        <v>778</v>
      </c>
      <c r="B575" s="37" t="str">
        <f>INDEX(Product!$B:$B,MATCH($A575,Product!$A:$A,0))</f>
        <v>Túi đựng nước tiểu cột chân có van khóa</v>
      </c>
      <c r="C575" s="37" t="str">
        <f>INDEX(Product!$D:$D,MATCH($A575,Product!$A:$A,0))</f>
        <v>Túi đựng nước tiểu</v>
      </c>
      <c r="D575" s="23" t="s">
        <v>2401</v>
      </c>
      <c r="E575" s="37" t="str">
        <f>INDEX('Attribute Definition'!$B:$B,MATCH($D575,'Attribute Definition'!$A:$A,0))</f>
        <v>Kiểu khóa / xả</v>
      </c>
      <c r="F575" s="38" t="s">
        <v>2657</v>
      </c>
      <c r="G575" s="39" t="str" cm="1">
        <f t="array" ref="G575">_xlfn.TEXTJOIN("; ",TRUE,_xlfn.UNIQUE(_xlfn._xlws.FILTER('Product Variant Attribute'!$F$2:$F$3000,('Product Variant Attribute'!$B$2:$B$3000=$A575)*('Product Variant Attribute'!$D$2:$D$3000=$D575),"")))</f>
        <v>Van khóa</v>
      </c>
      <c r="H575" s="39"/>
      <c r="I575" s="39"/>
      <c r="J575" s="39" t="str" cm="1">
        <f t="array" ref="J575">IF($I575="","",_xlfn.TEXTJOIN("; ",TRUE,_xlfn.UNIQUE(_xlfn._xlws.FILTER($A$2:$A$3000,($C$2:$C$3000=$C575)*($E$2:$E$3000=$E575)*($G$2:$G$3000&lt;&gt;$G575)*($G$2:$G$3000&lt;&gt;""),""))))</f>
        <v/>
      </c>
    </row>
    <row r="576" spans="1:10" x14ac:dyDescent="0.25">
      <c r="A576" s="23" t="s">
        <v>778</v>
      </c>
      <c r="B576" s="37" t="str">
        <f>INDEX(Product!$B:$B,MATCH($A576,Product!$A:$A,0))</f>
        <v>Túi đựng nước tiểu cột chân có van khóa</v>
      </c>
      <c r="C576" s="37" t="str">
        <f>INDEX(Product!$D:$D,MATCH($A576,Product!$A:$A,0))</f>
        <v>Túi đựng nước tiểu</v>
      </c>
      <c r="D576" s="23" t="s">
        <v>2471</v>
      </c>
      <c r="E576" s="37" t="str">
        <f>INDEX('Attribute Definition'!$B:$B,MATCH($D576,'Attribute Definition'!$A:$A,0))</f>
        <v>Dạng sản phẩm</v>
      </c>
      <c r="F576" s="38" t="s">
        <v>2657</v>
      </c>
      <c r="G576" s="39" t="str" cm="1">
        <f t="array" ref="G576">_xlfn.TEXTJOIN("; ",TRUE,_xlfn.UNIQUE(_xlfn._xlws.FILTER('Product Variant Attribute'!$F$2:$F$3000,('Product Variant Attribute'!$B$2:$B$3000=$A576)*('Product Variant Attribute'!$D$2:$D$3000=$D576),"")))</f>
        <v>Túi</v>
      </c>
      <c r="H576" s="39"/>
      <c r="I576" s="39"/>
      <c r="J576" s="39" t="str" cm="1">
        <f t="array" ref="J576">IF($I576="","",_xlfn.TEXTJOIN("; ",TRUE,_xlfn.UNIQUE(_xlfn._xlws.FILTER($A$2:$A$3000,($C$2:$C$3000=$C576)*($E$2:$E$3000=$E576)*($G$2:$G$3000&lt;&gt;$G576)*($G$2:$G$3000&lt;&gt;""),""))))</f>
        <v/>
      </c>
    </row>
    <row r="577" spans="1:10" x14ac:dyDescent="0.25">
      <c r="A577" s="23" t="s">
        <v>779</v>
      </c>
      <c r="B577" s="37" t="str">
        <f>INDEX(Product!$B:$B,MATCH($A577,Product!$A:$A,0))</f>
        <v>[Bornsun] Hệ thống dẫn lưu phân</v>
      </c>
      <c r="C577" s="37" t="str">
        <f>INDEX(Product!$D:$D,MATCH($A577,Product!$A:$A,0))</f>
        <v>Hệ thống dẫn lưu phân</v>
      </c>
      <c r="D577" s="23" t="s">
        <v>2471</v>
      </c>
      <c r="E577" s="37" t="str">
        <f>INDEX('Attribute Definition'!$B:$B,MATCH($D577,'Attribute Definition'!$A:$A,0))</f>
        <v>Dạng sản phẩm</v>
      </c>
      <c r="F577" s="38" t="s">
        <v>2657</v>
      </c>
      <c r="G577" s="39" t="str" cm="1">
        <f t="array" ref="G577">_xlfn.TEXTJOIN("; ",TRUE,_xlfn.UNIQUE(_xlfn._xlws.FILTER('Product Variant Attribute'!$F$2:$F$3000,('Product Variant Attribute'!$B$2:$B$3000=$A577)*('Product Variant Attribute'!$D$2:$D$3000=$D577),"")))</f>
        <v>Máy / thiết bị điện tử</v>
      </c>
      <c r="H577" s="39"/>
      <c r="I577" s="39"/>
      <c r="J577" s="39" t="str" cm="1">
        <f t="array" ref="J577">IF($I577="","",_xlfn.TEXTJOIN("; ",TRUE,_xlfn.UNIQUE(_xlfn._xlws.FILTER($A$2:$A$3000,($C$2:$C$3000=$C577)*($E$2:$E$3000=$E577)*($G$2:$G$3000&lt;&gt;$G577)*($G$2:$G$3000&lt;&gt;""),""))))</f>
        <v/>
      </c>
    </row>
    <row r="578" spans="1:10" x14ac:dyDescent="0.25">
      <c r="A578" s="23" t="s">
        <v>780</v>
      </c>
      <c r="B578" s="37" t="str">
        <f>INDEX(Product!$B:$B,MATCH($A578,Product!$A:$A,0))</f>
        <v>[Covidien] Máy bơm thức ăn - Kangaroo ePump™</v>
      </c>
      <c r="C578" s="37" t="str">
        <f>INDEX(Product!$D:$D,MATCH($A578,Product!$A:$A,0))</f>
        <v>Máy bơm thức ăn</v>
      </c>
      <c r="D578" s="23" t="s">
        <v>2471</v>
      </c>
      <c r="E578" s="37" t="str">
        <f>INDEX('Attribute Definition'!$B:$B,MATCH($D578,'Attribute Definition'!$A:$A,0))</f>
        <v>Dạng sản phẩm</v>
      </c>
      <c r="F578" s="38" t="s">
        <v>2657</v>
      </c>
      <c r="G578" s="39" t="str" cm="1">
        <f t="array" ref="G578">_xlfn.TEXTJOIN("; ",TRUE,_xlfn.UNIQUE(_xlfn._xlws.FILTER('Product Variant Attribute'!$F$2:$F$3000,('Product Variant Attribute'!$B$2:$B$3000=$A578)*('Product Variant Attribute'!$D$2:$D$3000=$D578),"")))</f>
        <v>Máy / thiết bị điện tử</v>
      </c>
      <c r="H578" s="39"/>
      <c r="I578" s="39"/>
      <c r="J578" s="39" t="str" cm="1">
        <f t="array" ref="J578">IF($I578="","",_xlfn.TEXTJOIN("; ",TRUE,_xlfn.UNIQUE(_xlfn._xlws.FILTER($A$2:$A$3000,($C$2:$C$3000=$C578)*($E$2:$E$3000=$E578)*($G$2:$G$3000&lt;&gt;$G578)*($G$2:$G$3000&lt;&gt;""),""))))</f>
        <v/>
      </c>
    </row>
    <row r="579" spans="1:10" ht="30" x14ac:dyDescent="0.25">
      <c r="A579" s="23" t="s">
        <v>781</v>
      </c>
      <c r="B579" s="37" t="str">
        <f>INDEX(Product!$B:$B,MATCH($A579,Product!$A:$A,0))</f>
        <v>[Covidien] Ống thông dạ dày nuôi ăn 29 ngày - Kangaroo</v>
      </c>
      <c r="C579" s="37" t="str">
        <f>INDEX(Product!$D:$D,MATCH($A579,Product!$A:$A,0))</f>
        <v>Ống thông nuôi ăn</v>
      </c>
      <c r="D579" s="23" t="s">
        <v>2454</v>
      </c>
      <c r="E579" s="37" t="str">
        <f>INDEX('Attribute Definition'!$B:$B,MATCH($D579,'Attribute Definition'!$A:$A,0))</f>
        <v>Thời gian sử dụng</v>
      </c>
      <c r="F579" s="38" t="s">
        <v>2657</v>
      </c>
      <c r="G579" s="39" t="str" cm="1">
        <f t="array" ref="G579">_xlfn.TEXTJOIN("; ",TRUE,_xlfn.UNIQUE(_xlfn._xlws.FILTER('Product Variant Attribute'!$F$2:$F$3000,('Product Variant Attribute'!$B$2:$B$3000=$A579)*('Product Variant Attribute'!$D$2:$D$3000=$D579),"")))</f>
        <v>29 ngày</v>
      </c>
      <c r="H579" s="39"/>
      <c r="I579" s="39" t="s">
        <v>2758</v>
      </c>
      <c r="J579" s="39" t="str" cm="1">
        <f t="array" ref="J579">IF($I579="","",_xlfn.TEXTJOIN("; ",TRUE,_xlfn.UNIQUE(_xlfn._xlws.FILTER($A$2:$A$3000,($C$2:$C$3000=$C579)*($E$2:$E$3000=$E579)*($G$2:$G$3000&lt;&gt;$G579)*($G$2:$G$3000&lt;&gt;""),""))))</f>
        <v>PRODUCT-00224; PRODUCT-00225; PRODUCT-00230</v>
      </c>
    </row>
    <row r="580" spans="1:10" x14ac:dyDescent="0.25">
      <c r="A580" s="23" t="s">
        <v>781</v>
      </c>
      <c r="B580" s="37" t="str">
        <f>INDEX(Product!$B:$B,MATCH($A580,Product!$A:$A,0))</f>
        <v>[Covidien] Ống thông dạ dày nuôi ăn 29 ngày - Kangaroo</v>
      </c>
      <c r="C580" s="37" t="str">
        <f>INDEX(Product!$D:$D,MATCH($A580,Product!$A:$A,0))</f>
        <v>Ống thông nuôi ăn</v>
      </c>
      <c r="D580" s="23" t="s">
        <v>2471</v>
      </c>
      <c r="E580" s="37" t="str">
        <f>INDEX('Attribute Definition'!$B:$B,MATCH($D580,'Attribute Definition'!$A:$A,0))</f>
        <v>Dạng sản phẩm</v>
      </c>
      <c r="F580" s="38" t="s">
        <v>2657</v>
      </c>
      <c r="G580" s="39" t="str" cm="1">
        <f t="array" ref="G580">_xlfn.TEXTJOIN("; ",TRUE,_xlfn.UNIQUE(_xlfn._xlws.FILTER('Product Variant Attribute'!$F$2:$F$3000,('Product Variant Attribute'!$B$2:$B$3000=$A580)*('Product Variant Attribute'!$D$2:$D$3000=$D580),"")))</f>
        <v>Ống / dây</v>
      </c>
      <c r="H580" s="39"/>
      <c r="I580" s="39"/>
      <c r="J580" s="39" t="str" cm="1">
        <f t="array" ref="J580">IF($I580="","",_xlfn.TEXTJOIN("; ",TRUE,_xlfn.UNIQUE(_xlfn._xlws.FILTER($A$2:$A$3000,($C$2:$C$3000=$C580)*($E$2:$E$3000=$E580)*($G$2:$G$3000&lt;&gt;$G580)*($G$2:$G$3000&lt;&gt;""),""))))</f>
        <v/>
      </c>
    </row>
    <row r="581" spans="1:10" x14ac:dyDescent="0.25">
      <c r="A581" s="23" t="s">
        <v>782</v>
      </c>
      <c r="B581" s="37" t="str">
        <f>INDEX(Product!$B:$B,MATCH($A581,Product!$A:$A,0))</f>
        <v>[Create Medic] Bộ mở thông dạ dày qua da - Cliny</v>
      </c>
      <c r="C581" s="37" t="str">
        <f>INDEX(Product!$D:$D,MATCH($A581,Product!$A:$A,0))</f>
        <v>Bộ mở thông dạ dày qua da</v>
      </c>
      <c r="D581" s="23" t="s">
        <v>2367</v>
      </c>
      <c r="E581" s="37" t="str">
        <f>INDEX('Attribute Definition'!$B:$B,MATCH($D581,'Attribute Definition'!$A:$A,0))</f>
        <v>Chất liệu</v>
      </c>
      <c r="F581" s="38" t="s">
        <v>2657</v>
      </c>
      <c r="G581" s="39" t="str" cm="1">
        <f t="array" ref="G581">_xlfn.TEXTJOIN("; ",TRUE,_xlfn.UNIQUE(_xlfn._xlws.FILTER('Product Variant Attribute'!$F$2:$F$3000,('Product Variant Attribute'!$B$2:$B$3000=$A581)*('Product Variant Attribute'!$D$2:$D$3000=$D581),"")))</f>
        <v>Silicone</v>
      </c>
      <c r="H581" s="39"/>
      <c r="I581" s="39"/>
      <c r="J581" s="39" t="str" cm="1">
        <f t="array" ref="J581">IF($I581="","",_xlfn.TEXTJOIN("; ",TRUE,_xlfn.UNIQUE(_xlfn._xlws.FILTER($A$2:$A$3000,($C$2:$C$3000=$C581)*($E$2:$E$3000=$E581)*($G$2:$G$3000&lt;&gt;$G581)*($G$2:$G$3000&lt;&gt;""),""))))</f>
        <v/>
      </c>
    </row>
    <row r="582" spans="1:10" x14ac:dyDescent="0.25">
      <c r="A582" s="23" t="s">
        <v>782</v>
      </c>
      <c r="B582" s="37" t="str">
        <f>INDEX(Product!$B:$B,MATCH($A582,Product!$A:$A,0))</f>
        <v>[Create Medic] Bộ mở thông dạ dày qua da - Cliny</v>
      </c>
      <c r="C582" s="37" t="str">
        <f>INDEX(Product!$D:$D,MATCH($A582,Product!$A:$A,0))</f>
        <v>Bộ mở thông dạ dày qua da</v>
      </c>
      <c r="D582" s="23" t="s">
        <v>2471</v>
      </c>
      <c r="E582" s="37" t="str">
        <f>INDEX('Attribute Definition'!$B:$B,MATCH($D582,'Attribute Definition'!$A:$A,0))</f>
        <v>Dạng sản phẩm</v>
      </c>
      <c r="F582" s="38" t="s">
        <v>2657</v>
      </c>
      <c r="G582" s="39" t="str" cm="1">
        <f t="array" ref="G582">_xlfn.TEXTJOIN("; ",TRUE,_xlfn.UNIQUE(_xlfn._xlws.FILTER('Product Variant Attribute'!$F$2:$F$3000,('Product Variant Attribute'!$B$2:$B$3000=$A582)*('Product Variant Attribute'!$D$2:$D$3000=$D582),"")))</f>
        <v>Bộ dụng cụ</v>
      </c>
      <c r="H582" s="39"/>
      <c r="I582" s="39"/>
      <c r="J582" s="39" t="str" cm="1">
        <f t="array" ref="J582">IF($I582="","",_xlfn.TEXTJOIN("; ",TRUE,_xlfn.UNIQUE(_xlfn._xlws.FILTER($A$2:$A$3000,($C$2:$C$3000=$C582)*($E$2:$E$3000=$E582)*($G$2:$G$3000&lt;&gt;$G582)*($G$2:$G$3000&lt;&gt;""),""))))</f>
        <v/>
      </c>
    </row>
    <row r="583" spans="1:10" ht="45" x14ac:dyDescent="0.25">
      <c r="A583" s="23" t="s">
        <v>782</v>
      </c>
      <c r="B583" s="37" t="str">
        <f>INDEX(Product!$B:$B,MATCH($A583,Product!$A:$A,0))</f>
        <v>[Create Medic] Bộ mở thông dạ dày qua da - Cliny</v>
      </c>
      <c r="C583" s="37" t="str">
        <f>INDEX(Product!$D:$D,MATCH($A583,Product!$A:$A,0))</f>
        <v>Bộ mở thông dạ dày qua da</v>
      </c>
      <c r="D583" s="23" t="s">
        <v>2656</v>
      </c>
      <c r="E583" s="37" t="str">
        <f>INDEX('Attribute Definition'!$B:$B,MATCH($D583,'Attribute Definition'!$A:$A,0))</f>
        <v>Kích cỡ</v>
      </c>
      <c r="F583" s="38" t="s">
        <v>2485</v>
      </c>
      <c r="G583" s="39" t="str" cm="1">
        <f t="array" ref="G583">_xlfn.TEXTJOIN("; ",TRUE,_xlfn.UNIQUE(_xlfn._xlws.FILTER('Product Variant Attribute'!$F$2:$F$3000,('Product Variant Attribute'!$B$2:$B$3000=$A583)*('Product Variant Attribute'!$D$2:$D$3000=$D583),"")))</f>
        <v>16Fr; 18Fr; 20Fr; 24Fr</v>
      </c>
      <c r="H583" s="39" t="s">
        <v>2702</v>
      </c>
      <c r="I583" s="39"/>
      <c r="J583" s="39" t="str" cm="1">
        <f t="array" ref="J583">IF($I583="","",_xlfn.TEXTJOIN("; ",TRUE,_xlfn.UNIQUE(_xlfn._xlws.FILTER($A$2:$A$3000,($C$2:$C$3000=$C583)*($E$2:$E$3000=$E583)*($G$2:$G$3000&lt;&gt;$G583)*($G$2:$G$3000&lt;&gt;""),""))))</f>
        <v/>
      </c>
    </row>
    <row r="584" spans="1:10" x14ac:dyDescent="0.25">
      <c r="A584" s="23" t="s">
        <v>783</v>
      </c>
      <c r="B584" s="37" t="str">
        <f>INDEX(Product!$B:$B,MATCH($A584,Product!$A:$A,0))</f>
        <v>[Daesang Wellife] Sữa dinh dưỡng dành cho người tiểu đường - Nucare Glucose Plan (200ml)</v>
      </c>
      <c r="C584" s="37" t="str">
        <f>INDEX(Product!$D:$D,MATCH($A584,Product!$A:$A,0))</f>
        <v>Sữa dinh dưỡng</v>
      </c>
      <c r="D584" s="23" t="s">
        <v>2349</v>
      </c>
      <c r="E584" s="37" t="str">
        <f>INDEX('Attribute Definition'!$B:$B,MATCH($D584,'Attribute Definition'!$A:$A,0))</f>
        <v>Dung tích</v>
      </c>
      <c r="F584" s="38" t="s">
        <v>2657</v>
      </c>
      <c r="G584" s="39" t="str" cm="1">
        <f t="array" ref="G584">_xlfn.TEXTJOIN("; ",TRUE,_xlfn.UNIQUE(_xlfn._xlws.FILTER('Product Variant Attribute'!$F$2:$F$3000,('Product Variant Attribute'!$B$2:$B$3000=$A584)*('Product Variant Attribute'!$D$2:$D$3000=$D584),"")))</f>
        <v>200ml</v>
      </c>
      <c r="H584" s="39"/>
      <c r="I584" s="39"/>
      <c r="J584" s="39" t="str" cm="1">
        <f t="array" ref="J584">IF($I584="","",_xlfn.TEXTJOIN("; ",TRUE,_xlfn.UNIQUE(_xlfn._xlws.FILTER($A$2:$A$3000,($C$2:$C$3000=$C584)*($E$2:$E$3000=$E584)*($G$2:$G$3000&lt;&gt;$G584)*($G$2:$G$3000&lt;&gt;""),""))))</f>
        <v/>
      </c>
    </row>
    <row r="585" spans="1:10" ht="30" x14ac:dyDescent="0.25">
      <c r="A585" s="23" t="s">
        <v>783</v>
      </c>
      <c r="B585" s="37" t="str">
        <f>INDEX(Product!$B:$B,MATCH($A585,Product!$A:$A,0))</f>
        <v>[Daesang Wellife] Sữa dinh dưỡng dành cho người tiểu đường - Nucare Glucose Plan (200ml)</v>
      </c>
      <c r="C585" s="37" t="str">
        <f>INDEX(Product!$D:$D,MATCH($A585,Product!$A:$A,0))</f>
        <v>Sữa dinh dưỡng</v>
      </c>
      <c r="D585" s="23" t="s">
        <v>2449</v>
      </c>
      <c r="E585" s="37" t="str">
        <f>INDEX('Attribute Definition'!$B:$B,MATCH($D585,'Attribute Definition'!$A:$A,0))</f>
        <v>Đối tượng sử dụng</v>
      </c>
      <c r="F585" s="38" t="s">
        <v>2657</v>
      </c>
      <c r="G585" s="39" t="str" cm="1">
        <f t="array" ref="G585">_xlfn.TEXTJOIN("; ",TRUE,_xlfn.UNIQUE(_xlfn._xlws.FILTER('Product Variant Attribute'!$F$2:$F$3000,('Product Variant Attribute'!$B$2:$B$3000=$A585)*('Product Variant Attribute'!$D$2:$D$3000=$D585),"")))</f>
        <v>Người tiểu đường</v>
      </c>
      <c r="H585" s="39"/>
      <c r="I585" s="39" t="s">
        <v>2759</v>
      </c>
      <c r="J585" s="39" t="str" cm="1">
        <f t="array" ref="J585">IF($I585="","",_xlfn.TEXTJOIN("; ",TRUE,_xlfn.UNIQUE(_xlfn._xlws.FILTER($A$2:$A$3000,($C$2:$C$3000=$C585)*($E$2:$E$3000=$E585)*($G$2:$G$3000&lt;&gt;$G585)*($G$2:$G$3000&lt;&gt;""),""))))</f>
        <v>PRODUCT-00227</v>
      </c>
    </row>
    <row r="586" spans="1:10" x14ac:dyDescent="0.25">
      <c r="A586" s="23" t="s">
        <v>783</v>
      </c>
      <c r="B586" s="37" t="str">
        <f>INDEX(Product!$B:$B,MATCH($A586,Product!$A:$A,0))</f>
        <v>[Daesang Wellife] Sữa dinh dưỡng dành cho người tiểu đường - Nucare Glucose Plan (200ml)</v>
      </c>
      <c r="C586" s="37" t="str">
        <f>INDEX(Product!$D:$D,MATCH($A586,Product!$A:$A,0))</f>
        <v>Sữa dinh dưỡng</v>
      </c>
      <c r="D586" s="23" t="s">
        <v>2471</v>
      </c>
      <c r="E586" s="37" t="str">
        <f>INDEX('Attribute Definition'!$B:$B,MATCH($D586,'Attribute Definition'!$A:$A,0))</f>
        <v>Dạng sản phẩm</v>
      </c>
      <c r="F586" s="38" t="s">
        <v>2657</v>
      </c>
      <c r="G586" s="39" t="str" cm="1">
        <f t="array" ref="G586">_xlfn.TEXTJOIN("; ",TRUE,_xlfn.UNIQUE(_xlfn._xlws.FILTER('Product Variant Attribute'!$F$2:$F$3000,('Product Variant Attribute'!$B$2:$B$3000=$A586)*('Product Variant Attribute'!$D$2:$D$3000=$D586),"")))</f>
        <v>Sữa dinh dưỡng</v>
      </c>
      <c r="H586" s="39"/>
      <c r="I586" s="39"/>
      <c r="J586" s="39" t="str" cm="1">
        <f t="array" ref="J586">IF($I586="","",_xlfn.TEXTJOIN("; ",TRUE,_xlfn.UNIQUE(_xlfn._xlws.FILTER($A$2:$A$3000,($C$2:$C$3000=$C586)*($E$2:$E$3000=$E586)*($G$2:$G$3000&lt;&gt;$G586)*($G$2:$G$3000&lt;&gt;""),""))))</f>
        <v/>
      </c>
    </row>
    <row r="587" spans="1:10" x14ac:dyDescent="0.25">
      <c r="A587" s="23" t="s">
        <v>784</v>
      </c>
      <c r="B587" s="37" t="str">
        <f>INDEX(Product!$B:$B,MATCH($A587,Product!$A:$A,0))</f>
        <v>[Fortune] Bộ mở thông dạ dày qua da</v>
      </c>
      <c r="C587" s="37" t="str">
        <f>INDEX(Product!$D:$D,MATCH($A587,Product!$A:$A,0))</f>
        <v>Bộ mở thông dạ dày qua da</v>
      </c>
      <c r="D587" s="23" t="s">
        <v>2367</v>
      </c>
      <c r="E587" s="37" t="str">
        <f>INDEX('Attribute Definition'!$B:$B,MATCH($D587,'Attribute Definition'!$A:$A,0))</f>
        <v>Chất liệu</v>
      </c>
      <c r="F587" s="38" t="s">
        <v>2657</v>
      </c>
      <c r="G587" s="39" t="str" cm="1">
        <f t="array" ref="G587">_xlfn.TEXTJOIN("; ",TRUE,_xlfn.UNIQUE(_xlfn._xlws.FILTER('Product Variant Attribute'!$F$2:$F$3000,('Product Variant Attribute'!$B$2:$B$3000=$A587)*('Product Variant Attribute'!$D$2:$D$3000=$D587),"")))</f>
        <v>Silicone</v>
      </c>
      <c r="H587" s="39"/>
      <c r="I587" s="39"/>
      <c r="J587" s="39" t="str" cm="1">
        <f t="array" ref="J587">IF($I587="","",_xlfn.TEXTJOIN("; ",TRUE,_xlfn.UNIQUE(_xlfn._xlws.FILTER($A$2:$A$3000,($C$2:$C$3000=$C587)*($E$2:$E$3000=$E587)*($G$2:$G$3000&lt;&gt;$G587)*($G$2:$G$3000&lt;&gt;""),""))))</f>
        <v/>
      </c>
    </row>
    <row r="588" spans="1:10" x14ac:dyDescent="0.25">
      <c r="A588" s="23" t="s">
        <v>784</v>
      </c>
      <c r="B588" s="37" t="str">
        <f>INDEX(Product!$B:$B,MATCH($A588,Product!$A:$A,0))</f>
        <v>[Fortune] Bộ mở thông dạ dày qua da</v>
      </c>
      <c r="C588" s="37" t="str">
        <f>INDEX(Product!$D:$D,MATCH($A588,Product!$A:$A,0))</f>
        <v>Bộ mở thông dạ dày qua da</v>
      </c>
      <c r="D588" s="23" t="s">
        <v>2471</v>
      </c>
      <c r="E588" s="37" t="str">
        <f>INDEX('Attribute Definition'!$B:$B,MATCH($D588,'Attribute Definition'!$A:$A,0))</f>
        <v>Dạng sản phẩm</v>
      </c>
      <c r="F588" s="38" t="s">
        <v>2657</v>
      </c>
      <c r="G588" s="39" t="str" cm="1">
        <f t="array" ref="G588">_xlfn.TEXTJOIN("; ",TRUE,_xlfn.UNIQUE(_xlfn._xlws.FILTER('Product Variant Attribute'!$F$2:$F$3000,('Product Variant Attribute'!$B$2:$B$3000=$A588)*('Product Variant Attribute'!$D$2:$D$3000=$D588),"")))</f>
        <v>Bộ dụng cụ</v>
      </c>
      <c r="H588" s="39"/>
      <c r="I588" s="39"/>
      <c r="J588" s="39" t="str" cm="1">
        <f t="array" ref="J588">IF($I588="","",_xlfn.TEXTJOIN("; ",TRUE,_xlfn.UNIQUE(_xlfn._xlws.FILTER($A$2:$A$3000,($C$2:$C$3000=$C588)*($E$2:$E$3000=$E588)*($G$2:$G$3000&lt;&gt;$G588)*($G$2:$G$3000&lt;&gt;""),""))))</f>
        <v/>
      </c>
    </row>
    <row r="589" spans="1:10" ht="45" x14ac:dyDescent="0.25">
      <c r="A589" s="23" t="s">
        <v>784</v>
      </c>
      <c r="B589" s="37" t="str">
        <f>INDEX(Product!$B:$B,MATCH($A589,Product!$A:$A,0))</f>
        <v>[Fortune] Bộ mở thông dạ dày qua da</v>
      </c>
      <c r="C589" s="37" t="str">
        <f>INDEX(Product!$D:$D,MATCH($A589,Product!$A:$A,0))</f>
        <v>Bộ mở thông dạ dày qua da</v>
      </c>
      <c r="D589" s="23" t="s">
        <v>2656</v>
      </c>
      <c r="E589" s="37" t="str">
        <f>INDEX('Attribute Definition'!$B:$B,MATCH($D589,'Attribute Definition'!$A:$A,0))</f>
        <v>Kích cỡ</v>
      </c>
      <c r="F589" s="38" t="s">
        <v>2485</v>
      </c>
      <c r="G589" s="39" t="str" cm="1">
        <f t="array" ref="G589">_xlfn.TEXTJOIN("; ",TRUE,_xlfn.UNIQUE(_xlfn._xlws.FILTER('Product Variant Attribute'!$F$2:$F$3000,('Product Variant Attribute'!$B$2:$B$3000=$A589)*('Product Variant Attribute'!$D$2:$D$3000=$D589),"")))</f>
        <v>20Fr; 22Fr; 24Fr</v>
      </c>
      <c r="H589" s="39" t="s">
        <v>2702</v>
      </c>
      <c r="I589" s="39"/>
      <c r="J589" s="39" t="str" cm="1">
        <f t="array" ref="J589">IF($I589="","",_xlfn.TEXTJOIN("; ",TRUE,_xlfn.UNIQUE(_xlfn._xlws.FILTER($A$2:$A$3000,($C$2:$C$3000=$C589)*($E$2:$E$3000=$E589)*($G$2:$G$3000&lt;&gt;$G589)*($G$2:$G$3000&lt;&gt;""),""))))</f>
        <v/>
      </c>
    </row>
    <row r="590" spans="1:10" x14ac:dyDescent="0.25">
      <c r="A590" s="23" t="s">
        <v>785</v>
      </c>
      <c r="B590" s="37" t="str">
        <f>INDEX(Product!$B:$B,MATCH($A590,Product!$A:$A,0))</f>
        <v>[Fortune] Xông nuôi ăn silicone dài ngày</v>
      </c>
      <c r="C590" s="37" t="str">
        <f>INDEX(Product!$D:$D,MATCH($A590,Product!$A:$A,0))</f>
        <v>Ống thông nuôi ăn</v>
      </c>
      <c r="D590" s="23" t="s">
        <v>2367</v>
      </c>
      <c r="E590" s="37" t="str">
        <f>INDEX('Attribute Definition'!$B:$B,MATCH($D590,'Attribute Definition'!$A:$A,0))</f>
        <v>Chất liệu</v>
      </c>
      <c r="F590" s="38" t="s">
        <v>2657</v>
      </c>
      <c r="G590" s="39" t="str" cm="1">
        <f t="array" ref="G590">_xlfn.TEXTJOIN("; ",TRUE,_xlfn.UNIQUE(_xlfn._xlws.FILTER('Product Variant Attribute'!$F$2:$F$3000,('Product Variant Attribute'!$B$2:$B$3000=$A590)*('Product Variant Attribute'!$D$2:$D$3000=$D590),"")))</f>
        <v>Silicone</v>
      </c>
      <c r="H590" s="39"/>
      <c r="I590" s="39"/>
      <c r="J590" s="39" t="str" cm="1">
        <f t="array" ref="J590">IF($I590="","",_xlfn.TEXTJOIN("; ",TRUE,_xlfn.UNIQUE(_xlfn._xlws.FILTER($A$2:$A$3000,($C$2:$C$3000=$C590)*($E$2:$E$3000=$E590)*($G$2:$G$3000&lt;&gt;$G590)*($G$2:$G$3000&lt;&gt;""),""))))</f>
        <v/>
      </c>
    </row>
    <row r="591" spans="1:10" x14ac:dyDescent="0.25">
      <c r="A591" s="23" t="s">
        <v>785</v>
      </c>
      <c r="B591" s="37" t="str">
        <f>INDEX(Product!$B:$B,MATCH($A591,Product!$A:$A,0))</f>
        <v>[Fortune] Xông nuôi ăn silicone dài ngày</v>
      </c>
      <c r="C591" s="37" t="str">
        <f>INDEX(Product!$D:$D,MATCH($A591,Product!$A:$A,0))</f>
        <v>Ống thông nuôi ăn</v>
      </c>
      <c r="D591" s="23" t="s">
        <v>2374</v>
      </c>
      <c r="E591" s="37" t="str">
        <f>INDEX('Attribute Definition'!$B:$B,MATCH($D591,'Attribute Definition'!$A:$A,0))</f>
        <v>Vô trùng</v>
      </c>
      <c r="F591" s="38" t="s">
        <v>2657</v>
      </c>
      <c r="G591" s="39" t="str" cm="1">
        <f t="array" ref="G591">_xlfn.TEXTJOIN("; ",TRUE,_xlfn.UNIQUE(_xlfn._xlws.FILTER('Product Variant Attribute'!$F$2:$F$3000,('Product Variant Attribute'!$B$2:$B$3000=$A591)*('Product Variant Attribute'!$D$2:$D$3000=$D591),"")))</f>
        <v>Có</v>
      </c>
      <c r="H591" s="39"/>
      <c r="I591" s="39"/>
      <c r="J591" s="39" t="str" cm="1">
        <f t="array" ref="J591">IF($I591="","",_xlfn.TEXTJOIN("; ",TRUE,_xlfn.UNIQUE(_xlfn._xlws.FILTER($A$2:$A$3000,($C$2:$C$3000=$C591)*($E$2:$E$3000=$E591)*($G$2:$G$3000&lt;&gt;$G591)*($G$2:$G$3000&lt;&gt;""),""))))</f>
        <v/>
      </c>
    </row>
    <row r="592" spans="1:10" ht="30" x14ac:dyDescent="0.25">
      <c r="A592" s="23" t="s">
        <v>785</v>
      </c>
      <c r="B592" s="37" t="str">
        <f>INDEX(Product!$B:$B,MATCH($A592,Product!$A:$A,0))</f>
        <v>[Fortune] Xông nuôi ăn silicone dài ngày</v>
      </c>
      <c r="C592" s="37" t="str">
        <f>INDEX(Product!$D:$D,MATCH($A592,Product!$A:$A,0))</f>
        <v>Ống thông nuôi ăn</v>
      </c>
      <c r="D592" s="23" t="s">
        <v>2454</v>
      </c>
      <c r="E592" s="37" t="str">
        <f>INDEX('Attribute Definition'!$B:$B,MATCH($D592,'Attribute Definition'!$A:$A,0))</f>
        <v>Thời gian sử dụng</v>
      </c>
      <c r="F592" s="38" t="s">
        <v>2657</v>
      </c>
      <c r="G592" s="39" t="str" cm="1">
        <f t="array" ref="G592">_xlfn.TEXTJOIN("; ",TRUE,_xlfn.UNIQUE(_xlfn._xlws.FILTER('Product Variant Attribute'!$F$2:$F$3000,('Product Variant Attribute'!$B$2:$B$3000=$A592)*('Product Variant Attribute'!$D$2:$D$3000=$D592),"")))</f>
        <v>Dài ngày</v>
      </c>
      <c r="H592" s="39"/>
      <c r="I592" s="39" t="s">
        <v>2760</v>
      </c>
      <c r="J592" s="39" t="str" cm="1">
        <f t="array" ref="J592">IF($I592="","",_xlfn.TEXTJOIN("; ",TRUE,_xlfn.UNIQUE(_xlfn._xlws.FILTER($A$2:$A$3000,($C$2:$C$3000=$C592)*($E$2:$E$3000=$E592)*($G$2:$G$3000&lt;&gt;$G592)*($G$2:$G$3000&lt;&gt;""),""))))</f>
        <v>PRODUCT-00220; PRODUCT-00225</v>
      </c>
    </row>
    <row r="593" spans="1:10" x14ac:dyDescent="0.25">
      <c r="A593" s="23" t="s">
        <v>785</v>
      </c>
      <c r="B593" s="37" t="str">
        <f>INDEX(Product!$B:$B,MATCH($A593,Product!$A:$A,0))</f>
        <v>[Fortune] Xông nuôi ăn silicone dài ngày</v>
      </c>
      <c r="C593" s="37" t="str">
        <f>INDEX(Product!$D:$D,MATCH($A593,Product!$A:$A,0))</f>
        <v>Ống thông nuôi ăn</v>
      </c>
      <c r="D593" s="23" t="s">
        <v>2471</v>
      </c>
      <c r="E593" s="37" t="str">
        <f>INDEX('Attribute Definition'!$B:$B,MATCH($D593,'Attribute Definition'!$A:$A,0))</f>
        <v>Dạng sản phẩm</v>
      </c>
      <c r="F593" s="38" t="s">
        <v>2657</v>
      </c>
      <c r="G593" s="39" t="str" cm="1">
        <f t="array" ref="G593">_xlfn.TEXTJOIN("; ",TRUE,_xlfn.UNIQUE(_xlfn._xlws.FILTER('Product Variant Attribute'!$F$2:$F$3000,('Product Variant Attribute'!$B$2:$B$3000=$A593)*('Product Variant Attribute'!$D$2:$D$3000=$D593),"")))</f>
        <v>Ống / dây</v>
      </c>
      <c r="H593" s="39"/>
      <c r="I593" s="39"/>
      <c r="J593" s="39" t="str" cm="1">
        <f t="array" ref="J593">IF($I593="","",_xlfn.TEXTJOIN("; ",TRUE,_xlfn.UNIQUE(_xlfn._xlws.FILTER($A$2:$A$3000,($C$2:$C$3000=$C593)*($E$2:$E$3000=$E593)*($G$2:$G$3000&lt;&gt;$G593)*($G$2:$G$3000&lt;&gt;""),""))))</f>
        <v/>
      </c>
    </row>
    <row r="594" spans="1:10" ht="30" x14ac:dyDescent="0.25">
      <c r="A594" s="23" t="s">
        <v>785</v>
      </c>
      <c r="B594" s="37" t="str">
        <f>INDEX(Product!$B:$B,MATCH($A594,Product!$A:$A,0))</f>
        <v>[Fortune] Xông nuôi ăn silicone dài ngày</v>
      </c>
      <c r="C594" s="37" t="str">
        <f>INDEX(Product!$D:$D,MATCH($A594,Product!$A:$A,0))</f>
        <v>Ống thông nuôi ăn</v>
      </c>
      <c r="D594" s="23" t="s">
        <v>2656</v>
      </c>
      <c r="E594" s="37" t="str">
        <f>INDEX('Attribute Definition'!$B:$B,MATCH($D594,'Attribute Definition'!$A:$A,0))</f>
        <v>Kích cỡ</v>
      </c>
      <c r="F594" s="38" t="s">
        <v>2485</v>
      </c>
      <c r="G594" s="39" t="str" cm="1">
        <f t="array" ref="G594">_xlfn.TEXTJOIN("; ",TRUE,_xlfn.UNIQUE(_xlfn._xlws.FILTER('Product Variant Attribute'!$F$2:$F$3000,('Product Variant Attribute'!$B$2:$B$3000=$A594)*('Product Variant Attribute'!$D$2:$D$3000=$D594),"")))</f>
        <v>16Fr; 18Fr</v>
      </c>
      <c r="H594" s="39" t="s">
        <v>2703</v>
      </c>
      <c r="I594" s="39"/>
      <c r="J594" s="39" t="str" cm="1">
        <f t="array" ref="J594">IF($I594="","",_xlfn.TEXTJOIN("; ",TRUE,_xlfn.UNIQUE(_xlfn._xlws.FILTER($A$2:$A$3000,($C$2:$C$3000=$C594)*($E$2:$E$3000=$E594)*($G$2:$G$3000&lt;&gt;$G594)*($G$2:$G$3000&lt;&gt;""),""))))</f>
        <v/>
      </c>
    </row>
    <row r="595" spans="1:10" x14ac:dyDescent="0.25">
      <c r="A595" s="23" t="s">
        <v>786</v>
      </c>
      <c r="B595" s="37" t="str">
        <f>INDEX(Product!$B:$B,MATCH($A595,Product!$A:$A,0))</f>
        <v>[Mepro] Dây xông dạ dày nuôi ăn silicone 30 ngày</v>
      </c>
      <c r="C595" s="37" t="str">
        <f>INDEX(Product!$D:$D,MATCH($A595,Product!$A:$A,0))</f>
        <v>Ống thông nuôi ăn</v>
      </c>
      <c r="D595" s="23" t="s">
        <v>2367</v>
      </c>
      <c r="E595" s="37" t="str">
        <f>INDEX('Attribute Definition'!$B:$B,MATCH($D595,'Attribute Definition'!$A:$A,0))</f>
        <v>Chất liệu</v>
      </c>
      <c r="F595" s="38" t="s">
        <v>2657</v>
      </c>
      <c r="G595" s="39" t="str" cm="1">
        <f t="array" ref="G595">_xlfn.TEXTJOIN("; ",TRUE,_xlfn.UNIQUE(_xlfn._xlws.FILTER('Product Variant Attribute'!$F$2:$F$3000,('Product Variant Attribute'!$B$2:$B$3000=$A595)*('Product Variant Attribute'!$D$2:$D$3000=$D595),"")))</f>
        <v>Silicone</v>
      </c>
      <c r="H595" s="39"/>
      <c r="I595" s="39"/>
      <c r="J595" s="39" t="str" cm="1">
        <f t="array" ref="J595">IF($I595="","",_xlfn.TEXTJOIN("; ",TRUE,_xlfn.UNIQUE(_xlfn._xlws.FILTER($A$2:$A$3000,($C$2:$C$3000=$C595)*($E$2:$E$3000=$E595)*($G$2:$G$3000&lt;&gt;$G595)*($G$2:$G$3000&lt;&gt;""),""))))</f>
        <v/>
      </c>
    </row>
    <row r="596" spans="1:10" x14ac:dyDescent="0.25">
      <c r="A596" s="23" t="s">
        <v>786</v>
      </c>
      <c r="B596" s="37" t="str">
        <f>INDEX(Product!$B:$B,MATCH($A596,Product!$A:$A,0))</f>
        <v>[Mepro] Dây xông dạ dày nuôi ăn silicone 30 ngày</v>
      </c>
      <c r="C596" s="37" t="str">
        <f>INDEX(Product!$D:$D,MATCH($A596,Product!$A:$A,0))</f>
        <v>Ống thông nuôi ăn</v>
      </c>
      <c r="D596" s="23" t="s">
        <v>2374</v>
      </c>
      <c r="E596" s="37" t="str">
        <f>INDEX('Attribute Definition'!$B:$B,MATCH($D596,'Attribute Definition'!$A:$A,0))</f>
        <v>Vô trùng</v>
      </c>
      <c r="F596" s="38" t="s">
        <v>2657</v>
      </c>
      <c r="G596" s="39" t="str" cm="1">
        <f t="array" ref="G596">_xlfn.TEXTJOIN("; ",TRUE,_xlfn.UNIQUE(_xlfn._xlws.FILTER('Product Variant Attribute'!$F$2:$F$3000,('Product Variant Attribute'!$B$2:$B$3000=$A596)*('Product Variant Attribute'!$D$2:$D$3000=$D596),"")))</f>
        <v>Có</v>
      </c>
      <c r="H596" s="39"/>
      <c r="I596" s="39"/>
      <c r="J596" s="39" t="str" cm="1">
        <f t="array" ref="J596">IF($I596="","",_xlfn.TEXTJOIN("; ",TRUE,_xlfn.UNIQUE(_xlfn._xlws.FILTER($A$2:$A$3000,($C$2:$C$3000=$C596)*($E$2:$E$3000=$E596)*($G$2:$G$3000&lt;&gt;$G596)*($G$2:$G$3000&lt;&gt;""),""))))</f>
        <v/>
      </c>
    </row>
    <row r="597" spans="1:10" ht="30" x14ac:dyDescent="0.25">
      <c r="A597" s="23" t="s">
        <v>786</v>
      </c>
      <c r="B597" s="37" t="str">
        <f>INDEX(Product!$B:$B,MATCH($A597,Product!$A:$A,0))</f>
        <v>[Mepro] Dây xông dạ dày nuôi ăn silicone 30 ngày</v>
      </c>
      <c r="C597" s="37" t="str">
        <f>INDEX(Product!$D:$D,MATCH($A597,Product!$A:$A,0))</f>
        <v>Ống thông nuôi ăn</v>
      </c>
      <c r="D597" s="23" t="s">
        <v>2454</v>
      </c>
      <c r="E597" s="37" t="str">
        <f>INDEX('Attribute Definition'!$B:$B,MATCH($D597,'Attribute Definition'!$A:$A,0))</f>
        <v>Thời gian sử dụng</v>
      </c>
      <c r="F597" s="38" t="s">
        <v>2657</v>
      </c>
      <c r="G597" s="39" t="str" cm="1">
        <f t="array" ref="G597">_xlfn.TEXTJOIN("; ",TRUE,_xlfn.UNIQUE(_xlfn._xlws.FILTER('Product Variant Attribute'!$F$2:$F$3000,('Product Variant Attribute'!$B$2:$B$3000=$A597)*('Product Variant Attribute'!$D$2:$D$3000=$D597),"")))</f>
        <v>30 ngày</v>
      </c>
      <c r="H597" s="39"/>
      <c r="I597" s="39" t="s">
        <v>2758</v>
      </c>
      <c r="J597" s="39" t="str" cm="1">
        <f t="array" ref="J597">IF($I597="","",_xlfn.TEXTJOIN("; ",TRUE,_xlfn.UNIQUE(_xlfn._xlws.FILTER($A$2:$A$3000,($C$2:$C$3000=$C597)*($E$2:$E$3000=$E597)*($G$2:$G$3000&lt;&gt;$G597)*($G$2:$G$3000&lt;&gt;""),""))))</f>
        <v>PRODUCT-00220; PRODUCT-00224; PRODUCT-00230</v>
      </c>
    </row>
    <row r="598" spans="1:10" x14ac:dyDescent="0.25">
      <c r="A598" s="23" t="s">
        <v>786</v>
      </c>
      <c r="B598" s="37" t="str">
        <f>INDEX(Product!$B:$B,MATCH($A598,Product!$A:$A,0))</f>
        <v>[Mepro] Dây xông dạ dày nuôi ăn silicone 30 ngày</v>
      </c>
      <c r="C598" s="37" t="str">
        <f>INDEX(Product!$D:$D,MATCH($A598,Product!$A:$A,0))</f>
        <v>Ống thông nuôi ăn</v>
      </c>
      <c r="D598" s="23" t="s">
        <v>2471</v>
      </c>
      <c r="E598" s="37" t="str">
        <f>INDEX('Attribute Definition'!$B:$B,MATCH($D598,'Attribute Definition'!$A:$A,0))</f>
        <v>Dạng sản phẩm</v>
      </c>
      <c r="F598" s="38" t="s">
        <v>2657</v>
      </c>
      <c r="G598" s="39" t="str" cm="1">
        <f t="array" ref="G598">_xlfn.TEXTJOIN("; ",TRUE,_xlfn.UNIQUE(_xlfn._xlws.FILTER('Product Variant Attribute'!$F$2:$F$3000,('Product Variant Attribute'!$B$2:$B$3000=$A598)*('Product Variant Attribute'!$D$2:$D$3000=$D598),"")))</f>
        <v>Ống / dây</v>
      </c>
      <c r="H598" s="39"/>
      <c r="I598" s="39"/>
      <c r="J598" s="39" t="str" cm="1">
        <f t="array" ref="J598">IF($I598="","",_xlfn.TEXTJOIN("; ",TRUE,_xlfn.UNIQUE(_xlfn._xlws.FILTER($A$2:$A$3000,($C$2:$C$3000=$C598)*($E$2:$E$3000=$E598)*($G$2:$G$3000&lt;&gt;$G598)*($G$2:$G$3000&lt;&gt;""),""))))</f>
        <v/>
      </c>
    </row>
    <row r="599" spans="1:10" ht="30" x14ac:dyDescent="0.25">
      <c r="A599" s="23" t="s">
        <v>786</v>
      </c>
      <c r="B599" s="37" t="str">
        <f>INDEX(Product!$B:$B,MATCH($A599,Product!$A:$A,0))</f>
        <v>[Mepro] Dây xông dạ dày nuôi ăn silicone 30 ngày</v>
      </c>
      <c r="C599" s="37" t="str">
        <f>INDEX(Product!$D:$D,MATCH($A599,Product!$A:$A,0))</f>
        <v>Ống thông nuôi ăn</v>
      </c>
      <c r="D599" s="23" t="s">
        <v>2656</v>
      </c>
      <c r="E599" s="37" t="str">
        <f>INDEX('Attribute Definition'!$B:$B,MATCH($D599,'Attribute Definition'!$A:$A,0))</f>
        <v>Kích cỡ</v>
      </c>
      <c r="F599" s="38" t="s">
        <v>2485</v>
      </c>
      <c r="G599" s="39" t="str" cm="1">
        <f t="array" ref="G599">_xlfn.TEXTJOIN("; ",TRUE,_xlfn.UNIQUE(_xlfn._xlws.FILTER('Product Variant Attribute'!$F$2:$F$3000,('Product Variant Attribute'!$B$2:$B$3000=$A599)*('Product Variant Attribute'!$D$2:$D$3000=$D599),"")))</f>
        <v>16Fr; 18Fr</v>
      </c>
      <c r="H599" s="39" t="s">
        <v>2703</v>
      </c>
      <c r="I599" s="39"/>
      <c r="J599" s="39" t="str" cm="1">
        <f t="array" ref="J599">IF($I599="","",_xlfn.TEXTJOIN("; ",TRUE,_xlfn.UNIQUE(_xlfn._xlws.FILTER($A$2:$A$3000,($C$2:$C$3000=$C599)*($E$2:$E$3000=$E599)*($G$2:$G$3000&lt;&gt;$G599)*($G$2:$G$3000&lt;&gt;""),""))))</f>
        <v/>
      </c>
    </row>
    <row r="600" spans="1:10" x14ac:dyDescent="0.25">
      <c r="A600" s="23" t="s">
        <v>787</v>
      </c>
      <c r="B600" s="37" t="str">
        <f>INDEX(Product!$B:$B,MATCH($A600,Product!$A:$A,0))</f>
        <v>[Nutricia] Sữa dinh dưỡng - Fortimel Power (335g)</v>
      </c>
      <c r="C600" s="37" t="str">
        <f>INDEX(Product!$D:$D,MATCH($A600,Product!$A:$A,0))</f>
        <v>Sữa dinh dưỡng</v>
      </c>
      <c r="D600" s="23" t="s">
        <v>2356</v>
      </c>
      <c r="E600" s="37" t="str">
        <f>INDEX('Attribute Definition'!$B:$B,MATCH($D600,'Attribute Definition'!$A:$A,0))</f>
        <v>Khối lượng tịnh</v>
      </c>
      <c r="F600" s="38" t="s">
        <v>2657</v>
      </c>
      <c r="G600" s="39" t="str" cm="1">
        <f t="array" ref="G600">_xlfn.TEXTJOIN("; ",TRUE,_xlfn.UNIQUE(_xlfn._xlws.FILTER('Product Variant Attribute'!$F$2:$F$3000,('Product Variant Attribute'!$B$2:$B$3000=$A600)*('Product Variant Attribute'!$D$2:$D$3000=$D600),"")))</f>
        <v>335g</v>
      </c>
      <c r="H600" s="39"/>
      <c r="I600" s="39"/>
      <c r="J600" s="39" t="str" cm="1">
        <f t="array" ref="J600">IF($I600="","",_xlfn.TEXTJOIN("; ",TRUE,_xlfn.UNIQUE(_xlfn._xlws.FILTER($A$2:$A$3000,($C$2:$C$3000=$C600)*($E$2:$E$3000=$E600)*($G$2:$G$3000&lt;&gt;$G600)*($G$2:$G$3000&lt;&gt;""),""))))</f>
        <v/>
      </c>
    </row>
    <row r="601" spans="1:10" x14ac:dyDescent="0.25">
      <c r="A601" s="23" t="s">
        <v>787</v>
      </c>
      <c r="B601" s="37" t="str">
        <f>INDEX(Product!$B:$B,MATCH($A601,Product!$A:$A,0))</f>
        <v>[Nutricia] Sữa dinh dưỡng - Fortimel Power (335g)</v>
      </c>
      <c r="C601" s="37" t="str">
        <f>INDEX(Product!$D:$D,MATCH($A601,Product!$A:$A,0))</f>
        <v>Sữa dinh dưỡng</v>
      </c>
      <c r="D601" s="23" t="s">
        <v>2471</v>
      </c>
      <c r="E601" s="37" t="str">
        <f>INDEX('Attribute Definition'!$B:$B,MATCH($D601,'Attribute Definition'!$A:$A,0))</f>
        <v>Dạng sản phẩm</v>
      </c>
      <c r="F601" s="38" t="s">
        <v>2657</v>
      </c>
      <c r="G601" s="39" t="str" cm="1">
        <f t="array" ref="G601">_xlfn.TEXTJOIN("; ",TRUE,_xlfn.UNIQUE(_xlfn._xlws.FILTER('Product Variant Attribute'!$F$2:$F$3000,('Product Variant Attribute'!$B$2:$B$3000=$A601)*('Product Variant Attribute'!$D$2:$D$3000=$D601),"")))</f>
        <v>Sữa dinh dưỡng</v>
      </c>
      <c r="H601" s="39"/>
      <c r="I601" s="39"/>
      <c r="J601" s="39" t="str" cm="1">
        <f t="array" ref="J601">IF($I601="","",_xlfn.TEXTJOIN("; ",TRUE,_xlfn.UNIQUE(_xlfn._xlws.FILTER($A$2:$A$3000,($C$2:$C$3000=$C601)*($E$2:$E$3000=$E601)*($G$2:$G$3000&lt;&gt;$G601)*($G$2:$G$3000&lt;&gt;""),""))))</f>
        <v/>
      </c>
    </row>
    <row r="602" spans="1:10" x14ac:dyDescent="0.25">
      <c r="A602" s="23" t="s">
        <v>788</v>
      </c>
      <c r="B602" s="37" t="str">
        <f>INDEX(Product!$B:$B,MATCH($A602,Product!$A:$A,0))</f>
        <v>[Nutricia] Sữa dinh dưỡng dành cho bệnh nhân ung thư - Forticare (125ml)</v>
      </c>
      <c r="C602" s="37" t="str">
        <f>INDEX(Product!$D:$D,MATCH($A602,Product!$A:$A,0))</f>
        <v>Sữa dinh dưỡng</v>
      </c>
      <c r="D602" s="23" t="s">
        <v>2349</v>
      </c>
      <c r="E602" s="37" t="str">
        <f>INDEX('Attribute Definition'!$B:$B,MATCH($D602,'Attribute Definition'!$A:$A,0))</f>
        <v>Dung tích</v>
      </c>
      <c r="F602" s="38" t="s">
        <v>2657</v>
      </c>
      <c r="G602" s="39" t="str" cm="1">
        <f t="array" ref="G602">_xlfn.TEXTJOIN("; ",TRUE,_xlfn.UNIQUE(_xlfn._xlws.FILTER('Product Variant Attribute'!$F$2:$F$3000,('Product Variant Attribute'!$B$2:$B$3000=$A602)*('Product Variant Attribute'!$D$2:$D$3000=$D602),"")))</f>
        <v>125ml</v>
      </c>
      <c r="H602" s="39"/>
      <c r="I602" s="39"/>
      <c r="J602" s="39" t="str" cm="1">
        <f t="array" ref="J602">IF($I602="","",_xlfn.TEXTJOIN("; ",TRUE,_xlfn.UNIQUE(_xlfn._xlws.FILTER($A$2:$A$3000,($C$2:$C$3000=$C602)*($E$2:$E$3000=$E602)*($G$2:$G$3000&lt;&gt;$G602)*($G$2:$G$3000&lt;&gt;""),""))))</f>
        <v/>
      </c>
    </row>
    <row r="603" spans="1:10" ht="30" x14ac:dyDescent="0.25">
      <c r="A603" s="23" t="s">
        <v>788</v>
      </c>
      <c r="B603" s="37" t="str">
        <f>INDEX(Product!$B:$B,MATCH($A603,Product!$A:$A,0))</f>
        <v>[Nutricia] Sữa dinh dưỡng dành cho bệnh nhân ung thư - Forticare (125ml)</v>
      </c>
      <c r="C603" s="37" t="str">
        <f>INDEX(Product!$D:$D,MATCH($A603,Product!$A:$A,0))</f>
        <v>Sữa dinh dưỡng</v>
      </c>
      <c r="D603" s="23" t="s">
        <v>2449</v>
      </c>
      <c r="E603" s="37" t="str">
        <f>INDEX('Attribute Definition'!$B:$B,MATCH($D603,'Attribute Definition'!$A:$A,0))</f>
        <v>Đối tượng sử dụng</v>
      </c>
      <c r="F603" s="38" t="s">
        <v>2657</v>
      </c>
      <c r="G603" s="39" t="str" cm="1">
        <f t="array" ref="G603">_xlfn.TEXTJOIN("; ",TRUE,_xlfn.UNIQUE(_xlfn._xlws.FILTER('Product Variant Attribute'!$F$2:$F$3000,('Product Variant Attribute'!$B$2:$B$3000=$A603)*('Product Variant Attribute'!$D$2:$D$3000=$D603),"")))</f>
        <v>Bệnh nhân ung thư</v>
      </c>
      <c r="H603" s="39"/>
      <c r="I603" s="39" t="s">
        <v>2761</v>
      </c>
      <c r="J603" s="39" t="str" cm="1">
        <f t="array" ref="J603">IF($I603="","",_xlfn.TEXTJOIN("; ",TRUE,_xlfn.UNIQUE(_xlfn._xlws.FILTER($A$2:$A$3000,($C$2:$C$3000=$C603)*($E$2:$E$3000=$E603)*($G$2:$G$3000&lt;&gt;$G603)*($G$2:$G$3000&lt;&gt;""),""))))</f>
        <v>PRODUCT-00222</v>
      </c>
    </row>
    <row r="604" spans="1:10" x14ac:dyDescent="0.25">
      <c r="A604" s="23" t="s">
        <v>788</v>
      </c>
      <c r="B604" s="37" t="str">
        <f>INDEX(Product!$B:$B,MATCH($A604,Product!$A:$A,0))</f>
        <v>[Nutricia] Sữa dinh dưỡng dành cho bệnh nhân ung thư - Forticare (125ml)</v>
      </c>
      <c r="C604" s="37" t="str">
        <f>INDEX(Product!$D:$D,MATCH($A604,Product!$A:$A,0))</f>
        <v>Sữa dinh dưỡng</v>
      </c>
      <c r="D604" s="23" t="s">
        <v>2471</v>
      </c>
      <c r="E604" s="37" t="str">
        <f>INDEX('Attribute Definition'!$B:$B,MATCH($D604,'Attribute Definition'!$A:$A,0))</f>
        <v>Dạng sản phẩm</v>
      </c>
      <c r="F604" s="38" t="s">
        <v>2657</v>
      </c>
      <c r="G604" s="39" t="str" cm="1">
        <f t="array" ref="G604">_xlfn.TEXTJOIN("; ",TRUE,_xlfn.UNIQUE(_xlfn._xlws.FILTER('Product Variant Attribute'!$F$2:$F$3000,('Product Variant Attribute'!$B$2:$B$3000=$A604)*('Product Variant Attribute'!$D$2:$D$3000=$D604),"")))</f>
        <v>Sữa dinh dưỡng</v>
      </c>
      <c r="H604" s="39"/>
      <c r="I604" s="39"/>
      <c r="J604" s="39" t="str" cm="1">
        <f t="array" ref="J604">IF($I604="","",_xlfn.TEXTJOIN("; ",TRUE,_xlfn.UNIQUE(_xlfn._xlws.FILTER($A$2:$A$3000,($C$2:$C$3000=$C604)*($E$2:$E$3000=$E604)*($G$2:$G$3000&lt;&gt;$G604)*($G$2:$G$3000&lt;&gt;""),""))))</f>
        <v/>
      </c>
    </row>
    <row r="605" spans="1:10" x14ac:dyDescent="0.25">
      <c r="A605" s="23" t="s">
        <v>789</v>
      </c>
      <c r="B605" s="37" t="str">
        <f>INDEX(Product!$B:$B,MATCH($A605,Product!$A:$A,0))</f>
        <v>[Nutricia] Sữa dinh dưỡng nuôi ăn qua ống thông - Nutrison (1000ml)</v>
      </c>
      <c r="C605" s="37" t="str">
        <f>INDEX(Product!$D:$D,MATCH($A605,Product!$A:$A,0))</f>
        <v>Sữa dinh dưỡng</v>
      </c>
      <c r="D605" s="23" t="s">
        <v>2349</v>
      </c>
      <c r="E605" s="37" t="str">
        <f>INDEX('Attribute Definition'!$B:$B,MATCH($D605,'Attribute Definition'!$A:$A,0))</f>
        <v>Dung tích</v>
      </c>
      <c r="F605" s="38" t="s">
        <v>2657</v>
      </c>
      <c r="G605" s="39" t="str" cm="1">
        <f t="array" ref="G605">_xlfn.TEXTJOIN("; ",TRUE,_xlfn.UNIQUE(_xlfn._xlws.FILTER('Product Variant Attribute'!$F$2:$F$3000,('Product Variant Attribute'!$B$2:$B$3000=$A605)*('Product Variant Attribute'!$D$2:$D$3000=$D605),"")))</f>
        <v>1000ml</v>
      </c>
      <c r="H605" s="39"/>
      <c r="I605" s="39"/>
      <c r="J605" s="39" t="str" cm="1">
        <f t="array" ref="J605">IF($I605="","",_xlfn.TEXTJOIN("; ",TRUE,_xlfn.UNIQUE(_xlfn._xlws.FILTER($A$2:$A$3000,($C$2:$C$3000=$C605)*($E$2:$E$3000=$E605)*($G$2:$G$3000&lt;&gt;$G605)*($G$2:$G$3000&lt;&gt;""),""))))</f>
        <v/>
      </c>
    </row>
    <row r="606" spans="1:10" x14ac:dyDescent="0.25">
      <c r="A606" s="23" t="s">
        <v>789</v>
      </c>
      <c r="B606" s="37" t="str">
        <f>INDEX(Product!$B:$B,MATCH($A606,Product!$A:$A,0))</f>
        <v>[Nutricia] Sữa dinh dưỡng nuôi ăn qua ống thông - Nutrison (1000ml)</v>
      </c>
      <c r="C606" s="37" t="str">
        <f>INDEX(Product!$D:$D,MATCH($A606,Product!$A:$A,0))</f>
        <v>Sữa dinh dưỡng</v>
      </c>
      <c r="D606" s="23" t="s">
        <v>2471</v>
      </c>
      <c r="E606" s="37" t="str">
        <f>INDEX('Attribute Definition'!$B:$B,MATCH($D606,'Attribute Definition'!$A:$A,0))</f>
        <v>Dạng sản phẩm</v>
      </c>
      <c r="F606" s="38" t="s">
        <v>2657</v>
      </c>
      <c r="G606" s="39" t="str" cm="1">
        <f t="array" ref="G606">_xlfn.TEXTJOIN("; ",TRUE,_xlfn.UNIQUE(_xlfn._xlws.FILTER('Product Variant Attribute'!$F$2:$F$3000,('Product Variant Attribute'!$B$2:$B$3000=$A606)*('Product Variant Attribute'!$D$2:$D$3000=$D606),"")))</f>
        <v>Sữa dinh dưỡng</v>
      </c>
      <c r="H606" s="39"/>
      <c r="I606" s="39"/>
      <c r="J606" s="39" t="str" cm="1">
        <f t="array" ref="J606">IF($I606="","",_xlfn.TEXTJOIN("; ",TRUE,_xlfn.UNIQUE(_xlfn._xlws.FILTER($A$2:$A$3000,($C$2:$C$3000=$C606)*($E$2:$E$3000=$E606)*($G$2:$G$3000&lt;&gt;$G606)*($G$2:$G$3000&lt;&gt;""),""))))</f>
        <v/>
      </c>
    </row>
    <row r="607" spans="1:10" x14ac:dyDescent="0.25">
      <c r="A607" s="23" t="s">
        <v>790</v>
      </c>
      <c r="B607" s="37" t="str">
        <f>INDEX(Product!$B:$B,MATCH($A607,Product!$A:$A,0))</f>
        <v>[SeaSight] Bộ mở dạ dày qua da</v>
      </c>
      <c r="C607" s="37" t="str">
        <f>INDEX(Product!$D:$D,MATCH($A607,Product!$A:$A,0))</f>
        <v>Bộ mở thông dạ dày qua da</v>
      </c>
      <c r="D607" s="23" t="s">
        <v>2367</v>
      </c>
      <c r="E607" s="37" t="str">
        <f>INDEX('Attribute Definition'!$B:$B,MATCH($D607,'Attribute Definition'!$A:$A,0))</f>
        <v>Chất liệu</v>
      </c>
      <c r="F607" s="38" t="s">
        <v>2657</v>
      </c>
      <c r="G607" s="39" t="str" cm="1">
        <f t="array" ref="G607">_xlfn.TEXTJOIN("; ",TRUE,_xlfn.UNIQUE(_xlfn._xlws.FILTER('Product Variant Attribute'!$F$2:$F$3000,('Product Variant Attribute'!$B$2:$B$3000=$A607)*('Product Variant Attribute'!$D$2:$D$3000=$D607),"")))</f>
        <v>Silicone</v>
      </c>
      <c r="H607" s="39"/>
      <c r="I607" s="39"/>
      <c r="J607" s="39" t="str" cm="1">
        <f t="array" ref="J607">IF($I607="","",_xlfn.TEXTJOIN("; ",TRUE,_xlfn.UNIQUE(_xlfn._xlws.FILTER($A$2:$A$3000,($C$2:$C$3000=$C607)*($E$2:$E$3000=$E607)*($G$2:$G$3000&lt;&gt;$G607)*($G$2:$G$3000&lt;&gt;""),""))))</f>
        <v/>
      </c>
    </row>
    <row r="608" spans="1:10" x14ac:dyDescent="0.25">
      <c r="A608" s="23" t="s">
        <v>790</v>
      </c>
      <c r="B608" s="37" t="str">
        <f>INDEX(Product!$B:$B,MATCH($A608,Product!$A:$A,0))</f>
        <v>[SeaSight] Bộ mở dạ dày qua da</v>
      </c>
      <c r="C608" s="37" t="str">
        <f>INDEX(Product!$D:$D,MATCH($A608,Product!$A:$A,0))</f>
        <v>Bộ mở thông dạ dày qua da</v>
      </c>
      <c r="D608" s="23" t="s">
        <v>2471</v>
      </c>
      <c r="E608" s="37" t="str">
        <f>INDEX('Attribute Definition'!$B:$B,MATCH($D608,'Attribute Definition'!$A:$A,0))</f>
        <v>Dạng sản phẩm</v>
      </c>
      <c r="F608" s="38" t="s">
        <v>2657</v>
      </c>
      <c r="G608" s="39" t="str" cm="1">
        <f t="array" ref="G608">_xlfn.TEXTJOIN("; ",TRUE,_xlfn.UNIQUE(_xlfn._xlws.FILTER('Product Variant Attribute'!$F$2:$F$3000,('Product Variant Attribute'!$B$2:$B$3000=$A608)*('Product Variant Attribute'!$D$2:$D$3000=$D608),"")))</f>
        <v>Bộ dụng cụ</v>
      </c>
      <c r="H608" s="39"/>
      <c r="I608" s="39"/>
      <c r="J608" s="39" t="str" cm="1">
        <f t="array" ref="J608">IF($I608="","",_xlfn.TEXTJOIN("; ",TRUE,_xlfn.UNIQUE(_xlfn._xlws.FILTER($A$2:$A$3000,($C$2:$C$3000=$C608)*($E$2:$E$3000=$E608)*($G$2:$G$3000&lt;&gt;$G608)*($G$2:$G$3000&lt;&gt;""),""))))</f>
        <v/>
      </c>
    </row>
    <row r="609" spans="1:10" ht="45" x14ac:dyDescent="0.25">
      <c r="A609" s="23" t="s">
        <v>790</v>
      </c>
      <c r="B609" s="37" t="str">
        <f>INDEX(Product!$B:$B,MATCH($A609,Product!$A:$A,0))</f>
        <v>[SeaSight] Bộ mở dạ dày qua da</v>
      </c>
      <c r="C609" s="37" t="str">
        <f>INDEX(Product!$D:$D,MATCH($A609,Product!$A:$A,0))</f>
        <v>Bộ mở thông dạ dày qua da</v>
      </c>
      <c r="D609" s="23" t="s">
        <v>2656</v>
      </c>
      <c r="E609" s="37" t="str">
        <f>INDEX('Attribute Definition'!$B:$B,MATCH($D609,'Attribute Definition'!$A:$A,0))</f>
        <v>Kích cỡ</v>
      </c>
      <c r="F609" s="38" t="s">
        <v>2485</v>
      </c>
      <c r="G609" s="39" t="str" cm="1">
        <f t="array" ref="G609">_xlfn.TEXTJOIN("; ",TRUE,_xlfn.UNIQUE(_xlfn._xlws.FILTER('Product Variant Attribute'!$F$2:$F$3000,('Product Variant Attribute'!$B$2:$B$3000=$A609)*('Product Variant Attribute'!$D$2:$D$3000=$D609),"")))</f>
        <v>22Fr; 24Fr</v>
      </c>
      <c r="H609" s="39" t="s">
        <v>2702</v>
      </c>
      <c r="I609" s="39"/>
      <c r="J609" s="39" t="str" cm="1">
        <f t="array" ref="J609">IF($I609="","",_xlfn.TEXTJOIN("; ",TRUE,_xlfn.UNIQUE(_xlfn._xlws.FILTER($A$2:$A$3000,($C$2:$C$3000=$C609)*($E$2:$E$3000=$E609)*($G$2:$G$3000&lt;&gt;$G609)*($G$2:$G$3000&lt;&gt;""),""))))</f>
        <v/>
      </c>
    </row>
    <row r="610" spans="1:10" x14ac:dyDescent="0.25">
      <c r="A610" s="23" t="s">
        <v>791</v>
      </c>
      <c r="B610" s="37" t="str">
        <f>INDEX(Product!$B:$B,MATCH($A610,Product!$A:$A,0))</f>
        <v>[SeaSight] Dây nuôi ăn mũi - dạ dày silicone dài ngày</v>
      </c>
      <c r="C610" s="37" t="str">
        <f>INDEX(Product!$D:$D,MATCH($A610,Product!$A:$A,0))</f>
        <v>Ống thông nuôi ăn</v>
      </c>
      <c r="D610" s="23" t="s">
        <v>2367</v>
      </c>
      <c r="E610" s="37" t="str">
        <f>INDEX('Attribute Definition'!$B:$B,MATCH($D610,'Attribute Definition'!$A:$A,0))</f>
        <v>Chất liệu</v>
      </c>
      <c r="F610" s="38" t="s">
        <v>2657</v>
      </c>
      <c r="G610" s="39" t="str" cm="1">
        <f t="array" ref="G610">_xlfn.TEXTJOIN("; ",TRUE,_xlfn.UNIQUE(_xlfn._xlws.FILTER('Product Variant Attribute'!$F$2:$F$3000,('Product Variant Attribute'!$B$2:$B$3000=$A610)*('Product Variant Attribute'!$D$2:$D$3000=$D610),"")))</f>
        <v>Silicone</v>
      </c>
      <c r="H610" s="39"/>
      <c r="I610" s="39"/>
      <c r="J610" s="39" t="str" cm="1">
        <f t="array" ref="J610">IF($I610="","",_xlfn.TEXTJOIN("; ",TRUE,_xlfn.UNIQUE(_xlfn._xlws.FILTER($A$2:$A$3000,($C$2:$C$3000=$C610)*($E$2:$E$3000=$E610)*($G$2:$G$3000&lt;&gt;$G610)*($G$2:$G$3000&lt;&gt;""),""))))</f>
        <v/>
      </c>
    </row>
    <row r="611" spans="1:10" x14ac:dyDescent="0.25">
      <c r="A611" s="23" t="s">
        <v>791</v>
      </c>
      <c r="B611" s="37" t="str">
        <f>INDEX(Product!$B:$B,MATCH($A611,Product!$A:$A,0))</f>
        <v>[SeaSight] Dây nuôi ăn mũi - dạ dày silicone dài ngày</v>
      </c>
      <c r="C611" s="37" t="str">
        <f>INDEX(Product!$D:$D,MATCH($A611,Product!$A:$A,0))</f>
        <v>Ống thông nuôi ăn</v>
      </c>
      <c r="D611" s="23" t="s">
        <v>2374</v>
      </c>
      <c r="E611" s="37" t="str">
        <f>INDEX('Attribute Definition'!$B:$B,MATCH($D611,'Attribute Definition'!$A:$A,0))</f>
        <v>Vô trùng</v>
      </c>
      <c r="F611" s="38" t="s">
        <v>2657</v>
      </c>
      <c r="G611" s="39" t="str" cm="1">
        <f t="array" ref="G611">_xlfn.TEXTJOIN("; ",TRUE,_xlfn.UNIQUE(_xlfn._xlws.FILTER('Product Variant Attribute'!$F$2:$F$3000,('Product Variant Attribute'!$B$2:$B$3000=$A611)*('Product Variant Attribute'!$D$2:$D$3000=$D611),"")))</f>
        <v>Có</v>
      </c>
      <c r="H611" s="39"/>
      <c r="I611" s="39"/>
      <c r="J611" s="39" t="str" cm="1">
        <f t="array" ref="J611">IF($I611="","",_xlfn.TEXTJOIN("; ",TRUE,_xlfn.UNIQUE(_xlfn._xlws.FILTER($A$2:$A$3000,($C$2:$C$3000=$C611)*($E$2:$E$3000=$E611)*($G$2:$G$3000&lt;&gt;$G611)*($G$2:$G$3000&lt;&gt;""),""))))</f>
        <v/>
      </c>
    </row>
    <row r="612" spans="1:10" ht="30" x14ac:dyDescent="0.25">
      <c r="A612" s="23" t="s">
        <v>791</v>
      </c>
      <c r="B612" s="37" t="str">
        <f>INDEX(Product!$B:$B,MATCH($A612,Product!$A:$A,0))</f>
        <v>[SeaSight] Dây nuôi ăn mũi - dạ dày silicone dài ngày</v>
      </c>
      <c r="C612" s="37" t="str">
        <f>INDEX(Product!$D:$D,MATCH($A612,Product!$A:$A,0))</f>
        <v>Ống thông nuôi ăn</v>
      </c>
      <c r="D612" s="23" t="s">
        <v>2454</v>
      </c>
      <c r="E612" s="37" t="str">
        <f>INDEX('Attribute Definition'!$B:$B,MATCH($D612,'Attribute Definition'!$A:$A,0))</f>
        <v>Thời gian sử dụng</v>
      </c>
      <c r="F612" s="38" t="s">
        <v>2657</v>
      </c>
      <c r="G612" s="39" t="str" cm="1">
        <f t="array" ref="G612">_xlfn.TEXTJOIN("; ",TRUE,_xlfn.UNIQUE(_xlfn._xlws.FILTER('Product Variant Attribute'!$F$2:$F$3000,('Product Variant Attribute'!$B$2:$B$3000=$A612)*('Product Variant Attribute'!$D$2:$D$3000=$D612),"")))</f>
        <v>Dài ngày</v>
      </c>
      <c r="H612" s="39"/>
      <c r="I612" s="39" t="s">
        <v>2760</v>
      </c>
      <c r="J612" s="39" t="str" cm="1">
        <f t="array" ref="J612">IF($I612="","",_xlfn.TEXTJOIN("; ",TRUE,_xlfn.UNIQUE(_xlfn._xlws.FILTER($A$2:$A$3000,($C$2:$C$3000=$C612)*($E$2:$E$3000=$E612)*($G$2:$G$3000&lt;&gt;$G612)*($G$2:$G$3000&lt;&gt;""),""))))</f>
        <v>PRODUCT-00220; PRODUCT-00225</v>
      </c>
    </row>
    <row r="613" spans="1:10" x14ac:dyDescent="0.25">
      <c r="A613" s="23" t="s">
        <v>791</v>
      </c>
      <c r="B613" s="37" t="str">
        <f>INDEX(Product!$B:$B,MATCH($A613,Product!$A:$A,0))</f>
        <v>[SeaSight] Dây nuôi ăn mũi - dạ dày silicone dài ngày</v>
      </c>
      <c r="C613" s="37" t="str">
        <f>INDEX(Product!$D:$D,MATCH($A613,Product!$A:$A,0))</f>
        <v>Ống thông nuôi ăn</v>
      </c>
      <c r="D613" s="23" t="s">
        <v>2471</v>
      </c>
      <c r="E613" s="37" t="str">
        <f>INDEX('Attribute Definition'!$B:$B,MATCH($D613,'Attribute Definition'!$A:$A,0))</f>
        <v>Dạng sản phẩm</v>
      </c>
      <c r="F613" s="38" t="s">
        <v>2657</v>
      </c>
      <c r="G613" s="39" t="str" cm="1">
        <f t="array" ref="G613">_xlfn.TEXTJOIN("; ",TRUE,_xlfn.UNIQUE(_xlfn._xlws.FILTER('Product Variant Attribute'!$F$2:$F$3000,('Product Variant Attribute'!$B$2:$B$3000=$A613)*('Product Variant Attribute'!$D$2:$D$3000=$D613),"")))</f>
        <v>Ống / dây</v>
      </c>
      <c r="H613" s="39"/>
      <c r="I613" s="39"/>
      <c r="J613" s="39" t="str" cm="1">
        <f t="array" ref="J613">IF($I613="","",_xlfn.TEXTJOIN("; ",TRUE,_xlfn.UNIQUE(_xlfn._xlws.FILTER($A$2:$A$3000,($C$2:$C$3000=$C613)*($E$2:$E$3000=$E613)*($G$2:$G$3000&lt;&gt;$G613)*($G$2:$G$3000&lt;&gt;""),""))))</f>
        <v/>
      </c>
    </row>
    <row r="614" spans="1:10" ht="30" x14ac:dyDescent="0.25">
      <c r="A614" s="23" t="s">
        <v>791</v>
      </c>
      <c r="B614" s="37" t="str">
        <f>INDEX(Product!$B:$B,MATCH($A614,Product!$A:$A,0))</f>
        <v>[SeaSight] Dây nuôi ăn mũi - dạ dày silicone dài ngày</v>
      </c>
      <c r="C614" s="37" t="str">
        <f>INDEX(Product!$D:$D,MATCH($A614,Product!$A:$A,0))</f>
        <v>Ống thông nuôi ăn</v>
      </c>
      <c r="D614" s="23" t="s">
        <v>2656</v>
      </c>
      <c r="E614" s="37" t="str">
        <f>INDEX('Attribute Definition'!$B:$B,MATCH($D614,'Attribute Definition'!$A:$A,0))</f>
        <v>Kích cỡ</v>
      </c>
      <c r="F614" s="38" t="s">
        <v>2485</v>
      </c>
      <c r="G614" s="39" t="str" cm="1">
        <f t="array" ref="G614">_xlfn.TEXTJOIN("; ",TRUE,_xlfn.UNIQUE(_xlfn._xlws.FILTER('Product Variant Attribute'!$F$2:$F$3000,('Product Variant Attribute'!$B$2:$B$3000=$A614)*('Product Variant Attribute'!$D$2:$D$3000=$D614),"")))</f>
        <v>16Fr; 18Fr</v>
      </c>
      <c r="H614" s="39" t="s">
        <v>2703</v>
      </c>
      <c r="I614" s="39"/>
      <c r="J614" s="39" t="str" cm="1">
        <f t="array" ref="J614">IF($I614="","",_xlfn.TEXTJOIN("; ",TRUE,_xlfn.UNIQUE(_xlfn._xlws.FILTER($A$2:$A$3000,($C$2:$C$3000=$C614)*($E$2:$E$3000=$E614)*($G$2:$G$3000&lt;&gt;$G614)*($G$2:$G$3000&lt;&gt;""),""))))</f>
        <v/>
      </c>
    </row>
    <row r="615" spans="1:10" x14ac:dyDescent="0.25">
      <c r="A615" s="23" t="s">
        <v>792</v>
      </c>
      <c r="B615" s="37" t="str">
        <f>INDEX(Product!$B:$B,MATCH($A615,Product!$A:$A,0))</f>
        <v>[Teleflex] Ống chẹn thực quản, dạ dày - Sengstaken-Blakemore Tube</v>
      </c>
      <c r="C615" s="37" t="str">
        <f>INDEX(Product!$D:$D,MATCH($A615,Product!$A:$A,0))</f>
        <v>Ống chẹn thực quản dạ dày</v>
      </c>
      <c r="D615" s="23" t="s">
        <v>2471</v>
      </c>
      <c r="E615" s="37" t="str">
        <f>INDEX('Attribute Definition'!$B:$B,MATCH($D615,'Attribute Definition'!$A:$A,0))</f>
        <v>Dạng sản phẩm</v>
      </c>
      <c r="F615" s="38" t="s">
        <v>2657</v>
      </c>
      <c r="G615" s="39" t="str" cm="1">
        <f t="array" ref="G615">_xlfn.TEXTJOIN("; ",TRUE,_xlfn.UNIQUE(_xlfn._xlws.FILTER('Product Variant Attribute'!$F$2:$F$3000,('Product Variant Attribute'!$B$2:$B$3000=$A615)*('Product Variant Attribute'!$D$2:$D$3000=$D615),"")))</f>
        <v>Ống / dây</v>
      </c>
      <c r="H615" s="39"/>
      <c r="I615" s="39"/>
      <c r="J615" s="39" t="str" cm="1">
        <f t="array" ref="J615">IF($I615="","",_xlfn.TEXTJOIN("; ",TRUE,_xlfn.UNIQUE(_xlfn._xlws.FILTER($A$2:$A$3000,($C$2:$C$3000=$C615)*($E$2:$E$3000=$E615)*($G$2:$G$3000&lt;&gt;$G615)*($G$2:$G$3000&lt;&gt;""),""))))</f>
        <v/>
      </c>
    </row>
    <row r="616" spans="1:10" x14ac:dyDescent="0.25">
      <c r="A616" s="23" t="s">
        <v>793</v>
      </c>
      <c r="B616" s="37" t="str">
        <f>INDEX(Product!$B:$B,MATCH($A616,Product!$A:$A,0))</f>
        <v>[Vinahankook] Bơm tiêm cho ăn sử dụng 1 lần - 50cc (50ml)</v>
      </c>
      <c r="C616" s="37" t="str">
        <f>INDEX(Product!$D:$D,MATCH($A616,Product!$A:$A,0))</f>
        <v>Bơm tiêm cho ăn</v>
      </c>
      <c r="D616" s="23" t="s">
        <v>2349</v>
      </c>
      <c r="E616" s="37" t="str">
        <f>INDEX('Attribute Definition'!$B:$B,MATCH($D616,'Attribute Definition'!$A:$A,0))</f>
        <v>Dung tích</v>
      </c>
      <c r="F616" s="38" t="s">
        <v>2657</v>
      </c>
      <c r="G616" s="39" t="str" cm="1">
        <f t="array" ref="G616">_xlfn.TEXTJOIN("; ",TRUE,_xlfn.UNIQUE(_xlfn._xlws.FILTER('Product Variant Attribute'!$F$2:$F$3000,('Product Variant Attribute'!$B$2:$B$3000=$A616)*('Product Variant Attribute'!$D$2:$D$3000=$D616),"")))</f>
        <v>50ml</v>
      </c>
      <c r="H616" s="39"/>
      <c r="I616" s="39"/>
      <c r="J616" s="39" t="str" cm="1">
        <f t="array" ref="J616">IF($I616="","",_xlfn.TEXTJOIN("; ",TRUE,_xlfn.UNIQUE(_xlfn._xlws.FILTER($A$2:$A$3000,($C$2:$C$3000=$C616)*($E$2:$E$3000=$E616)*($G$2:$G$3000&lt;&gt;$G616)*($G$2:$G$3000&lt;&gt;""),""))))</f>
        <v/>
      </c>
    </row>
    <row r="617" spans="1:10" x14ac:dyDescent="0.25">
      <c r="A617" s="23" t="s">
        <v>793</v>
      </c>
      <c r="B617" s="37" t="str">
        <f>INDEX(Product!$B:$B,MATCH($A617,Product!$A:$A,0))</f>
        <v>[Vinahankook] Bơm tiêm cho ăn sử dụng 1 lần - 50cc (50ml)</v>
      </c>
      <c r="C617" s="37" t="str">
        <f>INDEX(Product!$D:$D,MATCH($A617,Product!$A:$A,0))</f>
        <v>Bơm tiêm cho ăn</v>
      </c>
      <c r="D617" s="23" t="s">
        <v>2374</v>
      </c>
      <c r="E617" s="37" t="str">
        <f>INDEX('Attribute Definition'!$B:$B,MATCH($D617,'Attribute Definition'!$A:$A,0))</f>
        <v>Vô trùng</v>
      </c>
      <c r="F617" s="38" t="s">
        <v>2657</v>
      </c>
      <c r="G617" s="39" t="str" cm="1">
        <f t="array" ref="G617">_xlfn.TEXTJOIN("; ",TRUE,_xlfn.UNIQUE(_xlfn._xlws.FILTER('Product Variant Attribute'!$F$2:$F$3000,('Product Variant Attribute'!$B$2:$B$3000=$A617)*('Product Variant Attribute'!$D$2:$D$3000=$D617),"")))</f>
        <v>Có</v>
      </c>
      <c r="H617" s="39"/>
      <c r="I617" s="39"/>
      <c r="J617" s="39" t="str" cm="1">
        <f t="array" ref="J617">IF($I617="","",_xlfn.TEXTJOIN("; ",TRUE,_xlfn.UNIQUE(_xlfn._xlws.FILTER($A$2:$A$3000,($C$2:$C$3000=$C617)*($E$2:$E$3000=$E617)*($G$2:$G$3000&lt;&gt;$G617)*($G$2:$G$3000&lt;&gt;""),""))))</f>
        <v/>
      </c>
    </row>
    <row r="618" spans="1:10" x14ac:dyDescent="0.25">
      <c r="A618" s="23" t="s">
        <v>793</v>
      </c>
      <c r="B618" s="37" t="str">
        <f>INDEX(Product!$B:$B,MATCH($A618,Product!$A:$A,0))</f>
        <v>[Vinahankook] Bơm tiêm cho ăn sử dụng 1 lần - 50cc (50ml)</v>
      </c>
      <c r="C618" s="37" t="str">
        <f>INDEX(Product!$D:$D,MATCH($A618,Product!$A:$A,0))</f>
        <v>Bơm tiêm cho ăn</v>
      </c>
      <c r="D618" s="23" t="s">
        <v>2454</v>
      </c>
      <c r="E618" s="37" t="str">
        <f>INDEX('Attribute Definition'!$B:$B,MATCH($D618,'Attribute Definition'!$A:$A,0))</f>
        <v>Thời gian sử dụng</v>
      </c>
      <c r="F618" s="38" t="s">
        <v>2657</v>
      </c>
      <c r="G618" s="39" t="str" cm="1">
        <f t="array" ref="G618">_xlfn.TEXTJOIN("; ",TRUE,_xlfn.UNIQUE(_xlfn._xlws.FILTER('Product Variant Attribute'!$F$2:$F$3000,('Product Variant Attribute'!$B$2:$B$3000=$A618)*('Product Variant Attribute'!$D$2:$D$3000=$D618),"")))</f>
        <v>Dùng 1 lần</v>
      </c>
      <c r="H618" s="39"/>
      <c r="I618" s="39"/>
      <c r="J618" s="39" t="str" cm="1">
        <f t="array" ref="J618">IF($I618="","",_xlfn.TEXTJOIN("; ",TRUE,_xlfn.UNIQUE(_xlfn._xlws.FILTER($A$2:$A$3000,($C$2:$C$3000=$C618)*($E$2:$E$3000=$E618)*($G$2:$G$3000&lt;&gt;$G618)*($G$2:$G$3000&lt;&gt;""),""))))</f>
        <v/>
      </c>
    </row>
    <row r="619" spans="1:10" x14ac:dyDescent="0.25">
      <c r="A619" s="23" t="s">
        <v>793</v>
      </c>
      <c r="B619" s="37" t="str">
        <f>INDEX(Product!$B:$B,MATCH($A619,Product!$A:$A,0))</f>
        <v>[Vinahankook] Bơm tiêm cho ăn sử dụng 1 lần - 50cc (50ml)</v>
      </c>
      <c r="C619" s="37" t="str">
        <f>INDEX(Product!$D:$D,MATCH($A619,Product!$A:$A,0))</f>
        <v>Bơm tiêm cho ăn</v>
      </c>
      <c r="D619" s="23" t="s">
        <v>2471</v>
      </c>
      <c r="E619" s="37" t="str">
        <f>INDEX('Attribute Definition'!$B:$B,MATCH($D619,'Attribute Definition'!$A:$A,0))</f>
        <v>Dạng sản phẩm</v>
      </c>
      <c r="F619" s="38" t="s">
        <v>2657</v>
      </c>
      <c r="G619" s="39" t="str" cm="1">
        <f t="array" ref="G619">_xlfn.TEXTJOIN("; ",TRUE,_xlfn.UNIQUE(_xlfn._xlws.FILTER('Product Variant Attribute'!$F$2:$F$3000,('Product Variant Attribute'!$B$2:$B$3000=$A619)*('Product Variant Attribute'!$D$2:$D$3000=$D619),"")))</f>
        <v>Bơm tiêm / bình chứa</v>
      </c>
      <c r="H619" s="39"/>
      <c r="I619" s="39"/>
      <c r="J619" s="39" t="str" cm="1">
        <f t="array" ref="J619">IF($I619="","",_xlfn.TEXTJOIN("; ",TRUE,_xlfn.UNIQUE(_xlfn._xlws.FILTER($A$2:$A$3000,($C$2:$C$3000=$C619)*($E$2:$E$3000=$E619)*($G$2:$G$3000&lt;&gt;$G619)*($G$2:$G$3000&lt;&gt;""),""))))</f>
        <v/>
      </c>
    </row>
    <row r="620" spans="1:10" x14ac:dyDescent="0.25">
      <c r="A620" s="23" t="s">
        <v>794</v>
      </c>
      <c r="B620" s="37" t="str">
        <f>INDEX(Product!$B:$B,MATCH($A620,Product!$A:$A,0))</f>
        <v>Dây nuôi ăn đầu nặng silicon</v>
      </c>
      <c r="C620" s="37" t="str">
        <f>INDEX(Product!$D:$D,MATCH($A620,Product!$A:$A,0))</f>
        <v>Ống thông nuôi ăn</v>
      </c>
      <c r="D620" s="23" t="s">
        <v>2367</v>
      </c>
      <c r="E620" s="37" t="str">
        <f>INDEX('Attribute Definition'!$B:$B,MATCH($D620,'Attribute Definition'!$A:$A,0))</f>
        <v>Chất liệu</v>
      </c>
      <c r="F620" s="38" t="s">
        <v>2657</v>
      </c>
      <c r="G620" s="39" t="str" cm="1">
        <f t="array" ref="G620">_xlfn.TEXTJOIN("; ",TRUE,_xlfn.UNIQUE(_xlfn._xlws.FILTER('Product Variant Attribute'!$F$2:$F$3000,('Product Variant Attribute'!$B$2:$B$3000=$A620)*('Product Variant Attribute'!$D$2:$D$3000=$D620),"")))</f>
        <v>Silicone</v>
      </c>
      <c r="H620" s="39"/>
      <c r="I620" s="39"/>
      <c r="J620" s="39" t="str" cm="1">
        <f t="array" ref="J620">IF($I620="","",_xlfn.TEXTJOIN("; ",TRUE,_xlfn.UNIQUE(_xlfn._xlws.FILTER($A$2:$A$3000,($C$2:$C$3000=$C620)*($E$2:$E$3000=$E620)*($G$2:$G$3000&lt;&gt;$G620)*($G$2:$G$3000&lt;&gt;""),""))))</f>
        <v/>
      </c>
    </row>
    <row r="621" spans="1:10" x14ac:dyDescent="0.25">
      <c r="A621" s="23" t="s">
        <v>794</v>
      </c>
      <c r="B621" s="37" t="str">
        <f>INDEX(Product!$B:$B,MATCH($A621,Product!$A:$A,0))</f>
        <v>Dây nuôi ăn đầu nặng silicon</v>
      </c>
      <c r="C621" s="37" t="str">
        <f>INDEX(Product!$D:$D,MATCH($A621,Product!$A:$A,0))</f>
        <v>Ống thông nuôi ăn</v>
      </c>
      <c r="D621" s="23" t="s">
        <v>2374</v>
      </c>
      <c r="E621" s="37" t="str">
        <f>INDEX('Attribute Definition'!$B:$B,MATCH($D621,'Attribute Definition'!$A:$A,0))</f>
        <v>Vô trùng</v>
      </c>
      <c r="F621" s="38" t="s">
        <v>2657</v>
      </c>
      <c r="G621" s="39" t="str" cm="1">
        <f t="array" ref="G621">_xlfn.TEXTJOIN("; ",TRUE,_xlfn.UNIQUE(_xlfn._xlws.FILTER('Product Variant Attribute'!$F$2:$F$3000,('Product Variant Attribute'!$B$2:$B$3000=$A621)*('Product Variant Attribute'!$D$2:$D$3000=$D621),"")))</f>
        <v>Có</v>
      </c>
      <c r="H621" s="39"/>
      <c r="I621" s="39"/>
      <c r="J621" s="39" t="str" cm="1">
        <f t="array" ref="J621">IF($I621="","",_xlfn.TEXTJOIN("; ",TRUE,_xlfn.UNIQUE(_xlfn._xlws.FILTER($A$2:$A$3000,($C$2:$C$3000=$C621)*($E$2:$E$3000=$E621)*($G$2:$G$3000&lt;&gt;$G621)*($G$2:$G$3000&lt;&gt;""),""))))</f>
        <v/>
      </c>
    </row>
    <row r="622" spans="1:10" x14ac:dyDescent="0.25">
      <c r="A622" s="23" t="s">
        <v>794</v>
      </c>
      <c r="B622" s="37" t="str">
        <f>INDEX(Product!$B:$B,MATCH($A622,Product!$A:$A,0))</f>
        <v>Dây nuôi ăn đầu nặng silicon</v>
      </c>
      <c r="C622" s="37" t="str">
        <f>INDEX(Product!$D:$D,MATCH($A622,Product!$A:$A,0))</f>
        <v>Ống thông nuôi ăn</v>
      </c>
      <c r="D622" s="23" t="s">
        <v>2471</v>
      </c>
      <c r="E622" s="37" t="str">
        <f>INDEX('Attribute Definition'!$B:$B,MATCH($D622,'Attribute Definition'!$A:$A,0))</f>
        <v>Dạng sản phẩm</v>
      </c>
      <c r="F622" s="38" t="s">
        <v>2657</v>
      </c>
      <c r="G622" s="39" t="str" cm="1">
        <f t="array" ref="G622">_xlfn.TEXTJOIN("; ",TRUE,_xlfn.UNIQUE(_xlfn._xlws.FILTER('Product Variant Attribute'!$F$2:$F$3000,('Product Variant Attribute'!$B$2:$B$3000=$A622)*('Product Variant Attribute'!$D$2:$D$3000=$D622),"")))</f>
        <v>Ống / dây</v>
      </c>
      <c r="H622" s="39"/>
      <c r="I622" s="39"/>
      <c r="J622" s="39" t="str" cm="1">
        <f t="array" ref="J622">IF($I622="","",_xlfn.TEXTJOIN("; ",TRUE,_xlfn.UNIQUE(_xlfn._xlws.FILTER($A$2:$A$3000,($C$2:$C$3000=$C622)*($E$2:$E$3000=$E622)*($G$2:$G$3000&lt;&gt;$G622)*($G$2:$G$3000&lt;&gt;""),""))))</f>
        <v/>
      </c>
    </row>
    <row r="623" spans="1:10" ht="30" x14ac:dyDescent="0.25">
      <c r="A623" s="23" t="s">
        <v>794</v>
      </c>
      <c r="B623" s="37" t="str">
        <f>INDEX(Product!$B:$B,MATCH($A623,Product!$A:$A,0))</f>
        <v>Dây nuôi ăn đầu nặng silicon</v>
      </c>
      <c r="C623" s="37" t="str">
        <f>INDEX(Product!$D:$D,MATCH($A623,Product!$A:$A,0))</f>
        <v>Ống thông nuôi ăn</v>
      </c>
      <c r="D623" s="23" t="s">
        <v>2656</v>
      </c>
      <c r="E623" s="37" t="str">
        <f>INDEX('Attribute Definition'!$B:$B,MATCH($D623,'Attribute Definition'!$A:$A,0))</f>
        <v>Kích cỡ</v>
      </c>
      <c r="F623" s="38" t="s">
        <v>2485</v>
      </c>
      <c r="G623" s="39" t="str" cm="1">
        <f t="array" ref="G623">_xlfn.TEXTJOIN("; ",TRUE,_xlfn.UNIQUE(_xlfn._xlws.FILTER('Product Variant Attribute'!$F$2:$F$3000,('Product Variant Attribute'!$B$2:$B$3000=$A623)*('Product Variant Attribute'!$D$2:$D$3000=$D623),"")))</f>
        <v>16Fr; 18Fr</v>
      </c>
      <c r="H623" s="39" t="s">
        <v>2703</v>
      </c>
      <c r="I623" s="39"/>
      <c r="J623" s="39" t="str" cm="1">
        <f t="array" ref="J623">IF($I623="","",_xlfn.TEXTJOIN("; ",TRUE,_xlfn.UNIQUE(_xlfn._xlws.FILTER($A$2:$A$3000,($C$2:$C$3000=$C623)*($E$2:$E$3000=$E623)*($G$2:$G$3000&lt;&gt;$G623)*($G$2:$G$3000&lt;&gt;""),""))))</f>
        <v/>
      </c>
    </row>
    <row r="624" spans="1:10" x14ac:dyDescent="0.25">
      <c r="A624" s="23" t="s">
        <v>795</v>
      </c>
      <c r="B624" s="37" t="str">
        <f>INDEX(Product!$B:$B,MATCH($A624,Product!$A:$A,0))</f>
        <v>[Lepu Medical] Catheter chạy thận nhân tạo 2 nòng, đầu thẳng</v>
      </c>
      <c r="C624" s="37" t="str">
        <f>INDEX(Product!$D:$D,MATCH($A624,Product!$A:$A,0))</f>
        <v>Catheter chạy thận</v>
      </c>
      <c r="D624" s="23" t="s">
        <v>2367</v>
      </c>
      <c r="E624" s="37" t="str">
        <f>INDEX('Attribute Definition'!$B:$B,MATCH($D624,'Attribute Definition'!$A:$A,0))</f>
        <v>Chất liệu</v>
      </c>
      <c r="F624" s="38" t="s">
        <v>2657</v>
      </c>
      <c r="G624" s="39" t="str" cm="1">
        <f t="array" ref="G624">_xlfn.TEXTJOIN("; ",TRUE,_xlfn.UNIQUE(_xlfn._xlws.FILTER('Product Variant Attribute'!$F$2:$F$3000,('Product Variant Attribute'!$B$2:$B$3000=$A624)*('Product Variant Attribute'!$D$2:$D$3000=$D624),"")))</f>
        <v>Polyurethane (PU)</v>
      </c>
      <c r="H624" s="39"/>
      <c r="I624" s="39"/>
      <c r="J624" s="39" t="str" cm="1">
        <f t="array" ref="J624">IF($I624="","",_xlfn.TEXTJOIN("; ",TRUE,_xlfn.UNIQUE(_xlfn._xlws.FILTER($A$2:$A$3000,($C$2:$C$3000=$C624)*($E$2:$E$3000=$E624)*($G$2:$G$3000&lt;&gt;$G624)*($G$2:$G$3000&lt;&gt;""),""))))</f>
        <v/>
      </c>
    </row>
    <row r="625" spans="1:10" x14ac:dyDescent="0.25">
      <c r="A625" s="23" t="s">
        <v>795</v>
      </c>
      <c r="B625" s="37" t="str">
        <f>INDEX(Product!$B:$B,MATCH($A625,Product!$A:$A,0))</f>
        <v>[Lepu Medical] Catheter chạy thận nhân tạo 2 nòng, đầu thẳng</v>
      </c>
      <c r="C625" s="37" t="str">
        <f>INDEX(Product!$D:$D,MATCH($A625,Product!$A:$A,0))</f>
        <v>Catheter chạy thận</v>
      </c>
      <c r="D625" s="23" t="s">
        <v>2374</v>
      </c>
      <c r="E625" s="37" t="str">
        <f>INDEX('Attribute Definition'!$B:$B,MATCH($D625,'Attribute Definition'!$A:$A,0))</f>
        <v>Vô trùng</v>
      </c>
      <c r="F625" s="38" t="s">
        <v>2657</v>
      </c>
      <c r="G625" s="39" t="str" cm="1">
        <f t="array" ref="G625">_xlfn.TEXTJOIN("; ",TRUE,_xlfn.UNIQUE(_xlfn._xlws.FILTER('Product Variant Attribute'!$F$2:$F$3000,('Product Variant Attribute'!$B$2:$B$3000=$A625)*('Product Variant Attribute'!$D$2:$D$3000=$D625),"")))</f>
        <v>Có</v>
      </c>
      <c r="H625" s="39"/>
      <c r="I625" s="39"/>
      <c r="J625" s="39" t="str" cm="1">
        <f t="array" ref="J625">IF($I625="","",_xlfn.TEXTJOIN("; ",TRUE,_xlfn.UNIQUE(_xlfn._xlws.FILTER($A$2:$A$3000,($C$2:$C$3000=$C625)*($E$2:$E$3000=$E625)*($G$2:$G$3000&lt;&gt;$G625)*($G$2:$G$3000&lt;&gt;""),""))))</f>
        <v/>
      </c>
    </row>
    <row r="626" spans="1:10" x14ac:dyDescent="0.25">
      <c r="A626" s="23" t="s">
        <v>795</v>
      </c>
      <c r="B626" s="37" t="str">
        <f>INDEX(Product!$B:$B,MATCH($A626,Product!$A:$A,0))</f>
        <v>[Lepu Medical] Catheter chạy thận nhân tạo 2 nòng, đầu thẳng</v>
      </c>
      <c r="C626" s="37" t="str">
        <f>INDEX(Product!$D:$D,MATCH($A626,Product!$A:$A,0))</f>
        <v>Catheter chạy thận</v>
      </c>
      <c r="D626" s="23" t="s">
        <v>2411</v>
      </c>
      <c r="E626" s="37" t="str">
        <f>INDEX('Attribute Definition'!$B:$B,MATCH($D626,'Attribute Definition'!$A:$A,0))</f>
        <v>Số nòng / nhánh</v>
      </c>
      <c r="F626" s="38" t="s">
        <v>2657</v>
      </c>
      <c r="G626" s="39" t="str" cm="1">
        <f t="array" ref="G626">_xlfn.TEXTJOIN("; ",TRUE,_xlfn.UNIQUE(_xlfn._xlws.FILTER('Product Variant Attribute'!$F$2:$F$3000,('Product Variant Attribute'!$B$2:$B$3000=$A626)*('Product Variant Attribute'!$D$2:$D$3000=$D626),"")))</f>
        <v>2 nòng</v>
      </c>
      <c r="H626" s="39"/>
      <c r="I626" s="39" t="s">
        <v>2762</v>
      </c>
      <c r="J626" s="39" t="str" cm="1">
        <f t="array" ref="J626">IF($I626="","",_xlfn.TEXTJOIN("; ",TRUE,_xlfn.UNIQUE(_xlfn._xlws.FILTER($A$2:$A$3000,($C$2:$C$3000=$C626)*($E$2:$E$3000=$E626)*($G$2:$G$3000&lt;&gt;$G626)*($G$2:$G$3000&lt;&gt;""),""))))</f>
        <v>PRODUCT-00235</v>
      </c>
    </row>
    <row r="627" spans="1:10" x14ac:dyDescent="0.25">
      <c r="A627" s="23" t="s">
        <v>795</v>
      </c>
      <c r="B627" s="37" t="str">
        <f>INDEX(Product!$B:$B,MATCH($A627,Product!$A:$A,0))</f>
        <v>[Lepu Medical] Catheter chạy thận nhân tạo 2 nòng, đầu thẳng</v>
      </c>
      <c r="C627" s="37" t="str">
        <f>INDEX(Product!$D:$D,MATCH($A627,Product!$A:$A,0))</f>
        <v>Catheter chạy thận</v>
      </c>
      <c r="D627" s="23" t="s">
        <v>2471</v>
      </c>
      <c r="E627" s="37" t="str">
        <f>INDEX('Attribute Definition'!$B:$B,MATCH($D627,'Attribute Definition'!$A:$A,0))</f>
        <v>Dạng sản phẩm</v>
      </c>
      <c r="F627" s="38" t="s">
        <v>2657</v>
      </c>
      <c r="G627" s="39" t="str" cm="1">
        <f t="array" ref="G627">_xlfn.TEXTJOIN("; ",TRUE,_xlfn.UNIQUE(_xlfn._xlws.FILTER('Product Variant Attribute'!$F$2:$F$3000,('Product Variant Attribute'!$B$2:$B$3000=$A627)*('Product Variant Attribute'!$D$2:$D$3000=$D627),"")))</f>
        <v>Ống / dây</v>
      </c>
      <c r="H627" s="39"/>
      <c r="I627" s="39"/>
      <c r="J627" s="39" t="str" cm="1">
        <f t="array" ref="J627">IF($I627="","",_xlfn.TEXTJOIN("; ",TRUE,_xlfn.UNIQUE(_xlfn._xlws.FILTER($A$2:$A$3000,($C$2:$C$3000=$C627)*($E$2:$E$3000=$E627)*($G$2:$G$3000&lt;&gt;$G627)*($G$2:$G$3000&lt;&gt;""),""))))</f>
        <v/>
      </c>
    </row>
    <row r="628" spans="1:10" x14ac:dyDescent="0.25">
      <c r="A628" s="23" t="s">
        <v>796</v>
      </c>
      <c r="B628" s="37" t="str">
        <f>INDEX(Product!$B:$B,MATCH($A628,Product!$A:$A,0))</f>
        <v>[Lepu Medical] Catheter chạy thận nhân tạo 3 nòng, đầu thẳng</v>
      </c>
      <c r="C628" s="37" t="str">
        <f>INDEX(Product!$D:$D,MATCH($A628,Product!$A:$A,0))</f>
        <v>Catheter chạy thận</v>
      </c>
      <c r="D628" s="23" t="s">
        <v>2367</v>
      </c>
      <c r="E628" s="37" t="str">
        <f>INDEX('Attribute Definition'!$B:$B,MATCH($D628,'Attribute Definition'!$A:$A,0))</f>
        <v>Chất liệu</v>
      </c>
      <c r="F628" s="38" t="s">
        <v>2657</v>
      </c>
      <c r="G628" s="39" t="str" cm="1">
        <f t="array" ref="G628">_xlfn.TEXTJOIN("; ",TRUE,_xlfn.UNIQUE(_xlfn._xlws.FILTER('Product Variant Attribute'!$F$2:$F$3000,('Product Variant Attribute'!$B$2:$B$3000=$A628)*('Product Variant Attribute'!$D$2:$D$3000=$D628),"")))</f>
        <v>Polyurethane (PU)</v>
      </c>
      <c r="H628" s="39"/>
      <c r="I628" s="39"/>
      <c r="J628" s="39" t="str" cm="1">
        <f t="array" ref="J628">IF($I628="","",_xlfn.TEXTJOIN("; ",TRUE,_xlfn.UNIQUE(_xlfn._xlws.FILTER($A$2:$A$3000,($C$2:$C$3000=$C628)*($E$2:$E$3000=$E628)*($G$2:$G$3000&lt;&gt;$G628)*($G$2:$G$3000&lt;&gt;""),""))))</f>
        <v/>
      </c>
    </row>
    <row r="629" spans="1:10" x14ac:dyDescent="0.25">
      <c r="A629" s="23" t="s">
        <v>796</v>
      </c>
      <c r="B629" s="37" t="str">
        <f>INDEX(Product!$B:$B,MATCH($A629,Product!$A:$A,0))</f>
        <v>[Lepu Medical] Catheter chạy thận nhân tạo 3 nòng, đầu thẳng</v>
      </c>
      <c r="C629" s="37" t="str">
        <f>INDEX(Product!$D:$D,MATCH($A629,Product!$A:$A,0))</f>
        <v>Catheter chạy thận</v>
      </c>
      <c r="D629" s="23" t="s">
        <v>2374</v>
      </c>
      <c r="E629" s="37" t="str">
        <f>INDEX('Attribute Definition'!$B:$B,MATCH($D629,'Attribute Definition'!$A:$A,0))</f>
        <v>Vô trùng</v>
      </c>
      <c r="F629" s="38" t="s">
        <v>2657</v>
      </c>
      <c r="G629" s="39" t="str" cm="1">
        <f t="array" ref="G629">_xlfn.TEXTJOIN("; ",TRUE,_xlfn.UNIQUE(_xlfn._xlws.FILTER('Product Variant Attribute'!$F$2:$F$3000,('Product Variant Attribute'!$B$2:$B$3000=$A629)*('Product Variant Attribute'!$D$2:$D$3000=$D629),"")))</f>
        <v>Có</v>
      </c>
      <c r="H629" s="39"/>
      <c r="I629" s="39"/>
      <c r="J629" s="39" t="str" cm="1">
        <f t="array" ref="J629">IF($I629="","",_xlfn.TEXTJOIN("; ",TRUE,_xlfn.UNIQUE(_xlfn._xlws.FILTER($A$2:$A$3000,($C$2:$C$3000=$C629)*($E$2:$E$3000=$E629)*($G$2:$G$3000&lt;&gt;$G629)*($G$2:$G$3000&lt;&gt;""),""))))</f>
        <v/>
      </c>
    </row>
    <row r="630" spans="1:10" ht="30" x14ac:dyDescent="0.25">
      <c r="A630" s="23" t="s">
        <v>796</v>
      </c>
      <c r="B630" s="37" t="str">
        <f>INDEX(Product!$B:$B,MATCH($A630,Product!$A:$A,0))</f>
        <v>[Lepu Medical] Catheter chạy thận nhân tạo 3 nòng, đầu thẳng</v>
      </c>
      <c r="C630" s="37" t="str">
        <f>INDEX(Product!$D:$D,MATCH($A630,Product!$A:$A,0))</f>
        <v>Catheter chạy thận</v>
      </c>
      <c r="D630" s="23" t="s">
        <v>2411</v>
      </c>
      <c r="E630" s="37" t="str">
        <f>INDEX('Attribute Definition'!$B:$B,MATCH($D630,'Attribute Definition'!$A:$A,0))</f>
        <v>Số nòng / nhánh</v>
      </c>
      <c r="F630" s="38" t="s">
        <v>2657</v>
      </c>
      <c r="G630" s="39" t="str" cm="1">
        <f t="array" ref="G630">_xlfn.TEXTJOIN("; ",TRUE,_xlfn.UNIQUE(_xlfn._xlws.FILTER('Product Variant Attribute'!$F$2:$F$3000,('Product Variant Attribute'!$B$2:$B$3000=$A630)*('Product Variant Attribute'!$D$2:$D$3000=$D630),"")))</f>
        <v>3 nòng</v>
      </c>
      <c r="H630" s="39"/>
      <c r="I630" s="39" t="s">
        <v>2763</v>
      </c>
      <c r="J630" s="39" t="str" cm="1">
        <f t="array" ref="J630">IF($I630="","",_xlfn.TEXTJOIN("; ",TRUE,_xlfn.UNIQUE(_xlfn._xlws.FILTER($A$2:$A$3000,($C$2:$C$3000=$C630)*($E$2:$E$3000=$E630)*($G$2:$G$3000&lt;&gt;$G630)*($G$2:$G$3000&lt;&gt;""),""))))</f>
        <v>PRODUCT-00234</v>
      </c>
    </row>
    <row r="631" spans="1:10" x14ac:dyDescent="0.25">
      <c r="A631" s="23" t="s">
        <v>796</v>
      </c>
      <c r="B631" s="37" t="str">
        <f>INDEX(Product!$B:$B,MATCH($A631,Product!$A:$A,0))</f>
        <v>[Lepu Medical] Catheter chạy thận nhân tạo 3 nòng, đầu thẳng</v>
      </c>
      <c r="C631" s="37" t="str">
        <f>INDEX(Product!$D:$D,MATCH($A631,Product!$A:$A,0))</f>
        <v>Catheter chạy thận</v>
      </c>
      <c r="D631" s="23" t="s">
        <v>2471</v>
      </c>
      <c r="E631" s="37" t="str">
        <f>INDEX('Attribute Definition'!$B:$B,MATCH($D631,'Attribute Definition'!$A:$A,0))</f>
        <v>Dạng sản phẩm</v>
      </c>
      <c r="F631" s="38" t="s">
        <v>2657</v>
      </c>
      <c r="G631" s="39" t="str" cm="1">
        <f t="array" ref="G631">_xlfn.TEXTJOIN("; ",TRUE,_xlfn.UNIQUE(_xlfn._xlws.FILTER('Product Variant Attribute'!$F$2:$F$3000,('Product Variant Attribute'!$B$2:$B$3000=$A631)*('Product Variant Attribute'!$D$2:$D$3000=$D631),"")))</f>
        <v>Ống / dây</v>
      </c>
      <c r="H631" s="39"/>
      <c r="I631" s="39"/>
      <c r="J631" s="39" t="str" cm="1">
        <f t="array" ref="J631">IF($I631="","",_xlfn.TEXTJOIN("; ",TRUE,_xlfn.UNIQUE(_xlfn._xlws.FILTER($A$2:$A$3000,($C$2:$C$3000=$C631)*($E$2:$E$3000=$E631)*($G$2:$G$3000&lt;&gt;$G631)*($G$2:$G$3000&lt;&gt;""),""))))</f>
        <v/>
      </c>
    </row>
    <row r="632" spans="1:10" x14ac:dyDescent="0.25">
      <c r="A632" s="23" t="s">
        <v>797</v>
      </c>
      <c r="B632" s="37" t="str">
        <f>INDEX(Product!$B:$B,MATCH($A632,Product!$A:$A,0))</f>
        <v>[Medtronic] Bình chứa insulin - MiniMed Reservoir 3.0ml MMT-332A (3ml)</v>
      </c>
      <c r="C632" s="37" t="str">
        <f>INDEX(Product!$D:$D,MATCH($A632,Product!$A:$A,0))</f>
        <v>Phụ kiện máy bơm insulin</v>
      </c>
      <c r="D632" s="23" t="s">
        <v>2349</v>
      </c>
      <c r="E632" s="37" t="str">
        <f>INDEX('Attribute Definition'!$B:$B,MATCH($D632,'Attribute Definition'!$A:$A,0))</f>
        <v>Dung tích</v>
      </c>
      <c r="F632" s="38" t="s">
        <v>2657</v>
      </c>
      <c r="G632" s="39" t="str" cm="1">
        <f t="array" ref="G632">_xlfn.TEXTJOIN("; ",TRUE,_xlfn.UNIQUE(_xlfn._xlws.FILTER('Product Variant Attribute'!$F$2:$F$3000,('Product Variant Attribute'!$B$2:$B$3000=$A632)*('Product Variant Attribute'!$D$2:$D$3000=$D632),"")))</f>
        <v>3ml</v>
      </c>
      <c r="H632" s="39"/>
      <c r="I632" s="39"/>
      <c r="J632" s="39" t="str" cm="1">
        <f t="array" ref="J632">IF($I632="","",_xlfn.TEXTJOIN("; ",TRUE,_xlfn.UNIQUE(_xlfn._xlws.FILTER($A$2:$A$3000,($C$2:$C$3000=$C632)*($E$2:$E$3000=$E632)*($G$2:$G$3000&lt;&gt;$G632)*($G$2:$G$3000&lt;&gt;""),""))))</f>
        <v/>
      </c>
    </row>
    <row r="633" spans="1:10" x14ac:dyDescent="0.25">
      <c r="A633" s="23" t="s">
        <v>797</v>
      </c>
      <c r="B633" s="37" t="str">
        <f>INDEX(Product!$B:$B,MATCH($A633,Product!$A:$A,0))</f>
        <v>[Medtronic] Bình chứa insulin - MiniMed Reservoir 3.0ml MMT-332A (3ml)</v>
      </c>
      <c r="C633" s="37" t="str">
        <f>INDEX(Product!$D:$D,MATCH($A633,Product!$A:$A,0))</f>
        <v>Phụ kiện máy bơm insulin</v>
      </c>
      <c r="D633" s="23" t="s">
        <v>2471</v>
      </c>
      <c r="E633" s="37" t="str">
        <f>INDEX('Attribute Definition'!$B:$B,MATCH($D633,'Attribute Definition'!$A:$A,0))</f>
        <v>Dạng sản phẩm</v>
      </c>
      <c r="F633" s="38" t="s">
        <v>2657</v>
      </c>
      <c r="G633" s="39" t="str" cm="1">
        <f t="array" ref="G633">_xlfn.TEXTJOIN("; ",TRUE,_xlfn.UNIQUE(_xlfn._xlws.FILTER('Product Variant Attribute'!$F$2:$F$3000,('Product Variant Attribute'!$B$2:$B$3000=$A633)*('Product Variant Attribute'!$D$2:$D$3000=$D633),"")))</f>
        <v>Bơm tiêm / bình chứa</v>
      </c>
      <c r="H633" s="39"/>
      <c r="I633" s="39"/>
      <c r="J633" s="39" t="str" cm="1">
        <f t="array" ref="J633">IF($I633="","",_xlfn.TEXTJOIN("; ",TRUE,_xlfn.UNIQUE(_xlfn._xlws.FILTER($A$2:$A$3000,($C$2:$C$3000=$C633)*($E$2:$E$3000=$E633)*($G$2:$G$3000&lt;&gt;$G633)*($G$2:$G$3000&lt;&gt;""),""))))</f>
        <v/>
      </c>
    </row>
    <row r="634" spans="1:10" x14ac:dyDescent="0.25">
      <c r="A634" s="23" t="s">
        <v>798</v>
      </c>
      <c r="B634" s="37" t="str">
        <f>INDEX(Product!$B:$B,MATCH($A634,Product!$A:$A,0))</f>
        <v>[Medtronic] Bộ dụng cụ gắn cảm biến đo đường huyết liên tục - One-Press Serter</v>
      </c>
      <c r="C634" s="37" t="str">
        <f>INDEX(Product!$D:$D,MATCH($A634,Product!$A:$A,0))</f>
        <v>Hệ thống đo đường huyết liên tục (CGM)</v>
      </c>
      <c r="D634" s="23" t="s">
        <v>2471</v>
      </c>
      <c r="E634" s="37" t="str">
        <f>INDEX('Attribute Definition'!$B:$B,MATCH($D634,'Attribute Definition'!$A:$A,0))</f>
        <v>Dạng sản phẩm</v>
      </c>
      <c r="F634" s="38" t="s">
        <v>2657</v>
      </c>
      <c r="G634" s="39" t="str" cm="1">
        <f t="array" ref="G634">_xlfn.TEXTJOIN("; ",TRUE,_xlfn.UNIQUE(_xlfn._xlws.FILTER('Product Variant Attribute'!$F$2:$F$3000,('Product Variant Attribute'!$B$2:$B$3000=$A634)*('Product Variant Attribute'!$D$2:$D$3000=$D634),"")))</f>
        <v>Cảm biến / phụ kiện điện tử</v>
      </c>
      <c r="H634" s="39"/>
      <c r="I634" s="39"/>
      <c r="J634" s="39" t="str" cm="1">
        <f t="array" ref="J634">IF($I634="","",_xlfn.TEXTJOIN("; ",TRUE,_xlfn.UNIQUE(_xlfn._xlws.FILTER($A$2:$A$3000,($C$2:$C$3000=$C634)*($E$2:$E$3000=$E634)*($G$2:$G$3000&lt;&gt;$G634)*($G$2:$G$3000&lt;&gt;""),""))))</f>
        <v/>
      </c>
    </row>
    <row r="635" spans="1:10" x14ac:dyDescent="0.25">
      <c r="A635" s="23" t="s">
        <v>799</v>
      </c>
      <c r="B635" s="37" t="str">
        <f>INDEX(Product!$B:$B,MATCH($A635,Product!$A:$A,0))</f>
        <v>[Medtronic] Bộ dụng cụ gắn cổng tiêm insulin - Quick-Serter</v>
      </c>
      <c r="C635" s="37" t="str">
        <f>INDEX(Product!$D:$D,MATCH($A635,Product!$A:$A,0))</f>
        <v>Phụ kiện máy bơm insulin</v>
      </c>
      <c r="D635" s="23" t="s">
        <v>2471</v>
      </c>
      <c r="E635" s="37" t="str">
        <f>INDEX('Attribute Definition'!$B:$B,MATCH($D635,'Attribute Definition'!$A:$A,0))</f>
        <v>Dạng sản phẩm</v>
      </c>
      <c r="F635" s="38" t="s">
        <v>2657</v>
      </c>
      <c r="G635" s="39" t="str" cm="1">
        <f t="array" ref="G635">_xlfn.TEXTJOIN("; ",TRUE,_xlfn.UNIQUE(_xlfn._xlws.FILTER('Product Variant Attribute'!$F$2:$F$3000,('Product Variant Attribute'!$B$2:$B$3000=$A635)*('Product Variant Attribute'!$D$2:$D$3000=$D635),"")))</f>
        <v>Bộ dụng cụ</v>
      </c>
      <c r="H635" s="39"/>
      <c r="I635" s="39"/>
      <c r="J635" s="39" t="str" cm="1">
        <f t="array" ref="J635">IF($I635="","",_xlfn.TEXTJOIN("; ",TRUE,_xlfn.UNIQUE(_xlfn._xlws.FILTER($A$2:$A$3000,($C$2:$C$3000=$C635)*($E$2:$E$3000=$E635)*($G$2:$G$3000&lt;&gt;$G635)*($G$2:$G$3000&lt;&gt;""),""))))</f>
        <v/>
      </c>
    </row>
    <row r="636" spans="1:10" x14ac:dyDescent="0.25">
      <c r="A636" s="23" t="s">
        <v>800</v>
      </c>
      <c r="B636" s="37" t="str">
        <f>INDEX(Product!$B:$B,MATCH($A636,Product!$A:$A,0))</f>
        <v>[Medtronic] Dây truyền insulin - Paradigm Quick Set Infusion</v>
      </c>
      <c r="C636" s="37" t="str">
        <f>INDEX(Product!$D:$D,MATCH($A636,Product!$A:$A,0))</f>
        <v>Phụ kiện máy bơm insulin</v>
      </c>
      <c r="D636" s="23" t="s">
        <v>2471</v>
      </c>
      <c r="E636" s="37" t="str">
        <f>INDEX('Attribute Definition'!$B:$B,MATCH($D636,'Attribute Definition'!$A:$A,0))</f>
        <v>Dạng sản phẩm</v>
      </c>
      <c r="F636" s="38" t="s">
        <v>2657</v>
      </c>
      <c r="G636" s="39" t="str" cm="1">
        <f t="array" ref="G636">_xlfn.TEXTJOIN("; ",TRUE,_xlfn.UNIQUE(_xlfn._xlws.FILTER('Product Variant Attribute'!$F$2:$F$3000,('Product Variant Attribute'!$B$2:$B$3000=$A636)*('Product Variant Attribute'!$D$2:$D$3000=$D636),"")))</f>
        <v>Ống / dây</v>
      </c>
      <c r="H636" s="39"/>
      <c r="I636" s="39"/>
      <c r="J636" s="39" t="str" cm="1">
        <f t="array" ref="J636">IF($I636="","",_xlfn.TEXTJOIN("; ",TRUE,_xlfn.UNIQUE(_xlfn._xlws.FILTER($A$2:$A$3000,($C$2:$C$3000=$C636)*($E$2:$E$3000=$E636)*($G$2:$G$3000&lt;&gt;$G636)*($G$2:$G$3000&lt;&gt;""),""))))</f>
        <v/>
      </c>
    </row>
    <row r="637" spans="1:10" x14ac:dyDescent="0.25">
      <c r="A637" s="23" t="s">
        <v>801</v>
      </c>
      <c r="B637" s="37" t="str">
        <f>INDEX(Product!$B:$B,MATCH($A637,Product!$A:$A,0))</f>
        <v>[Medtronic] Máy bơm insulin tự động - MiniMed 640G Black MMOL</v>
      </c>
      <c r="C637" s="37" t="str">
        <f>INDEX(Product!$D:$D,MATCH($A637,Product!$A:$A,0))</f>
        <v>Máy bơm insulin</v>
      </c>
      <c r="D637" s="23" t="s">
        <v>2464</v>
      </c>
      <c r="E637" s="37" t="str">
        <f>INDEX('Attribute Definition'!$B:$B,MATCH($D637,'Attribute Definition'!$A:$A,0))</f>
        <v>Màu sắc</v>
      </c>
      <c r="F637" s="38" t="s">
        <v>2657</v>
      </c>
      <c r="G637" s="39" t="str" cm="1">
        <f t="array" ref="G637">_xlfn.TEXTJOIN("; ",TRUE,_xlfn.UNIQUE(_xlfn._xlws.FILTER('Product Variant Attribute'!$F$2:$F$3000,('Product Variant Attribute'!$B$2:$B$3000=$A637)*('Product Variant Attribute'!$D$2:$D$3000=$D637),"")))</f>
        <v>Đen</v>
      </c>
      <c r="H637" s="39"/>
      <c r="I637" s="39"/>
      <c r="J637" s="39" t="str" cm="1">
        <f t="array" ref="J637">IF($I637="","",_xlfn.TEXTJOIN("; ",TRUE,_xlfn.UNIQUE(_xlfn._xlws.FILTER($A$2:$A$3000,($C$2:$C$3000=$C637)*($E$2:$E$3000=$E637)*($G$2:$G$3000&lt;&gt;$G637)*($G$2:$G$3000&lt;&gt;""),""))))</f>
        <v/>
      </c>
    </row>
    <row r="638" spans="1:10" x14ac:dyDescent="0.25">
      <c r="A638" s="23" t="s">
        <v>801</v>
      </c>
      <c r="B638" s="37" t="str">
        <f>INDEX(Product!$B:$B,MATCH($A638,Product!$A:$A,0))</f>
        <v>[Medtronic] Máy bơm insulin tự động - MiniMed 640G Black MMOL</v>
      </c>
      <c r="C638" s="37" t="str">
        <f>INDEX(Product!$D:$D,MATCH($A638,Product!$A:$A,0))</f>
        <v>Máy bơm insulin</v>
      </c>
      <c r="D638" s="23" t="s">
        <v>2471</v>
      </c>
      <c r="E638" s="37" t="str">
        <f>INDEX('Attribute Definition'!$B:$B,MATCH($D638,'Attribute Definition'!$A:$A,0))</f>
        <v>Dạng sản phẩm</v>
      </c>
      <c r="F638" s="38" t="s">
        <v>2657</v>
      </c>
      <c r="G638" s="39" t="str" cm="1">
        <f t="array" ref="G638">_xlfn.TEXTJOIN("; ",TRUE,_xlfn.UNIQUE(_xlfn._xlws.FILTER('Product Variant Attribute'!$F$2:$F$3000,('Product Variant Attribute'!$B$2:$B$3000=$A638)*('Product Variant Attribute'!$D$2:$D$3000=$D638),"")))</f>
        <v>Máy / thiết bị điện tử</v>
      </c>
      <c r="H638" s="39"/>
      <c r="I638" s="39"/>
      <c r="J638" s="39" t="str" cm="1">
        <f t="array" ref="J638">IF($I638="","",_xlfn.TEXTJOIN("; ",TRUE,_xlfn.UNIQUE(_xlfn._xlws.FILTER($A$2:$A$3000,($C$2:$C$3000=$C638)*($E$2:$E$3000=$E638)*($G$2:$G$3000&lt;&gt;$G638)*($G$2:$G$3000&lt;&gt;""),""))))</f>
        <v/>
      </c>
    </row>
    <row r="639" spans="1:10" x14ac:dyDescent="0.25">
      <c r="A639" s="23" t="s">
        <v>802</v>
      </c>
      <c r="B639" s="37" t="str">
        <f>INDEX(Product!$B:$B,MATCH($A639,Product!$A:$A,0))</f>
        <v>[Medtronic] Máy bơm insulin tự động - MiniMed Paradigm 715</v>
      </c>
      <c r="C639" s="37" t="str">
        <f>INDEX(Product!$D:$D,MATCH($A639,Product!$A:$A,0))</f>
        <v>Máy bơm insulin</v>
      </c>
      <c r="D639" s="23" t="s">
        <v>2471</v>
      </c>
      <c r="E639" s="37" t="str">
        <f>INDEX('Attribute Definition'!$B:$B,MATCH($D639,'Attribute Definition'!$A:$A,0))</f>
        <v>Dạng sản phẩm</v>
      </c>
      <c r="F639" s="38" t="s">
        <v>2657</v>
      </c>
      <c r="G639" s="39" t="str" cm="1">
        <f t="array" ref="G639">_xlfn.TEXTJOIN("; ",TRUE,_xlfn.UNIQUE(_xlfn._xlws.FILTER('Product Variant Attribute'!$F$2:$F$3000,('Product Variant Attribute'!$B$2:$B$3000=$A639)*('Product Variant Attribute'!$D$2:$D$3000=$D639),"")))</f>
        <v>Máy / thiết bị điện tử</v>
      </c>
      <c r="H639" s="39"/>
      <c r="I639" s="39"/>
      <c r="J639" s="39" t="str" cm="1">
        <f t="array" ref="J639">IF($I639="","",_xlfn.TEXTJOIN("; ",TRUE,_xlfn.UNIQUE(_xlfn._xlws.FILTER($A$2:$A$3000,($C$2:$C$3000=$C639)*($E$2:$E$3000=$E639)*($G$2:$G$3000&lt;&gt;$G639)*($G$2:$G$3000&lt;&gt;""),""))))</f>
        <v/>
      </c>
    </row>
    <row r="640" spans="1:10" x14ac:dyDescent="0.25">
      <c r="A640" s="23" t="s">
        <v>803</v>
      </c>
      <c r="B640" s="37" t="str">
        <f>INDEX(Product!$B:$B,MATCH($A640,Product!$A:$A,0))</f>
        <v>[Profit Royal] Khẩu trang y tế N95 sợi Nanofiber - Nask</v>
      </c>
      <c r="C640" s="37" t="str">
        <f>INDEX(Product!$D:$D,MATCH($A640,Product!$A:$A,0))</f>
        <v>Khẩu trang y tế</v>
      </c>
      <c r="D640" s="23" t="s">
        <v>2367</v>
      </c>
      <c r="E640" s="37" t="str">
        <f>INDEX('Attribute Definition'!$B:$B,MATCH($D640,'Attribute Definition'!$A:$A,0))</f>
        <v>Chất liệu</v>
      </c>
      <c r="F640" s="38" t="s">
        <v>2657</v>
      </c>
      <c r="G640" s="39" t="str" cm="1">
        <f t="array" ref="G640">_xlfn.TEXTJOIN("; ",TRUE,_xlfn.UNIQUE(_xlfn._xlws.FILTER('Product Variant Attribute'!$F$2:$F$3000,('Product Variant Attribute'!$B$2:$B$3000=$A640)*('Product Variant Attribute'!$D$2:$D$3000=$D640),"")))</f>
        <v>Nanofiber</v>
      </c>
      <c r="H640" s="39"/>
      <c r="I640" s="39"/>
      <c r="J640" s="39" t="str" cm="1">
        <f t="array" ref="J640">IF($I640="","",_xlfn.TEXTJOIN("; ",TRUE,_xlfn.UNIQUE(_xlfn._xlws.FILTER($A$2:$A$3000,($C$2:$C$3000=$C640)*($E$2:$E$3000=$E640)*($G$2:$G$3000&lt;&gt;$G640)*($G$2:$G$3000&lt;&gt;""),""))))</f>
        <v/>
      </c>
    </row>
    <row r="641" spans="1:10" x14ac:dyDescent="0.25">
      <c r="A641" s="23" t="s">
        <v>803</v>
      </c>
      <c r="B641" s="37" t="str">
        <f>INDEX(Product!$B:$B,MATCH($A641,Product!$A:$A,0))</f>
        <v>[Profit Royal] Khẩu trang y tế N95 sợi Nanofiber - Nask</v>
      </c>
      <c r="C641" s="37" t="str">
        <f>INDEX(Product!$D:$D,MATCH($A641,Product!$A:$A,0))</f>
        <v>Khẩu trang y tế</v>
      </c>
      <c r="D641" s="23" t="s">
        <v>2471</v>
      </c>
      <c r="E641" s="37" t="str">
        <f>INDEX('Attribute Definition'!$B:$B,MATCH($D641,'Attribute Definition'!$A:$A,0))</f>
        <v>Dạng sản phẩm</v>
      </c>
      <c r="F641" s="38" t="s">
        <v>2657</v>
      </c>
      <c r="G641" s="39" t="str" cm="1">
        <f t="array" ref="G641">_xlfn.TEXTJOIN("; ",TRUE,_xlfn.UNIQUE(_xlfn._xlws.FILTER('Product Variant Attribute'!$F$2:$F$3000,('Product Variant Attribute'!$B$2:$B$3000=$A641)*('Product Variant Attribute'!$D$2:$D$3000=$D641),"")))</f>
        <v>Mặt nạ / mask</v>
      </c>
      <c r="H641" s="39"/>
      <c r="I641" s="39"/>
      <c r="J641" s="39" t="str" cm="1">
        <f t="array" ref="J641">IF($I641="","",_xlfn.TEXTJOIN("; ",TRUE,_xlfn.UNIQUE(_xlfn._xlws.FILTER($A$2:$A$3000,($C$2:$C$3000=$C641)*($E$2:$E$3000=$E641)*($G$2:$G$3000&lt;&gt;$G641)*($G$2:$G$3000&lt;&gt;""),""))))</f>
        <v/>
      </c>
    </row>
    <row r="642" spans="1:10" x14ac:dyDescent="0.25">
      <c r="A642" s="23" t="s">
        <v>804</v>
      </c>
      <c r="B642" s="37" t="str">
        <f>INDEX(Product!$B:$B,MATCH($A642,Product!$A:$A,0))</f>
        <v>[Roche] Thiết bị lấy máu tích hợp kim - Accu-Chek Safe-T-Pro Uno (Ø0.36mm)</v>
      </c>
      <c r="C642" s="37" t="str">
        <f>INDEX(Product!$D:$D,MATCH($A642,Product!$A:$A,0))</f>
        <v>Kim chích máu</v>
      </c>
      <c r="D642" s="23" t="s">
        <v>2342</v>
      </c>
      <c r="E642" s="37" t="str">
        <f>INDEX('Attribute Definition'!$B:$B,MATCH($D642,'Attribute Definition'!$A:$A,0))</f>
        <v>Kích thước</v>
      </c>
      <c r="F642" s="38" t="s">
        <v>2657</v>
      </c>
      <c r="G642" s="39" t="str" cm="1">
        <f t="array" ref="G642">_xlfn.TEXTJOIN("; ",TRUE,_xlfn.UNIQUE(_xlfn._xlws.FILTER('Product Variant Attribute'!$F$2:$F$3000,('Product Variant Attribute'!$B$2:$B$3000=$A642)*('Product Variant Attribute'!$D$2:$D$3000=$D642),"")))</f>
        <v>Ø0.36mm</v>
      </c>
      <c r="H642" s="39"/>
      <c r="I642" s="39"/>
      <c r="J642" s="39" t="str" cm="1">
        <f t="array" ref="J642">IF($I642="","",_xlfn.TEXTJOIN("; ",TRUE,_xlfn.UNIQUE(_xlfn._xlws.FILTER($A$2:$A$3000,($C$2:$C$3000=$C642)*($E$2:$E$3000=$E642)*($G$2:$G$3000&lt;&gt;$G642)*($G$2:$G$3000&lt;&gt;""),""))))</f>
        <v/>
      </c>
    </row>
    <row r="643" spans="1:10" x14ac:dyDescent="0.25">
      <c r="A643" s="23" t="s">
        <v>804</v>
      </c>
      <c r="B643" s="37" t="str">
        <f>INDEX(Product!$B:$B,MATCH($A643,Product!$A:$A,0))</f>
        <v>[Roche] Thiết bị lấy máu tích hợp kim - Accu-Chek Safe-T-Pro Uno (Ø0.36mm)</v>
      </c>
      <c r="C643" s="37" t="str">
        <f>INDEX(Product!$D:$D,MATCH($A643,Product!$A:$A,0))</f>
        <v>Kim chích máu</v>
      </c>
      <c r="D643" s="23" t="s">
        <v>2374</v>
      </c>
      <c r="E643" s="37" t="str">
        <f>INDEX('Attribute Definition'!$B:$B,MATCH($D643,'Attribute Definition'!$A:$A,0))</f>
        <v>Vô trùng</v>
      </c>
      <c r="F643" s="38" t="s">
        <v>2657</v>
      </c>
      <c r="G643" s="39" t="str" cm="1">
        <f t="array" ref="G643">_xlfn.TEXTJOIN("; ",TRUE,_xlfn.UNIQUE(_xlfn._xlws.FILTER('Product Variant Attribute'!$F$2:$F$3000,('Product Variant Attribute'!$B$2:$B$3000=$A643)*('Product Variant Attribute'!$D$2:$D$3000=$D643),"")))</f>
        <v>Có</v>
      </c>
      <c r="H643" s="39"/>
      <c r="I643" s="39"/>
      <c r="J643" s="39" t="str" cm="1">
        <f t="array" ref="J643">IF($I643="","",_xlfn.TEXTJOIN("; ",TRUE,_xlfn.UNIQUE(_xlfn._xlws.FILTER($A$2:$A$3000,($C$2:$C$3000=$C643)*($E$2:$E$3000=$E643)*($G$2:$G$3000&lt;&gt;$G643)*($G$2:$G$3000&lt;&gt;""),""))))</f>
        <v/>
      </c>
    </row>
    <row r="644" spans="1:10" x14ac:dyDescent="0.25">
      <c r="A644" s="23" t="s">
        <v>804</v>
      </c>
      <c r="B644" s="37" t="str">
        <f>INDEX(Product!$B:$B,MATCH($A644,Product!$A:$A,0))</f>
        <v>[Roche] Thiết bị lấy máu tích hợp kim - Accu-Chek Safe-T-Pro Uno (Ø0.36mm)</v>
      </c>
      <c r="C644" s="37" t="str">
        <f>INDEX(Product!$D:$D,MATCH($A644,Product!$A:$A,0))</f>
        <v>Kim chích máu</v>
      </c>
      <c r="D644" s="23" t="s">
        <v>2471</v>
      </c>
      <c r="E644" s="37" t="str">
        <f>INDEX('Attribute Definition'!$B:$B,MATCH($D644,'Attribute Definition'!$A:$A,0))</f>
        <v>Dạng sản phẩm</v>
      </c>
      <c r="F644" s="38" t="s">
        <v>2657</v>
      </c>
      <c r="G644" s="39" t="str" cm="1">
        <f t="array" ref="G644">_xlfn.TEXTJOIN("; ",TRUE,_xlfn.UNIQUE(_xlfn._xlws.FILTER('Product Variant Attribute'!$F$2:$F$3000,('Product Variant Attribute'!$B$2:$B$3000=$A644)*('Product Variant Attribute'!$D$2:$D$3000=$D644),"")))</f>
        <v>Dụng cụ / phụ kiện</v>
      </c>
      <c r="H644" s="39"/>
      <c r="I644" s="39"/>
      <c r="J644" s="39" t="str" cm="1">
        <f t="array" ref="J644">IF($I644="","",_xlfn.TEXTJOIN("; ",TRUE,_xlfn.UNIQUE(_xlfn._xlws.FILTER($A$2:$A$3000,($C$2:$C$3000=$C644)*($E$2:$E$3000=$E644)*($G$2:$G$3000&lt;&gt;$G644)*($G$2:$G$3000&lt;&gt;""),""))))</f>
        <v/>
      </c>
    </row>
    <row r="645" spans="1:10" x14ac:dyDescent="0.25">
      <c r="A645" s="23" t="s">
        <v>805</v>
      </c>
      <c r="B645" s="37" t="str">
        <f>INDEX(Product!$B:$B,MATCH($A645,Product!$A:$A,0))</f>
        <v>[Sinocare] Kim chích máu - Sinodraw</v>
      </c>
      <c r="C645" s="37" t="str">
        <f>INDEX(Product!$D:$D,MATCH($A645,Product!$A:$A,0))</f>
        <v>Kim chích máu</v>
      </c>
      <c r="D645" s="23" t="s">
        <v>2471</v>
      </c>
      <c r="E645" s="37" t="str">
        <f>INDEX('Attribute Definition'!$B:$B,MATCH($D645,'Attribute Definition'!$A:$A,0))</f>
        <v>Dạng sản phẩm</v>
      </c>
      <c r="F645" s="38" t="s">
        <v>2657</v>
      </c>
      <c r="G645" s="39" t="str" cm="1">
        <f t="array" ref="G645">_xlfn.TEXTJOIN("; ",TRUE,_xlfn.UNIQUE(_xlfn._xlws.FILTER('Product Variant Attribute'!$F$2:$F$3000,('Product Variant Attribute'!$B$2:$B$3000=$A645)*('Product Variant Attribute'!$D$2:$D$3000=$D645),"")))</f>
        <v>Dụng cụ / phụ kiện</v>
      </c>
      <c r="H645" s="39"/>
      <c r="I645" s="39"/>
      <c r="J645" s="39" t="str" cm="1">
        <f t="array" ref="J645">IF($I645="","",_xlfn.TEXTJOIN("; ",TRUE,_xlfn.UNIQUE(_xlfn._xlws.FILTER($A$2:$A$3000,($C$2:$C$3000=$C645)*($E$2:$E$3000=$E645)*($G$2:$G$3000&lt;&gt;$G645)*($G$2:$G$3000&lt;&gt;""),""))))</f>
        <v/>
      </c>
    </row>
    <row r="646" spans="1:10" ht="30" x14ac:dyDescent="0.25">
      <c r="A646" s="23" t="s">
        <v>806</v>
      </c>
      <c r="B646" s="37" t="str">
        <f>INDEX(Product!$B:$B,MATCH($A646,Product!$A:$A,0))</f>
        <v>[SungShim] Bơm tiêm insulin (0.5ml)</v>
      </c>
      <c r="C646" s="37" t="str">
        <f>INDEX(Product!$D:$D,MATCH($A646,Product!$A:$A,0))</f>
        <v>Bơm tiêm insulin</v>
      </c>
      <c r="D646" s="23" t="s">
        <v>2349</v>
      </c>
      <c r="E646" s="37" t="str">
        <f>INDEX('Attribute Definition'!$B:$B,MATCH($D646,'Attribute Definition'!$A:$A,0))</f>
        <v>Dung tích</v>
      </c>
      <c r="F646" s="38" t="s">
        <v>2657</v>
      </c>
      <c r="G646" s="39" t="str" cm="1">
        <f t="array" ref="G646">_xlfn.TEXTJOIN("; ",TRUE,_xlfn.UNIQUE(_xlfn._xlws.FILTER('Product Variant Attribute'!$F$2:$F$3000,('Product Variant Attribute'!$B$2:$B$3000=$A646)*('Product Variant Attribute'!$D$2:$D$3000=$D646),"")))</f>
        <v>0.5ml</v>
      </c>
      <c r="H646" s="39"/>
      <c r="I646" s="39" t="s">
        <v>2764</v>
      </c>
      <c r="J646" s="39" t="str" cm="1">
        <f t="array" ref="J646">IF($I646="","",_xlfn.TEXTJOIN("; ",TRUE,_xlfn.UNIQUE(_xlfn._xlws.FILTER($A$2:$A$3000,($C$2:$C$3000=$C646)*($E$2:$E$3000=$E646)*($G$2:$G$3000&lt;&gt;$G646)*($G$2:$G$3000&lt;&gt;""),""))))</f>
        <v>PRODUCT-00246; PRODUCT-00294</v>
      </c>
    </row>
    <row r="647" spans="1:10" x14ac:dyDescent="0.25">
      <c r="A647" s="23" t="s">
        <v>806</v>
      </c>
      <c r="B647" s="37" t="str">
        <f>INDEX(Product!$B:$B,MATCH($A647,Product!$A:$A,0))</f>
        <v>[SungShim] Bơm tiêm insulin (0.5ml)</v>
      </c>
      <c r="C647" s="37" t="str">
        <f>INDEX(Product!$D:$D,MATCH($A647,Product!$A:$A,0))</f>
        <v>Bơm tiêm insulin</v>
      </c>
      <c r="D647" s="23" t="s">
        <v>2471</v>
      </c>
      <c r="E647" s="37" t="str">
        <f>INDEX('Attribute Definition'!$B:$B,MATCH($D647,'Attribute Definition'!$A:$A,0))</f>
        <v>Dạng sản phẩm</v>
      </c>
      <c r="F647" s="38" t="s">
        <v>2657</v>
      </c>
      <c r="G647" s="39" t="str" cm="1">
        <f t="array" ref="G647">_xlfn.TEXTJOIN("; ",TRUE,_xlfn.UNIQUE(_xlfn._xlws.FILTER('Product Variant Attribute'!$F$2:$F$3000,('Product Variant Attribute'!$B$2:$B$3000=$A647)*('Product Variant Attribute'!$D$2:$D$3000=$D647),"")))</f>
        <v>Bơm tiêm / bình chứa</v>
      </c>
      <c r="H647" s="39"/>
      <c r="I647" s="39"/>
      <c r="J647" s="39" t="str" cm="1">
        <f t="array" ref="J647">IF($I647="","",_xlfn.TEXTJOIN("; ",TRUE,_xlfn.UNIQUE(_xlfn._xlws.FILTER($A$2:$A$3000,($C$2:$C$3000=$C647)*($E$2:$E$3000=$E647)*($G$2:$G$3000&lt;&gt;$G647)*($G$2:$G$3000&lt;&gt;""),""))))</f>
        <v/>
      </c>
    </row>
    <row r="648" spans="1:10" x14ac:dyDescent="0.25">
      <c r="A648" s="23" t="s">
        <v>807</v>
      </c>
      <c r="B648" s="37" t="str">
        <f>INDEX(Product!$B:$B,MATCH($A648,Product!$A:$A,0))</f>
        <v>[Vinahankook] Bơm tiêm insulin sử dụng 1 lần - 1ml U100</v>
      </c>
      <c r="C648" s="37" t="str">
        <f>INDEX(Product!$D:$D,MATCH($A648,Product!$A:$A,0))</f>
        <v>Bơm tiêm insulin</v>
      </c>
      <c r="D648" s="23" t="s">
        <v>2349</v>
      </c>
      <c r="E648" s="37" t="str">
        <f>INDEX('Attribute Definition'!$B:$B,MATCH($D648,'Attribute Definition'!$A:$A,0))</f>
        <v>Dung tích</v>
      </c>
      <c r="F648" s="38" t="s">
        <v>2657</v>
      </c>
      <c r="G648" s="39" t="str" cm="1">
        <f t="array" ref="G648">_xlfn.TEXTJOIN("; ",TRUE,_xlfn.UNIQUE(_xlfn._xlws.FILTER('Product Variant Attribute'!$F$2:$F$3000,('Product Variant Attribute'!$B$2:$B$3000=$A648)*('Product Variant Attribute'!$D$2:$D$3000=$D648),"")))</f>
        <v>1ml</v>
      </c>
      <c r="H648" s="39"/>
      <c r="I648" s="39" t="s">
        <v>2765</v>
      </c>
      <c r="J648" s="39" t="str" cm="1">
        <f t="array" ref="J648">IF($I648="","",_xlfn.TEXTJOIN("; ",TRUE,_xlfn.UNIQUE(_xlfn._xlws.FILTER($A$2:$A$3000,($C$2:$C$3000=$C648)*($E$2:$E$3000=$E648)*($G$2:$G$3000&lt;&gt;$G648)*($G$2:$G$3000&lt;&gt;""),""))))</f>
        <v>PRODUCT-00245</v>
      </c>
    </row>
    <row r="649" spans="1:10" x14ac:dyDescent="0.25">
      <c r="A649" s="23" t="s">
        <v>807</v>
      </c>
      <c r="B649" s="37" t="str">
        <f>INDEX(Product!$B:$B,MATCH($A649,Product!$A:$A,0))</f>
        <v>[Vinahankook] Bơm tiêm insulin sử dụng 1 lần - 1ml U100</v>
      </c>
      <c r="C649" s="37" t="str">
        <f>INDEX(Product!$D:$D,MATCH($A649,Product!$A:$A,0))</f>
        <v>Bơm tiêm insulin</v>
      </c>
      <c r="D649" s="23" t="s">
        <v>2374</v>
      </c>
      <c r="E649" s="37" t="str">
        <f>INDEX('Attribute Definition'!$B:$B,MATCH($D649,'Attribute Definition'!$A:$A,0))</f>
        <v>Vô trùng</v>
      </c>
      <c r="F649" s="38" t="s">
        <v>2657</v>
      </c>
      <c r="G649" s="39" t="str" cm="1">
        <f t="array" ref="G649">_xlfn.TEXTJOIN("; ",TRUE,_xlfn.UNIQUE(_xlfn._xlws.FILTER('Product Variant Attribute'!$F$2:$F$3000,('Product Variant Attribute'!$B$2:$B$3000=$A649)*('Product Variant Attribute'!$D$2:$D$3000=$D649),"")))</f>
        <v>Có</v>
      </c>
      <c r="H649" s="39"/>
      <c r="I649" s="39"/>
      <c r="J649" s="39" t="str" cm="1">
        <f t="array" ref="J649">IF($I649="","",_xlfn.TEXTJOIN("; ",TRUE,_xlfn.UNIQUE(_xlfn._xlws.FILTER($A$2:$A$3000,($C$2:$C$3000=$C649)*($E$2:$E$3000=$E649)*($G$2:$G$3000&lt;&gt;$G649)*($G$2:$G$3000&lt;&gt;""),""))))</f>
        <v/>
      </c>
    </row>
    <row r="650" spans="1:10" x14ac:dyDescent="0.25">
      <c r="A650" s="23" t="s">
        <v>807</v>
      </c>
      <c r="B650" s="37" t="str">
        <f>INDEX(Product!$B:$B,MATCH($A650,Product!$A:$A,0))</f>
        <v>[Vinahankook] Bơm tiêm insulin sử dụng 1 lần - 1ml U100</v>
      </c>
      <c r="C650" s="37" t="str">
        <f>INDEX(Product!$D:$D,MATCH($A650,Product!$A:$A,0))</f>
        <v>Bơm tiêm insulin</v>
      </c>
      <c r="D650" s="23" t="s">
        <v>2454</v>
      </c>
      <c r="E650" s="37" t="str">
        <f>INDEX('Attribute Definition'!$B:$B,MATCH($D650,'Attribute Definition'!$A:$A,0))</f>
        <v>Thời gian sử dụng</v>
      </c>
      <c r="F650" s="38" t="s">
        <v>2657</v>
      </c>
      <c r="G650" s="39" t="str" cm="1">
        <f t="array" ref="G650">_xlfn.TEXTJOIN("; ",TRUE,_xlfn.UNIQUE(_xlfn._xlws.FILTER('Product Variant Attribute'!$F$2:$F$3000,('Product Variant Attribute'!$B$2:$B$3000=$A650)*('Product Variant Attribute'!$D$2:$D$3000=$D650),"")))</f>
        <v>Dùng 1 lần</v>
      </c>
      <c r="H650" s="39"/>
      <c r="I650" s="39"/>
      <c r="J650" s="39" t="str" cm="1">
        <f t="array" ref="J650">IF($I650="","",_xlfn.TEXTJOIN("; ",TRUE,_xlfn.UNIQUE(_xlfn._xlws.FILTER($A$2:$A$3000,($C$2:$C$3000=$C650)*($E$2:$E$3000=$E650)*($G$2:$G$3000&lt;&gt;$G650)*($G$2:$G$3000&lt;&gt;""),""))))</f>
        <v/>
      </c>
    </row>
    <row r="651" spans="1:10" x14ac:dyDescent="0.25">
      <c r="A651" s="23" t="s">
        <v>807</v>
      </c>
      <c r="B651" s="37" t="str">
        <f>INDEX(Product!$B:$B,MATCH($A651,Product!$A:$A,0))</f>
        <v>[Vinahankook] Bơm tiêm insulin sử dụng 1 lần - 1ml U100</v>
      </c>
      <c r="C651" s="37" t="str">
        <f>INDEX(Product!$D:$D,MATCH($A651,Product!$A:$A,0))</f>
        <v>Bơm tiêm insulin</v>
      </c>
      <c r="D651" s="23" t="s">
        <v>2471</v>
      </c>
      <c r="E651" s="37" t="str">
        <f>INDEX('Attribute Definition'!$B:$B,MATCH($D651,'Attribute Definition'!$A:$A,0))</f>
        <v>Dạng sản phẩm</v>
      </c>
      <c r="F651" s="38" t="s">
        <v>2657</v>
      </c>
      <c r="G651" s="39" t="str" cm="1">
        <f t="array" ref="G651">_xlfn.TEXTJOIN("; ",TRUE,_xlfn.UNIQUE(_xlfn._xlws.FILTER('Product Variant Attribute'!$F$2:$F$3000,('Product Variant Attribute'!$B$2:$B$3000=$A651)*('Product Variant Attribute'!$D$2:$D$3000=$D651),"")))</f>
        <v>Bơm tiêm / bình chứa</v>
      </c>
      <c r="H651" s="39"/>
      <c r="I651" s="39"/>
      <c r="J651" s="39" t="str" cm="1">
        <f t="array" ref="J651">IF($I651="","",_xlfn.TEXTJOIN("; ",TRUE,_xlfn.UNIQUE(_xlfn._xlws.FILTER($A$2:$A$3000,($C$2:$C$3000=$C651)*($E$2:$E$3000=$E651)*($G$2:$G$3000&lt;&gt;$G651)*($G$2:$G$3000&lt;&gt;""),""))))</f>
        <v/>
      </c>
    </row>
    <row r="652" spans="1:10" x14ac:dyDescent="0.25">
      <c r="A652" s="23" t="s">
        <v>808</v>
      </c>
      <c r="B652" s="37" t="str">
        <f>INDEX(Product!$B:$B,MATCH($A652,Product!$A:$A,0))</f>
        <v>[Welford] Dây truyền dịch đếm giọt - WELCARE IF6006</v>
      </c>
      <c r="C652" s="37" t="str">
        <f>INDEX(Product!$D:$D,MATCH($A652,Product!$A:$A,0))</f>
        <v>Dây truyền dịch</v>
      </c>
      <c r="D652" s="23" t="s">
        <v>2374</v>
      </c>
      <c r="E652" s="37" t="str">
        <f>INDEX('Attribute Definition'!$B:$B,MATCH($D652,'Attribute Definition'!$A:$A,0))</f>
        <v>Vô trùng</v>
      </c>
      <c r="F652" s="38" t="s">
        <v>2657</v>
      </c>
      <c r="G652" s="39" t="str" cm="1">
        <f t="array" ref="G652">_xlfn.TEXTJOIN("; ",TRUE,_xlfn.UNIQUE(_xlfn._xlws.FILTER('Product Variant Attribute'!$F$2:$F$3000,('Product Variant Attribute'!$B$2:$B$3000=$A652)*('Product Variant Attribute'!$D$2:$D$3000=$D652),"")))</f>
        <v>Có</v>
      </c>
      <c r="H652" s="39"/>
      <c r="I652" s="39"/>
      <c r="J652" s="39" t="str" cm="1">
        <f t="array" ref="J652">IF($I652="","",_xlfn.TEXTJOIN("; ",TRUE,_xlfn.UNIQUE(_xlfn._xlws.FILTER($A$2:$A$3000,($C$2:$C$3000=$C652)*($E$2:$E$3000=$E652)*($G$2:$G$3000&lt;&gt;$G652)*($G$2:$G$3000&lt;&gt;""),""))))</f>
        <v/>
      </c>
    </row>
    <row r="653" spans="1:10" x14ac:dyDescent="0.25">
      <c r="A653" s="23" t="s">
        <v>808</v>
      </c>
      <c r="B653" s="37" t="str">
        <f>INDEX(Product!$B:$B,MATCH($A653,Product!$A:$A,0))</f>
        <v>[Welford] Dây truyền dịch đếm giọt - WELCARE IF6006</v>
      </c>
      <c r="C653" s="37" t="str">
        <f>INDEX(Product!$D:$D,MATCH($A653,Product!$A:$A,0))</f>
        <v>Dây truyền dịch</v>
      </c>
      <c r="D653" s="23" t="s">
        <v>2471</v>
      </c>
      <c r="E653" s="37" t="str">
        <f>INDEX('Attribute Definition'!$B:$B,MATCH($D653,'Attribute Definition'!$A:$A,0))</f>
        <v>Dạng sản phẩm</v>
      </c>
      <c r="F653" s="38" t="s">
        <v>2657</v>
      </c>
      <c r="G653" s="39" t="str" cm="1">
        <f t="array" ref="G653">_xlfn.TEXTJOIN("; ",TRUE,_xlfn.UNIQUE(_xlfn._xlws.FILTER('Product Variant Attribute'!$F$2:$F$3000,('Product Variant Attribute'!$B$2:$B$3000=$A653)*('Product Variant Attribute'!$D$2:$D$3000=$D653),"")))</f>
        <v>Ống / dây</v>
      </c>
      <c r="H653" s="39"/>
      <c r="I653" s="39"/>
      <c r="J653" s="39" t="str" cm="1">
        <f t="array" ref="J653">IF($I653="","",_xlfn.TEXTJOIN("; ",TRUE,_xlfn.UNIQUE(_xlfn._xlws.FILTER($A$2:$A$3000,($C$2:$C$3000=$C653)*($E$2:$E$3000=$E653)*($G$2:$G$3000&lt;&gt;$G653)*($G$2:$G$3000&lt;&gt;""),""))))</f>
        <v/>
      </c>
    </row>
    <row r="654" spans="1:10" x14ac:dyDescent="0.25">
      <c r="A654" s="23" t="s">
        <v>809</v>
      </c>
      <c r="B654" s="37" t="str">
        <f>INDEX(Product!$B:$B,MATCH($A654,Product!$A:$A,0))</f>
        <v>[Young Chemical Vina] Băng keo cố định kim luồn có gạc - Wound - IV (6cmx7cm)</v>
      </c>
      <c r="C654" s="37" t="str">
        <f>INDEX(Product!$D:$D,MATCH($A654,Product!$A:$A,0))</f>
        <v>Băng keo cố định kim luồn</v>
      </c>
      <c r="D654" s="23" t="s">
        <v>2342</v>
      </c>
      <c r="E654" s="37" t="str">
        <f>INDEX('Attribute Definition'!$B:$B,MATCH($D654,'Attribute Definition'!$A:$A,0))</f>
        <v>Kích thước</v>
      </c>
      <c r="F654" s="38" t="s">
        <v>2657</v>
      </c>
      <c r="G654" s="39" t="str" cm="1">
        <f t="array" ref="G654">_xlfn.TEXTJOIN("; ",TRUE,_xlfn.UNIQUE(_xlfn._xlws.FILTER('Product Variant Attribute'!$F$2:$F$3000,('Product Variant Attribute'!$B$2:$B$3000=$A654)*('Product Variant Attribute'!$D$2:$D$3000=$D654),"")))</f>
        <v>6cmx7cm</v>
      </c>
      <c r="H654" s="39"/>
      <c r="I654" s="39"/>
      <c r="J654" s="39" t="str" cm="1">
        <f t="array" ref="J654">IF($I654="","",_xlfn.TEXTJOIN("; ",TRUE,_xlfn.UNIQUE(_xlfn._xlws.FILTER($A$2:$A$3000,($C$2:$C$3000=$C654)*($E$2:$E$3000=$E654)*($G$2:$G$3000&lt;&gt;$G654)*($G$2:$G$3000&lt;&gt;""),""))))</f>
        <v/>
      </c>
    </row>
    <row r="655" spans="1:10" x14ac:dyDescent="0.25">
      <c r="A655" s="23" t="s">
        <v>809</v>
      </c>
      <c r="B655" s="37" t="str">
        <f>INDEX(Product!$B:$B,MATCH($A655,Product!$A:$A,0))</f>
        <v>[Young Chemical Vina] Băng keo cố định kim luồn có gạc - Wound - IV (6cmx7cm)</v>
      </c>
      <c r="C655" s="37" t="str">
        <f>INDEX(Product!$D:$D,MATCH($A655,Product!$A:$A,0))</f>
        <v>Băng keo cố định kim luồn</v>
      </c>
      <c r="D655" s="23" t="s">
        <v>2367</v>
      </c>
      <c r="E655" s="37" t="str">
        <f>INDEX('Attribute Definition'!$B:$B,MATCH($D655,'Attribute Definition'!$A:$A,0))</f>
        <v>Chất liệu</v>
      </c>
      <c r="F655" s="38" t="s">
        <v>2657</v>
      </c>
      <c r="G655" s="39" t="str" cm="1">
        <f t="array" ref="G655">_xlfn.TEXTJOIN("; ",TRUE,_xlfn.UNIQUE(_xlfn._xlws.FILTER('Product Variant Attribute'!$F$2:$F$3000,('Product Variant Attribute'!$B$2:$B$3000=$A655)*('Product Variant Attribute'!$D$2:$D$3000=$D655),"")))</f>
        <v>Vải không dệt</v>
      </c>
      <c r="H655" s="39"/>
      <c r="I655" s="39"/>
      <c r="J655" s="39" t="str" cm="1">
        <f t="array" ref="J655">IF($I655="","",_xlfn.TEXTJOIN("; ",TRUE,_xlfn.UNIQUE(_xlfn._xlws.FILTER($A$2:$A$3000,($C$2:$C$3000=$C655)*($E$2:$E$3000=$E655)*($G$2:$G$3000&lt;&gt;$G655)*($G$2:$G$3000&lt;&gt;""),""))))</f>
        <v/>
      </c>
    </row>
    <row r="656" spans="1:10" x14ac:dyDescent="0.25">
      <c r="A656" s="23" t="s">
        <v>809</v>
      </c>
      <c r="B656" s="37" t="str">
        <f>INDEX(Product!$B:$B,MATCH($A656,Product!$A:$A,0))</f>
        <v>[Young Chemical Vina] Băng keo cố định kim luồn có gạc - Wound - IV (6cmx7cm)</v>
      </c>
      <c r="C656" s="37" t="str">
        <f>INDEX(Product!$D:$D,MATCH($A656,Product!$A:$A,0))</f>
        <v>Băng keo cố định kim luồn</v>
      </c>
      <c r="D656" s="23" t="s">
        <v>2471</v>
      </c>
      <c r="E656" s="37" t="str">
        <f>INDEX('Attribute Definition'!$B:$B,MATCH($D656,'Attribute Definition'!$A:$A,0))</f>
        <v>Dạng sản phẩm</v>
      </c>
      <c r="F656" s="38" t="s">
        <v>2657</v>
      </c>
      <c r="G656" s="39" t="str" cm="1">
        <f t="array" ref="G656">_xlfn.TEXTJOIN("; ",TRUE,_xlfn.UNIQUE(_xlfn._xlws.FILTER('Product Variant Attribute'!$F$2:$F$3000,('Product Variant Attribute'!$B$2:$B$3000=$A656)*('Product Variant Attribute'!$D$2:$D$3000=$D656),"")))</f>
        <v>Miếng dán / gạc</v>
      </c>
      <c r="H656" s="39"/>
      <c r="I656" s="39"/>
      <c r="J656" s="39" t="str" cm="1">
        <f t="array" ref="J656">IF($I656="","",_xlfn.TEXTJOIN("; ",TRUE,_xlfn.UNIQUE(_xlfn._xlws.FILTER($A$2:$A$3000,($C$2:$C$3000=$C656)*($E$2:$E$3000=$E656)*($G$2:$G$3000&lt;&gt;$G656)*($G$2:$G$3000&lt;&gt;""),""))))</f>
        <v/>
      </c>
    </row>
    <row r="657" spans="1:10" x14ac:dyDescent="0.25">
      <c r="A657" s="23" t="s">
        <v>810</v>
      </c>
      <c r="B657" s="37" t="str">
        <f>INDEX(Product!$B:$B,MATCH($A657,Product!$A:$A,0))</f>
        <v>[Young Chemical Vina] Băng keo cố định kim luồn không thấm nước không gạc - Adflex - IV (5.1cmx6cm)</v>
      </c>
      <c r="C657" s="37" t="str">
        <f>INDEX(Product!$D:$D,MATCH($A657,Product!$A:$A,0))</f>
        <v>Băng keo cố định kim luồn</v>
      </c>
      <c r="D657" s="23" t="s">
        <v>2342</v>
      </c>
      <c r="E657" s="37" t="str">
        <f>INDEX('Attribute Definition'!$B:$B,MATCH($D657,'Attribute Definition'!$A:$A,0))</f>
        <v>Kích thước</v>
      </c>
      <c r="F657" s="38" t="s">
        <v>2657</v>
      </c>
      <c r="G657" s="39" t="str" cm="1">
        <f t="array" ref="G657">_xlfn.TEXTJOIN("; ",TRUE,_xlfn.UNIQUE(_xlfn._xlws.FILTER('Product Variant Attribute'!$F$2:$F$3000,('Product Variant Attribute'!$B$2:$B$3000=$A657)*('Product Variant Attribute'!$D$2:$D$3000=$D657),"")))</f>
        <v>5.1cmx6cm</v>
      </c>
      <c r="H657" s="39"/>
      <c r="I657" s="39"/>
      <c r="J657" s="39" t="str" cm="1">
        <f t="array" ref="J657">IF($I657="","",_xlfn.TEXTJOIN("; ",TRUE,_xlfn.UNIQUE(_xlfn._xlws.FILTER($A$2:$A$3000,($C$2:$C$3000=$C657)*($E$2:$E$3000=$E657)*($G$2:$G$3000&lt;&gt;$G657)*($G$2:$G$3000&lt;&gt;""),""))))</f>
        <v/>
      </c>
    </row>
    <row r="658" spans="1:10" x14ac:dyDescent="0.25">
      <c r="A658" s="23" t="s">
        <v>810</v>
      </c>
      <c r="B658" s="37" t="str">
        <f>INDEX(Product!$B:$B,MATCH($A658,Product!$A:$A,0))</f>
        <v>[Young Chemical Vina] Băng keo cố định kim luồn không thấm nước không gạc - Adflex - IV (5.1cmx6cm)</v>
      </c>
      <c r="C658" s="37" t="str">
        <f>INDEX(Product!$D:$D,MATCH($A658,Product!$A:$A,0))</f>
        <v>Băng keo cố định kim luồn</v>
      </c>
      <c r="D658" s="23" t="s">
        <v>2381</v>
      </c>
      <c r="E658" s="37" t="str">
        <f>INDEX('Attribute Definition'!$B:$B,MATCH($D658,'Attribute Definition'!$A:$A,0))</f>
        <v>Chống nước</v>
      </c>
      <c r="F658" s="38" t="s">
        <v>2657</v>
      </c>
      <c r="G658" s="39" t="str" cm="1">
        <f t="array" ref="G658">_xlfn.TEXTJOIN("; ",TRUE,_xlfn.UNIQUE(_xlfn._xlws.FILTER('Product Variant Attribute'!$F$2:$F$3000,('Product Variant Attribute'!$B$2:$B$3000=$A658)*('Product Variant Attribute'!$D$2:$D$3000=$D658),"")))</f>
        <v>Có</v>
      </c>
      <c r="H658" s="39"/>
      <c r="I658" s="39"/>
      <c r="J658" s="39" t="str" cm="1">
        <f t="array" ref="J658">IF($I658="","",_xlfn.TEXTJOIN("; ",TRUE,_xlfn.UNIQUE(_xlfn._xlws.FILTER($A$2:$A$3000,($C$2:$C$3000=$C658)*($E$2:$E$3000=$E658)*($G$2:$G$3000&lt;&gt;$G658)*($G$2:$G$3000&lt;&gt;""),""))))</f>
        <v/>
      </c>
    </row>
    <row r="659" spans="1:10" x14ac:dyDescent="0.25">
      <c r="A659" s="23" t="s">
        <v>810</v>
      </c>
      <c r="B659" s="37" t="str">
        <f>INDEX(Product!$B:$B,MATCH($A659,Product!$A:$A,0))</f>
        <v>[Young Chemical Vina] Băng keo cố định kim luồn không thấm nước không gạc - Adflex - IV (5.1cmx6cm)</v>
      </c>
      <c r="C659" s="37" t="str">
        <f>INDEX(Product!$D:$D,MATCH($A659,Product!$A:$A,0))</f>
        <v>Băng keo cố định kim luồn</v>
      </c>
      <c r="D659" s="23" t="s">
        <v>2471</v>
      </c>
      <c r="E659" s="37" t="str">
        <f>INDEX('Attribute Definition'!$B:$B,MATCH($D659,'Attribute Definition'!$A:$A,0))</f>
        <v>Dạng sản phẩm</v>
      </c>
      <c r="F659" s="38" t="s">
        <v>2657</v>
      </c>
      <c r="G659" s="39" t="str" cm="1">
        <f t="array" ref="G659">_xlfn.TEXTJOIN("; ",TRUE,_xlfn.UNIQUE(_xlfn._xlws.FILTER('Product Variant Attribute'!$F$2:$F$3000,('Product Variant Attribute'!$B$2:$B$3000=$A659)*('Product Variant Attribute'!$D$2:$D$3000=$D659),"")))</f>
        <v>Miếng dán / gạc</v>
      </c>
      <c r="H659" s="39"/>
      <c r="I659" s="39"/>
      <c r="J659" s="39" t="str" cm="1">
        <f t="array" ref="J659">IF($I659="","",_xlfn.TEXTJOIN("; ",TRUE,_xlfn.UNIQUE(_xlfn._xlws.FILTER($A$2:$A$3000,($C$2:$C$3000=$C659)*($E$2:$E$3000=$E659)*($G$2:$G$3000&lt;&gt;$G659)*($G$2:$G$3000&lt;&gt;""),""))))</f>
        <v/>
      </c>
    </row>
    <row r="660" spans="1:10" x14ac:dyDescent="0.25">
      <c r="A660" s="23" t="s">
        <v>1474</v>
      </c>
      <c r="B660" s="37" t="str">
        <f>INDEX(Product!$B:$B,MATCH($A660,Product!$A:$A,0))</f>
        <v>[Young Chemical Vina] Miếng dán mụn - Somaderm Spot (24 miếng)</v>
      </c>
      <c r="C660" s="37" t="str">
        <f>INDEX(Product!$D:$D,MATCH($A660,Product!$A:$A,0))</f>
        <v>Miếng dán mụn</v>
      </c>
      <c r="D660" s="23" t="s">
        <v>2362</v>
      </c>
      <c r="E660" s="37" t="str">
        <f>INDEX('Attribute Definition'!$B:$B,MATCH($D660,'Attribute Definition'!$A:$A,0))</f>
        <v>Số miếng / hộp</v>
      </c>
      <c r="F660" s="38" t="s">
        <v>2657</v>
      </c>
      <c r="G660" s="39" t="str" cm="1">
        <f t="array" ref="G660">_xlfn.TEXTJOIN("; ",TRUE,_xlfn.UNIQUE(_xlfn._xlws.FILTER('Product Variant Attribute'!$F$2:$F$3000,('Product Variant Attribute'!$B$2:$B$3000=$A660)*('Product Variant Attribute'!$D$2:$D$3000=$D660),"")))</f>
        <v>24 miếng</v>
      </c>
      <c r="H660" s="39"/>
      <c r="I660" s="39"/>
      <c r="J660" s="39" t="str" cm="1">
        <f t="array" ref="J660">IF($I660="","",_xlfn.TEXTJOIN("; ",TRUE,_xlfn.UNIQUE(_xlfn._xlws.FILTER($A$2:$A$3000,($C$2:$C$3000=$C660)*($E$2:$E$3000=$E660)*($G$2:$G$3000&lt;&gt;$G660)*($G$2:$G$3000&lt;&gt;""),""))))</f>
        <v/>
      </c>
    </row>
    <row r="661" spans="1:10" x14ac:dyDescent="0.25">
      <c r="A661" s="23" t="s">
        <v>1474</v>
      </c>
      <c r="B661" s="37" t="str">
        <f>INDEX(Product!$B:$B,MATCH($A661,Product!$A:$A,0))</f>
        <v>[Young Chemical Vina] Miếng dán mụn - Somaderm Spot (24 miếng)</v>
      </c>
      <c r="C661" s="37" t="str">
        <f>INDEX(Product!$D:$D,MATCH($A661,Product!$A:$A,0))</f>
        <v>Miếng dán mụn</v>
      </c>
      <c r="D661" s="23" t="s">
        <v>2367</v>
      </c>
      <c r="E661" s="37" t="str">
        <f>INDEX('Attribute Definition'!$B:$B,MATCH($D661,'Attribute Definition'!$A:$A,0))</f>
        <v>Chất liệu</v>
      </c>
      <c r="F661" s="38" t="s">
        <v>2657</v>
      </c>
      <c r="G661" s="39" t="str" cm="1">
        <f t="array" ref="G661">_xlfn.TEXTJOIN("; ",TRUE,_xlfn.UNIQUE(_xlfn._xlws.FILTER('Product Variant Attribute'!$F$2:$F$3000,('Product Variant Attribute'!$B$2:$B$3000=$A661)*('Product Variant Attribute'!$D$2:$D$3000=$D661),"")))</f>
        <v>Hydrocolloid</v>
      </c>
      <c r="H661" s="39"/>
      <c r="I661" s="39"/>
      <c r="J661" s="39" t="str" cm="1">
        <f t="array" ref="J661">IF($I661="","",_xlfn.TEXTJOIN("; ",TRUE,_xlfn.UNIQUE(_xlfn._xlws.FILTER($A$2:$A$3000,($C$2:$C$3000=$C661)*($E$2:$E$3000=$E661)*($G$2:$G$3000&lt;&gt;$G661)*($G$2:$G$3000&lt;&gt;""),""))))</f>
        <v/>
      </c>
    </row>
    <row r="662" spans="1:10" x14ac:dyDescent="0.25">
      <c r="A662" s="23" t="s">
        <v>1474</v>
      </c>
      <c r="B662" s="37" t="str">
        <f>INDEX(Product!$B:$B,MATCH($A662,Product!$A:$A,0))</f>
        <v>[Young Chemical Vina] Miếng dán mụn - Somaderm Spot (24 miếng)</v>
      </c>
      <c r="C662" s="37" t="str">
        <f>INDEX(Product!$D:$D,MATCH($A662,Product!$A:$A,0))</f>
        <v>Miếng dán mụn</v>
      </c>
      <c r="D662" s="23" t="s">
        <v>2381</v>
      </c>
      <c r="E662" s="37" t="str">
        <f>INDEX('Attribute Definition'!$B:$B,MATCH($D662,'Attribute Definition'!$A:$A,0))</f>
        <v>Chống nước</v>
      </c>
      <c r="F662" s="38" t="s">
        <v>2657</v>
      </c>
      <c r="G662" s="39" t="str" cm="1">
        <f t="array" ref="G662">_xlfn.TEXTJOIN("; ",TRUE,_xlfn.UNIQUE(_xlfn._xlws.FILTER('Product Variant Attribute'!$F$2:$F$3000,('Product Variant Attribute'!$B$2:$B$3000=$A662)*('Product Variant Attribute'!$D$2:$D$3000=$D662),"")))</f>
        <v>Có</v>
      </c>
      <c r="H662" s="39"/>
      <c r="I662" s="39"/>
      <c r="J662" s="39" t="str" cm="1">
        <f t="array" ref="J662">IF($I662="","",_xlfn.TEXTJOIN("; ",TRUE,_xlfn.UNIQUE(_xlfn._xlws.FILTER($A$2:$A$3000,($C$2:$C$3000=$C662)*($E$2:$E$3000=$E662)*($G$2:$G$3000&lt;&gt;$G662)*($G$2:$G$3000&lt;&gt;""),""))))</f>
        <v/>
      </c>
    </row>
    <row r="663" spans="1:10" x14ac:dyDescent="0.25">
      <c r="A663" s="23" t="s">
        <v>1474</v>
      </c>
      <c r="B663" s="37" t="str">
        <f>INDEX(Product!$B:$B,MATCH($A663,Product!$A:$A,0))</f>
        <v>[Young Chemical Vina] Miếng dán mụn - Somaderm Spot (24 miếng)</v>
      </c>
      <c r="C663" s="37" t="str">
        <f>INDEX(Product!$D:$D,MATCH($A663,Product!$A:$A,0))</f>
        <v>Miếng dán mụn</v>
      </c>
      <c r="D663" s="23" t="s">
        <v>2471</v>
      </c>
      <c r="E663" s="37" t="str">
        <f>INDEX('Attribute Definition'!$B:$B,MATCH($D663,'Attribute Definition'!$A:$A,0))</f>
        <v>Dạng sản phẩm</v>
      </c>
      <c r="F663" s="38" t="s">
        <v>2657</v>
      </c>
      <c r="G663" s="39" t="str" cm="1">
        <f t="array" ref="G663">_xlfn.TEXTJOIN("; ",TRUE,_xlfn.UNIQUE(_xlfn._xlws.FILTER('Product Variant Attribute'!$F$2:$F$3000,('Product Variant Attribute'!$B$2:$B$3000=$A663)*('Product Variant Attribute'!$D$2:$D$3000=$D663),"")))</f>
        <v>Miếng dán / gạc</v>
      </c>
      <c r="H663" s="39"/>
      <c r="I663" s="39"/>
      <c r="J663" s="39" t="str" cm="1">
        <f t="array" ref="J663">IF($I663="","",_xlfn.TEXTJOIN("; ",TRUE,_xlfn.UNIQUE(_xlfn._xlws.FILTER($A$2:$A$3000,($C$2:$C$3000=$C663)*($E$2:$E$3000=$E663)*($G$2:$G$3000&lt;&gt;$G663)*($G$2:$G$3000&lt;&gt;""),""))))</f>
        <v/>
      </c>
    </row>
    <row r="664" spans="1:10" x14ac:dyDescent="0.25">
      <c r="A664" s="23" t="s">
        <v>1476</v>
      </c>
      <c r="B664" s="37" t="str">
        <f>INDEX(Product!$B:$B,MATCH($A664,Product!$A:$A,0))</f>
        <v>[Young Chemical Vina] Miếng dán mụn - Somaderm Spot (18 miếng)</v>
      </c>
      <c r="C664" s="37" t="str">
        <f>INDEX(Product!$D:$D,MATCH($A664,Product!$A:$A,0))</f>
        <v>Miếng dán mụn</v>
      </c>
      <c r="D664" s="23" t="s">
        <v>2362</v>
      </c>
      <c r="E664" s="37" t="str">
        <f>INDEX('Attribute Definition'!$B:$B,MATCH($D664,'Attribute Definition'!$A:$A,0))</f>
        <v>Số miếng / hộp</v>
      </c>
      <c r="F664" s="38" t="s">
        <v>2657</v>
      </c>
      <c r="G664" s="39" t="str" cm="1">
        <f t="array" ref="G664">_xlfn.TEXTJOIN("; ",TRUE,_xlfn.UNIQUE(_xlfn._xlws.FILTER('Product Variant Attribute'!$F$2:$F$3000,('Product Variant Attribute'!$B$2:$B$3000=$A664)*('Product Variant Attribute'!$D$2:$D$3000=$D664),"")))</f>
        <v>18 miếng</v>
      </c>
      <c r="H664" s="39"/>
      <c r="I664" s="39"/>
      <c r="J664" s="39" t="str" cm="1">
        <f t="array" ref="J664">IF($I664="","",_xlfn.TEXTJOIN("; ",TRUE,_xlfn.UNIQUE(_xlfn._xlws.FILTER($A$2:$A$3000,($C$2:$C$3000=$C664)*($E$2:$E$3000=$E664)*($G$2:$G$3000&lt;&gt;$G664)*($G$2:$G$3000&lt;&gt;""),""))))</f>
        <v/>
      </c>
    </row>
    <row r="665" spans="1:10" x14ac:dyDescent="0.25">
      <c r="A665" s="23" t="s">
        <v>1476</v>
      </c>
      <c r="B665" s="37" t="str">
        <f>INDEX(Product!$B:$B,MATCH($A665,Product!$A:$A,0))</f>
        <v>[Young Chemical Vina] Miếng dán mụn - Somaderm Spot (18 miếng)</v>
      </c>
      <c r="C665" s="37" t="str">
        <f>INDEX(Product!$D:$D,MATCH($A665,Product!$A:$A,0))</f>
        <v>Miếng dán mụn</v>
      </c>
      <c r="D665" s="23" t="s">
        <v>2367</v>
      </c>
      <c r="E665" s="37" t="str">
        <f>INDEX('Attribute Definition'!$B:$B,MATCH($D665,'Attribute Definition'!$A:$A,0))</f>
        <v>Chất liệu</v>
      </c>
      <c r="F665" s="38" t="s">
        <v>2657</v>
      </c>
      <c r="G665" s="39" t="str" cm="1">
        <f t="array" ref="G665">_xlfn.TEXTJOIN("; ",TRUE,_xlfn.UNIQUE(_xlfn._xlws.FILTER('Product Variant Attribute'!$F$2:$F$3000,('Product Variant Attribute'!$B$2:$B$3000=$A665)*('Product Variant Attribute'!$D$2:$D$3000=$D665),"")))</f>
        <v>Hydrocolloid</v>
      </c>
      <c r="H665" s="39"/>
      <c r="I665" s="39"/>
      <c r="J665" s="39" t="str" cm="1">
        <f t="array" ref="J665">IF($I665="","",_xlfn.TEXTJOIN("; ",TRUE,_xlfn.UNIQUE(_xlfn._xlws.FILTER($A$2:$A$3000,($C$2:$C$3000=$C665)*($E$2:$E$3000=$E665)*($G$2:$G$3000&lt;&gt;$G665)*($G$2:$G$3000&lt;&gt;""),""))))</f>
        <v/>
      </c>
    </row>
    <row r="666" spans="1:10" x14ac:dyDescent="0.25">
      <c r="A666" s="23" t="s">
        <v>1476</v>
      </c>
      <c r="B666" s="37" t="str">
        <f>INDEX(Product!$B:$B,MATCH($A666,Product!$A:$A,0))</f>
        <v>[Young Chemical Vina] Miếng dán mụn - Somaderm Spot (18 miếng)</v>
      </c>
      <c r="C666" s="37" t="str">
        <f>INDEX(Product!$D:$D,MATCH($A666,Product!$A:$A,0))</f>
        <v>Miếng dán mụn</v>
      </c>
      <c r="D666" s="23" t="s">
        <v>2381</v>
      </c>
      <c r="E666" s="37" t="str">
        <f>INDEX('Attribute Definition'!$B:$B,MATCH($D666,'Attribute Definition'!$A:$A,0))</f>
        <v>Chống nước</v>
      </c>
      <c r="F666" s="38" t="s">
        <v>2657</v>
      </c>
      <c r="G666" s="39" t="str" cm="1">
        <f t="array" ref="G666">_xlfn.TEXTJOIN("; ",TRUE,_xlfn.UNIQUE(_xlfn._xlws.FILTER('Product Variant Attribute'!$F$2:$F$3000,('Product Variant Attribute'!$B$2:$B$3000=$A666)*('Product Variant Attribute'!$D$2:$D$3000=$D666),"")))</f>
        <v>Có</v>
      </c>
      <c r="H666" s="39"/>
      <c r="I666" s="39"/>
      <c r="J666" s="39" t="str" cm="1">
        <f t="array" ref="J666">IF($I666="","",_xlfn.TEXTJOIN("; ",TRUE,_xlfn.UNIQUE(_xlfn._xlws.FILTER($A$2:$A$3000,($C$2:$C$3000=$C666)*($E$2:$E$3000=$E666)*($G$2:$G$3000&lt;&gt;$G666)*($G$2:$G$3000&lt;&gt;""),""))))</f>
        <v/>
      </c>
    </row>
    <row r="667" spans="1:10" x14ac:dyDescent="0.25">
      <c r="A667" s="23" t="s">
        <v>1476</v>
      </c>
      <c r="B667" s="37" t="str">
        <f>INDEX(Product!$B:$B,MATCH($A667,Product!$A:$A,0))</f>
        <v>[Young Chemical Vina] Miếng dán mụn - Somaderm Spot (18 miếng)</v>
      </c>
      <c r="C667" s="37" t="str">
        <f>INDEX(Product!$D:$D,MATCH($A667,Product!$A:$A,0))</f>
        <v>Miếng dán mụn</v>
      </c>
      <c r="D667" s="23" t="s">
        <v>2471</v>
      </c>
      <c r="E667" s="37" t="str">
        <f>INDEX('Attribute Definition'!$B:$B,MATCH($D667,'Attribute Definition'!$A:$A,0))</f>
        <v>Dạng sản phẩm</v>
      </c>
      <c r="F667" s="38" t="s">
        <v>2657</v>
      </c>
      <c r="G667" s="39" t="str" cm="1">
        <f t="array" ref="G667">_xlfn.TEXTJOIN("; ",TRUE,_xlfn.UNIQUE(_xlfn._xlws.FILTER('Product Variant Attribute'!$F$2:$F$3000,('Product Variant Attribute'!$B$2:$B$3000=$A667)*('Product Variant Attribute'!$D$2:$D$3000=$D667),"")))</f>
        <v>Miếng dán / gạc</v>
      </c>
      <c r="H667" s="39"/>
      <c r="I667" s="39"/>
      <c r="J667" s="39" t="str" cm="1">
        <f t="array" ref="J667">IF($I667="","",_xlfn.TEXTJOIN("; ",TRUE,_xlfn.UNIQUE(_xlfn._xlws.FILTER($A$2:$A$3000,($C$2:$C$3000=$C667)*($E$2:$E$3000=$E667)*($G$2:$G$3000&lt;&gt;$G667)*($G$2:$G$3000&lt;&gt;""),""))))</f>
        <v/>
      </c>
    </row>
    <row r="668" spans="1:10" x14ac:dyDescent="0.25">
      <c r="A668" s="23" t="s">
        <v>1479</v>
      </c>
      <c r="B668" s="37" t="str">
        <f>INDEX(Product!$B:$B,MATCH($A668,Product!$A:$A,0))</f>
        <v>[3M™] Miếng dán vết thương thay chỉ khâu - STERI-STRIP™ (6mmx100mm)</v>
      </c>
      <c r="C668" s="37" t="str">
        <f>INDEX(Product!$D:$D,MATCH($A668,Product!$A:$A,0))</f>
        <v>Miếng dán khép miệng vết thương</v>
      </c>
      <c r="D668" s="23" t="s">
        <v>2342</v>
      </c>
      <c r="E668" s="37" t="str">
        <f>INDEX('Attribute Definition'!$B:$B,MATCH($D668,'Attribute Definition'!$A:$A,0))</f>
        <v>Kích thước</v>
      </c>
      <c r="F668" s="38" t="s">
        <v>2657</v>
      </c>
      <c r="G668" s="39" t="str" cm="1">
        <f t="array" ref="G668">_xlfn.TEXTJOIN("; ",TRUE,_xlfn.UNIQUE(_xlfn._xlws.FILTER('Product Variant Attribute'!$F$2:$F$3000,('Product Variant Attribute'!$B$2:$B$3000=$A668)*('Product Variant Attribute'!$D$2:$D$3000=$D668),"")))</f>
        <v>6mmx100mm</v>
      </c>
      <c r="H668" s="39"/>
      <c r="I668" s="39"/>
      <c r="J668" s="39" t="str" cm="1">
        <f t="array" ref="J668">IF($I668="","",_xlfn.TEXTJOIN("; ",TRUE,_xlfn.UNIQUE(_xlfn._xlws.FILTER($A$2:$A$3000,($C$2:$C$3000=$C668)*($E$2:$E$3000=$E668)*($G$2:$G$3000&lt;&gt;$G668)*($G$2:$G$3000&lt;&gt;""),""))))</f>
        <v/>
      </c>
    </row>
    <row r="669" spans="1:10" x14ac:dyDescent="0.25">
      <c r="A669" s="23" t="s">
        <v>1479</v>
      </c>
      <c r="B669" s="37" t="str">
        <f>INDEX(Product!$B:$B,MATCH($A669,Product!$A:$A,0))</f>
        <v>[3M™] Miếng dán vết thương thay chỉ khâu - STERI-STRIP™ (6mmx100mm)</v>
      </c>
      <c r="C669" s="37" t="str">
        <f>INDEX(Product!$D:$D,MATCH($A669,Product!$A:$A,0))</f>
        <v>Miếng dán khép miệng vết thương</v>
      </c>
      <c r="D669" s="23" t="s">
        <v>2471</v>
      </c>
      <c r="E669" s="37" t="str">
        <f>INDEX('Attribute Definition'!$B:$B,MATCH($D669,'Attribute Definition'!$A:$A,0))</f>
        <v>Dạng sản phẩm</v>
      </c>
      <c r="F669" s="38" t="s">
        <v>2657</v>
      </c>
      <c r="G669" s="39" t="str" cm="1">
        <f t="array" ref="G669">_xlfn.TEXTJOIN("; ",TRUE,_xlfn.UNIQUE(_xlfn._xlws.FILTER('Product Variant Attribute'!$F$2:$F$3000,('Product Variant Attribute'!$B$2:$B$3000=$A669)*('Product Variant Attribute'!$D$2:$D$3000=$D669),"")))</f>
        <v>Miếng dán / gạc</v>
      </c>
      <c r="H669" s="39"/>
      <c r="I669" s="39"/>
      <c r="J669" s="39" t="str" cm="1">
        <f t="array" ref="J669">IF($I669="","",_xlfn.TEXTJOIN("; ",TRUE,_xlfn.UNIQUE(_xlfn._xlws.FILTER($A$2:$A$3000,($C$2:$C$3000=$C669)*($E$2:$E$3000=$E669)*($G$2:$G$3000&lt;&gt;$G669)*($G$2:$G$3000&lt;&gt;""),""))))</f>
        <v/>
      </c>
    </row>
    <row r="670" spans="1:10" x14ac:dyDescent="0.25">
      <c r="A670" s="23" t="s">
        <v>1481</v>
      </c>
      <c r="B670" s="37" t="str">
        <f>INDEX(Product!$B:$B,MATCH($A670,Product!$A:$A,0))</f>
        <v>[3M™] Miếng dán vết thương thay chỉ khâu - STERI-STRIP™ (12mmx100mm)</v>
      </c>
      <c r="C670" s="37" t="str">
        <f>INDEX(Product!$D:$D,MATCH($A670,Product!$A:$A,0))</f>
        <v>Miếng dán khép miệng vết thương</v>
      </c>
      <c r="D670" s="23" t="s">
        <v>2342</v>
      </c>
      <c r="E670" s="37" t="str">
        <f>INDEX('Attribute Definition'!$B:$B,MATCH($D670,'Attribute Definition'!$A:$A,0))</f>
        <v>Kích thước</v>
      </c>
      <c r="F670" s="38" t="s">
        <v>2657</v>
      </c>
      <c r="G670" s="39" t="str" cm="1">
        <f t="array" ref="G670">_xlfn.TEXTJOIN("; ",TRUE,_xlfn.UNIQUE(_xlfn._xlws.FILTER('Product Variant Attribute'!$F$2:$F$3000,('Product Variant Attribute'!$B$2:$B$3000=$A670)*('Product Variant Attribute'!$D$2:$D$3000=$D670),"")))</f>
        <v>12mmx100mm</v>
      </c>
      <c r="H670" s="39"/>
      <c r="I670" s="39"/>
      <c r="J670" s="39" t="str" cm="1">
        <f t="array" ref="J670">IF($I670="","",_xlfn.TEXTJOIN("; ",TRUE,_xlfn.UNIQUE(_xlfn._xlws.FILTER($A$2:$A$3000,($C$2:$C$3000=$C670)*($E$2:$E$3000=$E670)*($G$2:$G$3000&lt;&gt;$G670)*($G$2:$G$3000&lt;&gt;""),""))))</f>
        <v/>
      </c>
    </row>
    <row r="671" spans="1:10" x14ac:dyDescent="0.25">
      <c r="A671" s="23" t="s">
        <v>1481</v>
      </c>
      <c r="B671" s="37" t="str">
        <f>INDEX(Product!$B:$B,MATCH($A671,Product!$A:$A,0))</f>
        <v>[3M™] Miếng dán vết thương thay chỉ khâu - STERI-STRIP™ (12mmx100mm)</v>
      </c>
      <c r="C671" s="37" t="str">
        <f>INDEX(Product!$D:$D,MATCH($A671,Product!$A:$A,0))</f>
        <v>Miếng dán khép miệng vết thương</v>
      </c>
      <c r="D671" s="23" t="s">
        <v>2471</v>
      </c>
      <c r="E671" s="37" t="str">
        <f>INDEX('Attribute Definition'!$B:$B,MATCH($D671,'Attribute Definition'!$A:$A,0))</f>
        <v>Dạng sản phẩm</v>
      </c>
      <c r="F671" s="38" t="s">
        <v>2657</v>
      </c>
      <c r="G671" s="39" t="str" cm="1">
        <f t="array" ref="G671">_xlfn.TEXTJOIN("; ",TRUE,_xlfn.UNIQUE(_xlfn._xlws.FILTER('Product Variant Attribute'!$F$2:$F$3000,('Product Variant Attribute'!$B$2:$B$3000=$A671)*('Product Variant Attribute'!$D$2:$D$3000=$D671),"")))</f>
        <v>Miếng dán / gạc</v>
      </c>
      <c r="H671" s="39"/>
      <c r="I671" s="39"/>
      <c r="J671" s="39" t="str" cm="1">
        <f t="array" ref="J671">IF($I671="","",_xlfn.TEXTJOIN("; ",TRUE,_xlfn.UNIQUE(_xlfn._xlws.FILTER($A$2:$A$3000,($C$2:$C$3000=$C671)*($E$2:$E$3000=$E671)*($G$2:$G$3000&lt;&gt;$G671)*($G$2:$G$3000&lt;&gt;""),""))))</f>
        <v/>
      </c>
    </row>
    <row r="672" spans="1:10" x14ac:dyDescent="0.25">
      <c r="A672" s="23" t="s">
        <v>1483</v>
      </c>
      <c r="B672" s="37" t="str">
        <f>INDEX(Product!$B:$B,MATCH($A672,Product!$A:$A,0))</f>
        <v>[ConvaTec] Băng dán vết thương - DuoDerm Extra Thin (5cmx20cm)</v>
      </c>
      <c r="C672" s="37" t="str">
        <f>INDEX(Product!$D:$D,MATCH($A672,Product!$A:$A,0))</f>
        <v>Băng dán hydrocolloid</v>
      </c>
      <c r="D672" s="23" t="s">
        <v>2342</v>
      </c>
      <c r="E672" s="37" t="str">
        <f>INDEX('Attribute Definition'!$B:$B,MATCH($D672,'Attribute Definition'!$A:$A,0))</f>
        <v>Kích thước</v>
      </c>
      <c r="F672" s="38" t="s">
        <v>2657</v>
      </c>
      <c r="G672" s="39" t="str" cm="1">
        <f t="array" ref="G672">_xlfn.TEXTJOIN("; ",TRUE,_xlfn.UNIQUE(_xlfn._xlws.FILTER('Product Variant Attribute'!$F$2:$F$3000,('Product Variant Attribute'!$B$2:$B$3000=$A672)*('Product Variant Attribute'!$D$2:$D$3000=$D672),"")))</f>
        <v>5cmx20cm</v>
      </c>
      <c r="H672" s="39"/>
      <c r="I672" s="39"/>
      <c r="J672" s="39" t="str" cm="1">
        <f t="array" ref="J672">IF($I672="","",_xlfn.TEXTJOIN("; ",TRUE,_xlfn.UNIQUE(_xlfn._xlws.FILTER($A$2:$A$3000,($C$2:$C$3000=$C672)*($E$2:$E$3000=$E672)*($G$2:$G$3000&lt;&gt;$G672)*($G$2:$G$3000&lt;&gt;""),""))))</f>
        <v/>
      </c>
    </row>
    <row r="673" spans="1:10" x14ac:dyDescent="0.25">
      <c r="A673" s="23" t="s">
        <v>1483</v>
      </c>
      <c r="B673" s="37" t="str">
        <f>INDEX(Product!$B:$B,MATCH($A673,Product!$A:$A,0))</f>
        <v>[ConvaTec] Băng dán vết thương - DuoDerm Extra Thin (5cmx20cm)</v>
      </c>
      <c r="C673" s="37" t="str">
        <f>INDEX(Product!$D:$D,MATCH($A673,Product!$A:$A,0))</f>
        <v>Băng dán hydrocolloid</v>
      </c>
      <c r="D673" s="23" t="s">
        <v>2367</v>
      </c>
      <c r="E673" s="37" t="str">
        <f>INDEX('Attribute Definition'!$B:$B,MATCH($D673,'Attribute Definition'!$A:$A,0))</f>
        <v>Chất liệu</v>
      </c>
      <c r="F673" s="38" t="s">
        <v>2657</v>
      </c>
      <c r="G673" s="39" t="str" cm="1">
        <f t="array" ref="G673">_xlfn.TEXTJOIN("; ",TRUE,_xlfn.UNIQUE(_xlfn._xlws.FILTER('Product Variant Attribute'!$F$2:$F$3000,('Product Variant Attribute'!$B$2:$B$3000=$A673)*('Product Variant Attribute'!$D$2:$D$3000=$D673),"")))</f>
        <v>Hydrocolloid</v>
      </c>
      <c r="H673" s="39"/>
      <c r="I673" s="39"/>
      <c r="J673" s="39" t="str" cm="1">
        <f t="array" ref="J673">IF($I673="","",_xlfn.TEXTJOIN("; ",TRUE,_xlfn.UNIQUE(_xlfn._xlws.FILTER($A$2:$A$3000,($C$2:$C$3000=$C673)*($E$2:$E$3000=$E673)*($G$2:$G$3000&lt;&gt;$G673)*($G$2:$G$3000&lt;&gt;""),""))))</f>
        <v/>
      </c>
    </row>
    <row r="674" spans="1:10" x14ac:dyDescent="0.25">
      <c r="A674" s="23" t="s">
        <v>1483</v>
      </c>
      <c r="B674" s="37" t="str">
        <f>INDEX(Product!$B:$B,MATCH($A674,Product!$A:$A,0))</f>
        <v>[ConvaTec] Băng dán vết thương - DuoDerm Extra Thin (5cmx20cm)</v>
      </c>
      <c r="C674" s="37" t="str">
        <f>INDEX(Product!$D:$D,MATCH($A674,Product!$A:$A,0))</f>
        <v>Băng dán hydrocolloid</v>
      </c>
      <c r="D674" s="23" t="s">
        <v>2381</v>
      </c>
      <c r="E674" s="37" t="str">
        <f>INDEX('Attribute Definition'!$B:$B,MATCH($D674,'Attribute Definition'!$A:$A,0))</f>
        <v>Chống nước</v>
      </c>
      <c r="F674" s="38" t="s">
        <v>2657</v>
      </c>
      <c r="G674" s="39" t="str" cm="1">
        <f t="array" ref="G674">_xlfn.TEXTJOIN("; ",TRUE,_xlfn.UNIQUE(_xlfn._xlws.FILTER('Product Variant Attribute'!$F$2:$F$3000,('Product Variant Attribute'!$B$2:$B$3000=$A674)*('Product Variant Attribute'!$D$2:$D$3000=$D674),"")))</f>
        <v>Có</v>
      </c>
      <c r="H674" s="39"/>
      <c r="I674" s="39"/>
      <c r="J674" s="39" t="str" cm="1">
        <f t="array" ref="J674">IF($I674="","",_xlfn.TEXTJOIN("; ",TRUE,_xlfn.UNIQUE(_xlfn._xlws.FILTER($A$2:$A$3000,($C$2:$C$3000=$C674)*($E$2:$E$3000=$E674)*($G$2:$G$3000&lt;&gt;$G674)*($G$2:$G$3000&lt;&gt;""),""))))</f>
        <v/>
      </c>
    </row>
    <row r="675" spans="1:10" x14ac:dyDescent="0.25">
      <c r="A675" s="23" t="s">
        <v>1483</v>
      </c>
      <c r="B675" s="37" t="str">
        <f>INDEX(Product!$B:$B,MATCH($A675,Product!$A:$A,0))</f>
        <v>[ConvaTec] Băng dán vết thương - DuoDerm Extra Thin (5cmx20cm)</v>
      </c>
      <c r="C675" s="37" t="str">
        <f>INDEX(Product!$D:$D,MATCH($A675,Product!$A:$A,0))</f>
        <v>Băng dán hydrocolloid</v>
      </c>
      <c r="D675" s="23" t="s">
        <v>2471</v>
      </c>
      <c r="E675" s="37" t="str">
        <f>INDEX('Attribute Definition'!$B:$B,MATCH($D675,'Attribute Definition'!$A:$A,0))</f>
        <v>Dạng sản phẩm</v>
      </c>
      <c r="F675" s="38" t="s">
        <v>2657</v>
      </c>
      <c r="G675" s="39" t="str" cm="1">
        <f t="array" ref="G675">_xlfn.TEXTJOIN("; ",TRUE,_xlfn.UNIQUE(_xlfn._xlws.FILTER('Product Variant Attribute'!$F$2:$F$3000,('Product Variant Attribute'!$B$2:$B$3000=$A675)*('Product Variant Attribute'!$D$2:$D$3000=$D675),"")))</f>
        <v>Miếng dán / gạc</v>
      </c>
      <c r="H675" s="39"/>
      <c r="I675" s="39"/>
      <c r="J675" s="39" t="str" cm="1">
        <f t="array" ref="J675">IF($I675="","",_xlfn.TEXTJOIN("; ",TRUE,_xlfn.UNIQUE(_xlfn._xlws.FILTER($A$2:$A$3000,($C$2:$C$3000=$C675)*($E$2:$E$3000=$E675)*($G$2:$G$3000&lt;&gt;$G675)*($G$2:$G$3000&lt;&gt;""),""))))</f>
        <v/>
      </c>
    </row>
    <row r="676" spans="1:10" x14ac:dyDescent="0.25">
      <c r="A676" s="23" t="s">
        <v>1485</v>
      </c>
      <c r="B676" s="37" t="str">
        <f>INDEX(Product!$B:$B,MATCH($A676,Product!$A:$A,0))</f>
        <v>[ConvaTec] Băng dán vết thương - DuoDerm Extra Thin (5cmx10cm)</v>
      </c>
      <c r="C676" s="37" t="str">
        <f>INDEX(Product!$D:$D,MATCH($A676,Product!$A:$A,0))</f>
        <v>Băng dán hydrocolloid</v>
      </c>
      <c r="D676" s="23" t="s">
        <v>2342</v>
      </c>
      <c r="E676" s="37" t="str">
        <f>INDEX('Attribute Definition'!$B:$B,MATCH($D676,'Attribute Definition'!$A:$A,0))</f>
        <v>Kích thước</v>
      </c>
      <c r="F676" s="38" t="s">
        <v>2657</v>
      </c>
      <c r="G676" s="39" t="str" cm="1">
        <f t="array" ref="G676">_xlfn.TEXTJOIN("; ",TRUE,_xlfn.UNIQUE(_xlfn._xlws.FILTER('Product Variant Attribute'!$F$2:$F$3000,('Product Variant Attribute'!$B$2:$B$3000=$A676)*('Product Variant Attribute'!$D$2:$D$3000=$D676),"")))</f>
        <v>5cmx10cm</v>
      </c>
      <c r="H676" s="39"/>
      <c r="I676" s="39"/>
      <c r="J676" s="39" t="str" cm="1">
        <f t="array" ref="J676">IF($I676="","",_xlfn.TEXTJOIN("; ",TRUE,_xlfn.UNIQUE(_xlfn._xlws.FILTER($A$2:$A$3000,($C$2:$C$3000=$C676)*($E$2:$E$3000=$E676)*($G$2:$G$3000&lt;&gt;$G676)*($G$2:$G$3000&lt;&gt;""),""))))</f>
        <v/>
      </c>
    </row>
    <row r="677" spans="1:10" x14ac:dyDescent="0.25">
      <c r="A677" s="23" t="s">
        <v>1485</v>
      </c>
      <c r="B677" s="37" t="str">
        <f>INDEX(Product!$B:$B,MATCH($A677,Product!$A:$A,0))</f>
        <v>[ConvaTec] Băng dán vết thương - DuoDerm Extra Thin (5cmx10cm)</v>
      </c>
      <c r="C677" s="37" t="str">
        <f>INDEX(Product!$D:$D,MATCH($A677,Product!$A:$A,0))</f>
        <v>Băng dán hydrocolloid</v>
      </c>
      <c r="D677" s="23" t="s">
        <v>2367</v>
      </c>
      <c r="E677" s="37" t="str">
        <f>INDEX('Attribute Definition'!$B:$B,MATCH($D677,'Attribute Definition'!$A:$A,0))</f>
        <v>Chất liệu</v>
      </c>
      <c r="F677" s="38" t="s">
        <v>2657</v>
      </c>
      <c r="G677" s="39" t="str" cm="1">
        <f t="array" ref="G677">_xlfn.TEXTJOIN("; ",TRUE,_xlfn.UNIQUE(_xlfn._xlws.FILTER('Product Variant Attribute'!$F$2:$F$3000,('Product Variant Attribute'!$B$2:$B$3000=$A677)*('Product Variant Attribute'!$D$2:$D$3000=$D677),"")))</f>
        <v>Hydrocolloid</v>
      </c>
      <c r="H677" s="39"/>
      <c r="I677" s="39"/>
      <c r="J677" s="39" t="str" cm="1">
        <f t="array" ref="J677">IF($I677="","",_xlfn.TEXTJOIN("; ",TRUE,_xlfn.UNIQUE(_xlfn._xlws.FILTER($A$2:$A$3000,($C$2:$C$3000=$C677)*($E$2:$E$3000=$E677)*($G$2:$G$3000&lt;&gt;$G677)*($G$2:$G$3000&lt;&gt;""),""))))</f>
        <v/>
      </c>
    </row>
    <row r="678" spans="1:10" x14ac:dyDescent="0.25">
      <c r="A678" s="23" t="s">
        <v>1485</v>
      </c>
      <c r="B678" s="37" t="str">
        <f>INDEX(Product!$B:$B,MATCH($A678,Product!$A:$A,0))</f>
        <v>[ConvaTec] Băng dán vết thương - DuoDerm Extra Thin (5cmx10cm)</v>
      </c>
      <c r="C678" s="37" t="str">
        <f>INDEX(Product!$D:$D,MATCH($A678,Product!$A:$A,0))</f>
        <v>Băng dán hydrocolloid</v>
      </c>
      <c r="D678" s="23" t="s">
        <v>2381</v>
      </c>
      <c r="E678" s="37" t="str">
        <f>INDEX('Attribute Definition'!$B:$B,MATCH($D678,'Attribute Definition'!$A:$A,0))</f>
        <v>Chống nước</v>
      </c>
      <c r="F678" s="38" t="s">
        <v>2657</v>
      </c>
      <c r="G678" s="39" t="str" cm="1">
        <f t="array" ref="G678">_xlfn.TEXTJOIN("; ",TRUE,_xlfn.UNIQUE(_xlfn._xlws.FILTER('Product Variant Attribute'!$F$2:$F$3000,('Product Variant Attribute'!$B$2:$B$3000=$A678)*('Product Variant Attribute'!$D$2:$D$3000=$D678),"")))</f>
        <v>Có</v>
      </c>
      <c r="H678" s="39"/>
      <c r="I678" s="39"/>
      <c r="J678" s="39" t="str" cm="1">
        <f t="array" ref="J678">IF($I678="","",_xlfn.TEXTJOIN("; ",TRUE,_xlfn.UNIQUE(_xlfn._xlws.FILTER($A$2:$A$3000,($C$2:$C$3000=$C678)*($E$2:$E$3000=$E678)*($G$2:$G$3000&lt;&gt;$G678)*($G$2:$G$3000&lt;&gt;""),""))))</f>
        <v/>
      </c>
    </row>
    <row r="679" spans="1:10" x14ac:dyDescent="0.25">
      <c r="A679" s="23" t="s">
        <v>1485</v>
      </c>
      <c r="B679" s="37" t="str">
        <f>INDEX(Product!$B:$B,MATCH($A679,Product!$A:$A,0))</f>
        <v>[ConvaTec] Băng dán vết thương - DuoDerm Extra Thin (5cmx10cm)</v>
      </c>
      <c r="C679" s="37" t="str">
        <f>INDEX(Product!$D:$D,MATCH($A679,Product!$A:$A,0))</f>
        <v>Băng dán hydrocolloid</v>
      </c>
      <c r="D679" s="23" t="s">
        <v>2471</v>
      </c>
      <c r="E679" s="37" t="str">
        <f>INDEX('Attribute Definition'!$B:$B,MATCH($D679,'Attribute Definition'!$A:$A,0))</f>
        <v>Dạng sản phẩm</v>
      </c>
      <c r="F679" s="38" t="s">
        <v>2657</v>
      </c>
      <c r="G679" s="39" t="str" cm="1">
        <f t="array" ref="G679">_xlfn.TEXTJOIN("; ",TRUE,_xlfn.UNIQUE(_xlfn._xlws.FILTER('Product Variant Attribute'!$F$2:$F$3000,('Product Variant Attribute'!$B$2:$B$3000=$A679)*('Product Variant Attribute'!$D$2:$D$3000=$D679),"")))</f>
        <v>Miếng dán / gạc</v>
      </c>
      <c r="H679" s="39"/>
      <c r="I679" s="39"/>
      <c r="J679" s="39" t="str" cm="1">
        <f t="array" ref="J679">IF($I679="","",_xlfn.TEXTJOIN("; ",TRUE,_xlfn.UNIQUE(_xlfn._xlws.FILTER($A$2:$A$3000,($C$2:$C$3000=$C679)*($E$2:$E$3000=$E679)*($G$2:$G$3000&lt;&gt;$G679)*($G$2:$G$3000&lt;&gt;""),""))))</f>
        <v/>
      </c>
    </row>
    <row r="680" spans="1:10" x14ac:dyDescent="0.25">
      <c r="A680" s="23" t="s">
        <v>1487</v>
      </c>
      <c r="B680" s="37" t="str">
        <f>INDEX(Product!$B:$B,MATCH($A680,Product!$A:$A,0))</f>
        <v>[Dr.Muller Pharma] Gel bôi vết thương hở - Okuskin (30g)</v>
      </c>
      <c r="C680" s="37" t="str">
        <f>INDEX(Product!$D:$D,MATCH($A680,Product!$A:$A,0))</f>
        <v>Gel bôi vết thương</v>
      </c>
      <c r="D680" s="23" t="s">
        <v>2356</v>
      </c>
      <c r="E680" s="37" t="str">
        <f>INDEX('Attribute Definition'!$B:$B,MATCH($D680,'Attribute Definition'!$A:$A,0))</f>
        <v>Khối lượng tịnh</v>
      </c>
      <c r="F680" s="38" t="s">
        <v>2657</v>
      </c>
      <c r="G680" s="39" t="str" cm="1">
        <f t="array" ref="G680">_xlfn.TEXTJOIN("; ",TRUE,_xlfn.UNIQUE(_xlfn._xlws.FILTER('Product Variant Attribute'!$F$2:$F$3000,('Product Variant Attribute'!$B$2:$B$3000=$A680)*('Product Variant Attribute'!$D$2:$D$3000=$D680),"")))</f>
        <v>30g</v>
      </c>
      <c r="H680" s="39"/>
      <c r="I680" s="39"/>
      <c r="J680" s="39" t="str" cm="1">
        <f t="array" ref="J680">IF($I680="","",_xlfn.TEXTJOIN("; ",TRUE,_xlfn.UNIQUE(_xlfn._xlws.FILTER($A$2:$A$3000,($C$2:$C$3000=$C680)*($E$2:$E$3000=$E680)*($G$2:$G$3000&lt;&gt;$G680)*($G$2:$G$3000&lt;&gt;""),""))))</f>
        <v/>
      </c>
    </row>
    <row r="681" spans="1:10" x14ac:dyDescent="0.25">
      <c r="A681" s="23" t="s">
        <v>1487</v>
      </c>
      <c r="B681" s="37" t="str">
        <f>INDEX(Product!$B:$B,MATCH($A681,Product!$A:$A,0))</f>
        <v>[Dr.Muller Pharma] Gel bôi vết thương hở - Okuskin (30g)</v>
      </c>
      <c r="C681" s="37" t="str">
        <f>INDEX(Product!$D:$D,MATCH($A681,Product!$A:$A,0))</f>
        <v>Gel bôi vết thương</v>
      </c>
      <c r="D681" s="23" t="s">
        <v>2471</v>
      </c>
      <c r="E681" s="37" t="str">
        <f>INDEX('Attribute Definition'!$B:$B,MATCH($D681,'Attribute Definition'!$A:$A,0))</f>
        <v>Dạng sản phẩm</v>
      </c>
      <c r="F681" s="38" t="s">
        <v>2657</v>
      </c>
      <c r="G681" s="39" t="str" cm="1">
        <f t="array" ref="G681">_xlfn.TEXTJOIN("; ",TRUE,_xlfn.UNIQUE(_xlfn._xlws.FILTER('Product Variant Attribute'!$F$2:$F$3000,('Product Variant Attribute'!$B$2:$B$3000=$A681)*('Product Variant Attribute'!$D$2:$D$3000=$D681),"")))</f>
        <v>Gel / kem</v>
      </c>
      <c r="H681" s="39"/>
      <c r="I681" s="39"/>
      <c r="J681" s="39" t="str" cm="1">
        <f t="array" ref="J681">IF($I681="","",_xlfn.TEXTJOIN("; ",TRUE,_xlfn.UNIQUE(_xlfn._xlws.FILTER($A$2:$A$3000,($C$2:$C$3000=$C681)*($E$2:$E$3000=$E681)*($G$2:$G$3000&lt;&gt;$G681)*($G$2:$G$3000&lt;&gt;""),""))))</f>
        <v/>
      </c>
    </row>
    <row r="682" spans="1:10" x14ac:dyDescent="0.25">
      <c r="A682" s="23" t="s">
        <v>1495</v>
      </c>
      <c r="B682" s="37" t="str">
        <f>INDEX(Product!$B:$B,MATCH($A682,Product!$A:$A,0))</f>
        <v>[SeaSight] Miếng dán vết thương thay chỉ khâu (6mmx38mm)</v>
      </c>
      <c r="C682" s="37" t="str">
        <f>INDEX(Product!$D:$D,MATCH($A682,Product!$A:$A,0))</f>
        <v>Miếng dán khép miệng vết thương</v>
      </c>
      <c r="D682" s="23" t="s">
        <v>2342</v>
      </c>
      <c r="E682" s="37" t="str">
        <f>INDEX('Attribute Definition'!$B:$B,MATCH($D682,'Attribute Definition'!$A:$A,0))</f>
        <v>Kích thước</v>
      </c>
      <c r="F682" s="38" t="s">
        <v>2657</v>
      </c>
      <c r="G682" s="39" t="str" cm="1">
        <f t="array" ref="G682">_xlfn.TEXTJOIN("; ",TRUE,_xlfn.UNIQUE(_xlfn._xlws.FILTER('Product Variant Attribute'!$F$2:$F$3000,('Product Variant Attribute'!$B$2:$B$3000=$A682)*('Product Variant Attribute'!$D$2:$D$3000=$D682),"")))</f>
        <v>6mmx38mm</v>
      </c>
      <c r="H682" s="39"/>
      <c r="I682" s="39"/>
      <c r="J682" s="39" t="str" cm="1">
        <f t="array" ref="J682">IF($I682="","",_xlfn.TEXTJOIN("; ",TRUE,_xlfn.UNIQUE(_xlfn._xlws.FILTER($A$2:$A$3000,($C$2:$C$3000=$C682)*($E$2:$E$3000=$E682)*($G$2:$G$3000&lt;&gt;$G682)*($G$2:$G$3000&lt;&gt;""),""))))</f>
        <v/>
      </c>
    </row>
    <row r="683" spans="1:10" x14ac:dyDescent="0.25">
      <c r="A683" s="23" t="s">
        <v>1495</v>
      </c>
      <c r="B683" s="37" t="str">
        <f>INDEX(Product!$B:$B,MATCH($A683,Product!$A:$A,0))</f>
        <v>[SeaSight] Miếng dán vết thương thay chỉ khâu (6mmx38mm)</v>
      </c>
      <c r="C683" s="37" t="str">
        <f>INDEX(Product!$D:$D,MATCH($A683,Product!$A:$A,0))</f>
        <v>Miếng dán khép miệng vết thương</v>
      </c>
      <c r="D683" s="23" t="s">
        <v>2471</v>
      </c>
      <c r="E683" s="37" t="str">
        <f>INDEX('Attribute Definition'!$B:$B,MATCH($D683,'Attribute Definition'!$A:$A,0))</f>
        <v>Dạng sản phẩm</v>
      </c>
      <c r="F683" s="38" t="s">
        <v>2657</v>
      </c>
      <c r="G683" s="39" t="str" cm="1">
        <f t="array" ref="G683">_xlfn.TEXTJOIN("; ",TRUE,_xlfn.UNIQUE(_xlfn._xlws.FILTER('Product Variant Attribute'!$F$2:$F$3000,('Product Variant Attribute'!$B$2:$B$3000=$A683)*('Product Variant Attribute'!$D$2:$D$3000=$D683),"")))</f>
        <v>Miếng dán / gạc</v>
      </c>
      <c r="H683" s="39"/>
      <c r="I683" s="39"/>
      <c r="J683" s="39" t="str" cm="1">
        <f t="array" ref="J683">IF($I683="","",_xlfn.TEXTJOIN("; ",TRUE,_xlfn.UNIQUE(_xlfn._xlws.FILTER($A$2:$A$3000,($C$2:$C$3000=$C683)*($E$2:$E$3000=$E683)*($G$2:$G$3000&lt;&gt;$G683)*($G$2:$G$3000&lt;&gt;""),""))))</f>
        <v/>
      </c>
    </row>
    <row r="684" spans="1:10" x14ac:dyDescent="0.25">
      <c r="A684" s="23" t="s">
        <v>1497</v>
      </c>
      <c r="B684" s="37" t="str">
        <f>INDEX(Product!$B:$B,MATCH($A684,Product!$A:$A,0))</f>
        <v>[SeaSight] Miếng dán vết thương thay chỉ khâu (6mmx100mm)</v>
      </c>
      <c r="C684" s="37" t="str">
        <f>INDEX(Product!$D:$D,MATCH($A684,Product!$A:$A,0))</f>
        <v>Miếng dán khép miệng vết thương</v>
      </c>
      <c r="D684" s="23" t="s">
        <v>2342</v>
      </c>
      <c r="E684" s="37" t="str">
        <f>INDEX('Attribute Definition'!$B:$B,MATCH($D684,'Attribute Definition'!$A:$A,0))</f>
        <v>Kích thước</v>
      </c>
      <c r="F684" s="38" t="s">
        <v>2657</v>
      </c>
      <c r="G684" s="39" t="str" cm="1">
        <f t="array" ref="G684">_xlfn.TEXTJOIN("; ",TRUE,_xlfn.UNIQUE(_xlfn._xlws.FILTER('Product Variant Attribute'!$F$2:$F$3000,('Product Variant Attribute'!$B$2:$B$3000=$A684)*('Product Variant Attribute'!$D$2:$D$3000=$D684),"")))</f>
        <v>6mmx100mm</v>
      </c>
      <c r="H684" s="39"/>
      <c r="I684" s="39"/>
      <c r="J684" s="39" t="str" cm="1">
        <f t="array" ref="J684">IF($I684="","",_xlfn.TEXTJOIN("; ",TRUE,_xlfn.UNIQUE(_xlfn._xlws.FILTER($A$2:$A$3000,($C$2:$C$3000=$C684)*($E$2:$E$3000=$E684)*($G$2:$G$3000&lt;&gt;$G684)*($G$2:$G$3000&lt;&gt;""),""))))</f>
        <v/>
      </c>
    </row>
    <row r="685" spans="1:10" x14ac:dyDescent="0.25">
      <c r="A685" s="23" t="s">
        <v>1497</v>
      </c>
      <c r="B685" s="37" t="str">
        <f>INDEX(Product!$B:$B,MATCH($A685,Product!$A:$A,0))</f>
        <v>[SeaSight] Miếng dán vết thương thay chỉ khâu (6mmx100mm)</v>
      </c>
      <c r="C685" s="37" t="str">
        <f>INDEX(Product!$D:$D,MATCH($A685,Product!$A:$A,0))</f>
        <v>Miếng dán khép miệng vết thương</v>
      </c>
      <c r="D685" s="23" t="s">
        <v>2471</v>
      </c>
      <c r="E685" s="37" t="str">
        <f>INDEX('Attribute Definition'!$B:$B,MATCH($D685,'Attribute Definition'!$A:$A,0))</f>
        <v>Dạng sản phẩm</v>
      </c>
      <c r="F685" s="38" t="s">
        <v>2657</v>
      </c>
      <c r="G685" s="39" t="str" cm="1">
        <f t="array" ref="G685">_xlfn.TEXTJOIN("; ",TRUE,_xlfn.UNIQUE(_xlfn._xlws.FILTER('Product Variant Attribute'!$F$2:$F$3000,('Product Variant Attribute'!$B$2:$B$3000=$A685)*('Product Variant Attribute'!$D$2:$D$3000=$D685),"")))</f>
        <v>Miếng dán / gạc</v>
      </c>
      <c r="H685" s="39"/>
      <c r="I685" s="39"/>
      <c r="J685" s="39" t="str" cm="1">
        <f t="array" ref="J685">IF($I685="","",_xlfn.TEXTJOIN("; ",TRUE,_xlfn.UNIQUE(_xlfn._xlws.FILTER($A$2:$A$3000,($C$2:$C$3000=$C685)*($E$2:$E$3000=$E685)*($G$2:$G$3000&lt;&gt;$G685)*($G$2:$G$3000&lt;&gt;""),""))))</f>
        <v/>
      </c>
    </row>
    <row r="686" spans="1:10" x14ac:dyDescent="0.25">
      <c r="A686" s="23" t="s">
        <v>1499</v>
      </c>
      <c r="B686" s="37" t="str">
        <f>INDEX(Product!$B:$B,MATCH($A686,Product!$A:$A,0))</f>
        <v>[SeaSight] Miếng dán vết thương thay chỉ khâu (12mmx100mm)</v>
      </c>
      <c r="C686" s="37" t="str">
        <f>INDEX(Product!$D:$D,MATCH($A686,Product!$A:$A,0))</f>
        <v>Miếng dán khép miệng vết thương</v>
      </c>
      <c r="D686" s="23" t="s">
        <v>2342</v>
      </c>
      <c r="E686" s="37" t="str">
        <f>INDEX('Attribute Definition'!$B:$B,MATCH($D686,'Attribute Definition'!$A:$A,0))</f>
        <v>Kích thước</v>
      </c>
      <c r="F686" s="38" t="s">
        <v>2657</v>
      </c>
      <c r="G686" s="39" t="str" cm="1">
        <f t="array" ref="G686">_xlfn.TEXTJOIN("; ",TRUE,_xlfn.UNIQUE(_xlfn._xlws.FILTER('Product Variant Attribute'!$F$2:$F$3000,('Product Variant Attribute'!$B$2:$B$3000=$A686)*('Product Variant Attribute'!$D$2:$D$3000=$D686),"")))</f>
        <v>12mmx100mm</v>
      </c>
      <c r="H686" s="39"/>
      <c r="I686" s="39"/>
      <c r="J686" s="39" t="str" cm="1">
        <f t="array" ref="J686">IF($I686="","",_xlfn.TEXTJOIN("; ",TRUE,_xlfn.UNIQUE(_xlfn._xlws.FILTER($A$2:$A$3000,($C$2:$C$3000=$C686)*($E$2:$E$3000=$E686)*($G$2:$G$3000&lt;&gt;$G686)*($G$2:$G$3000&lt;&gt;""),""))))</f>
        <v/>
      </c>
    </row>
    <row r="687" spans="1:10" x14ac:dyDescent="0.25">
      <c r="A687" s="23" t="s">
        <v>1499</v>
      </c>
      <c r="B687" s="37" t="str">
        <f>INDEX(Product!$B:$B,MATCH($A687,Product!$A:$A,0))</f>
        <v>[SeaSight] Miếng dán vết thương thay chỉ khâu (12mmx100mm)</v>
      </c>
      <c r="C687" s="37" t="str">
        <f>INDEX(Product!$D:$D,MATCH($A687,Product!$A:$A,0))</f>
        <v>Miếng dán khép miệng vết thương</v>
      </c>
      <c r="D687" s="23" t="s">
        <v>2471</v>
      </c>
      <c r="E687" s="37" t="str">
        <f>INDEX('Attribute Definition'!$B:$B,MATCH($D687,'Attribute Definition'!$A:$A,0))</f>
        <v>Dạng sản phẩm</v>
      </c>
      <c r="F687" s="38" t="s">
        <v>2657</v>
      </c>
      <c r="G687" s="39" t="str" cm="1">
        <f t="array" ref="G687">_xlfn.TEXTJOIN("; ",TRUE,_xlfn.UNIQUE(_xlfn._xlws.FILTER('Product Variant Attribute'!$F$2:$F$3000,('Product Variant Attribute'!$B$2:$B$3000=$A687)*('Product Variant Attribute'!$D$2:$D$3000=$D687),"")))</f>
        <v>Miếng dán / gạc</v>
      </c>
      <c r="H687" s="39"/>
      <c r="I687" s="39"/>
      <c r="J687" s="39" t="str" cm="1">
        <f t="array" ref="J687">IF($I687="","",_xlfn.TEXTJOIN("; ",TRUE,_xlfn.UNIQUE(_xlfn._xlws.FILTER($A$2:$A$3000,($C$2:$C$3000=$C687)*($E$2:$E$3000=$E687)*($G$2:$G$3000&lt;&gt;$G687)*($G$2:$G$3000&lt;&gt;""),""))))</f>
        <v/>
      </c>
    </row>
    <row r="688" spans="1:10" x14ac:dyDescent="0.25">
      <c r="A688" s="23" t="s">
        <v>1501</v>
      </c>
      <c r="B688" s="37" t="str">
        <f>INDEX(Product!$B:$B,MATCH($A688,Product!$A:$A,0))</f>
        <v>[Urgo] Gạc lưới chống dính - UrgoTul (15cmx20cm)</v>
      </c>
      <c r="C688" s="37" t="str">
        <f>INDEX(Product!$D:$D,MATCH($A688,Product!$A:$A,0))</f>
        <v>Gạc lưới chống dính</v>
      </c>
      <c r="D688" s="23" t="s">
        <v>2342</v>
      </c>
      <c r="E688" s="37" t="str">
        <f>INDEX('Attribute Definition'!$B:$B,MATCH($D688,'Attribute Definition'!$A:$A,0))</f>
        <v>Kích thước</v>
      </c>
      <c r="F688" s="38" t="s">
        <v>2657</v>
      </c>
      <c r="G688" s="39" t="str" cm="1">
        <f t="array" ref="G688">_xlfn.TEXTJOIN("; ",TRUE,_xlfn.UNIQUE(_xlfn._xlws.FILTER('Product Variant Attribute'!$F$2:$F$3000,('Product Variant Attribute'!$B$2:$B$3000=$A688)*('Product Variant Attribute'!$D$2:$D$3000=$D688),"")))</f>
        <v>15cmx20cm</v>
      </c>
      <c r="H688" s="39"/>
      <c r="I688" s="39"/>
      <c r="J688" s="39" t="str" cm="1">
        <f t="array" ref="J688">IF($I688="","",_xlfn.TEXTJOIN("; ",TRUE,_xlfn.UNIQUE(_xlfn._xlws.FILTER($A$2:$A$3000,($C$2:$C$3000=$C688)*($E$2:$E$3000=$E688)*($G$2:$G$3000&lt;&gt;$G688)*($G$2:$G$3000&lt;&gt;""),""))))</f>
        <v/>
      </c>
    </row>
    <row r="689" spans="1:10" x14ac:dyDescent="0.25">
      <c r="A689" s="23" t="s">
        <v>1501</v>
      </c>
      <c r="B689" s="37" t="str">
        <f>INDEX(Product!$B:$B,MATCH($A689,Product!$A:$A,0))</f>
        <v>[Urgo] Gạc lưới chống dính - UrgoTul (15cmx20cm)</v>
      </c>
      <c r="C689" s="37" t="str">
        <f>INDEX(Product!$D:$D,MATCH($A689,Product!$A:$A,0))</f>
        <v>Gạc lưới chống dính</v>
      </c>
      <c r="D689" s="23" t="s">
        <v>2471</v>
      </c>
      <c r="E689" s="37" t="str">
        <f>INDEX('Attribute Definition'!$B:$B,MATCH($D689,'Attribute Definition'!$A:$A,0))</f>
        <v>Dạng sản phẩm</v>
      </c>
      <c r="F689" s="38" t="s">
        <v>2657</v>
      </c>
      <c r="G689" s="39" t="str" cm="1">
        <f t="array" ref="G689">_xlfn.TEXTJOIN("; ",TRUE,_xlfn.UNIQUE(_xlfn._xlws.FILTER('Product Variant Attribute'!$F$2:$F$3000,('Product Variant Attribute'!$B$2:$B$3000=$A689)*('Product Variant Attribute'!$D$2:$D$3000=$D689),"")))</f>
        <v>Miếng dán / gạc</v>
      </c>
      <c r="H689" s="39"/>
      <c r="I689" s="39"/>
      <c r="J689" s="39" t="str" cm="1">
        <f t="array" ref="J689">IF($I689="","",_xlfn.TEXTJOIN("; ",TRUE,_xlfn.UNIQUE(_xlfn._xlws.FILTER($A$2:$A$3000,($C$2:$C$3000=$C689)*($E$2:$E$3000=$E689)*($G$2:$G$3000&lt;&gt;$G689)*($G$2:$G$3000&lt;&gt;""),""))))</f>
        <v/>
      </c>
    </row>
    <row r="690" spans="1:10" x14ac:dyDescent="0.25">
      <c r="A690" s="23" t="s">
        <v>1503</v>
      </c>
      <c r="B690" s="37" t="str">
        <f>INDEX(Product!$B:$B,MATCH($A690,Product!$A:$A,0))</f>
        <v>[Urgo] Gạc lưới chống dính - UrgoTul (5cmx5cm)</v>
      </c>
      <c r="C690" s="37" t="str">
        <f>INDEX(Product!$D:$D,MATCH($A690,Product!$A:$A,0))</f>
        <v>Gạc lưới chống dính</v>
      </c>
      <c r="D690" s="23" t="s">
        <v>2342</v>
      </c>
      <c r="E690" s="37" t="str">
        <f>INDEX('Attribute Definition'!$B:$B,MATCH($D690,'Attribute Definition'!$A:$A,0))</f>
        <v>Kích thước</v>
      </c>
      <c r="F690" s="38" t="s">
        <v>2657</v>
      </c>
      <c r="G690" s="39" t="str" cm="1">
        <f t="array" ref="G690">_xlfn.TEXTJOIN("; ",TRUE,_xlfn.UNIQUE(_xlfn._xlws.FILTER('Product Variant Attribute'!$F$2:$F$3000,('Product Variant Attribute'!$B$2:$B$3000=$A690)*('Product Variant Attribute'!$D$2:$D$3000=$D690),"")))</f>
        <v>5cmx5cm</v>
      </c>
      <c r="H690" s="39"/>
      <c r="I690" s="39"/>
      <c r="J690" s="39" t="str" cm="1">
        <f t="array" ref="J690">IF($I690="","",_xlfn.TEXTJOIN("; ",TRUE,_xlfn.UNIQUE(_xlfn._xlws.FILTER($A$2:$A$3000,($C$2:$C$3000=$C690)*($E$2:$E$3000=$E690)*($G$2:$G$3000&lt;&gt;$G690)*($G$2:$G$3000&lt;&gt;""),""))))</f>
        <v/>
      </c>
    </row>
    <row r="691" spans="1:10" x14ac:dyDescent="0.25">
      <c r="A691" s="23" t="s">
        <v>1503</v>
      </c>
      <c r="B691" s="37" t="str">
        <f>INDEX(Product!$B:$B,MATCH($A691,Product!$A:$A,0))</f>
        <v>[Urgo] Gạc lưới chống dính - UrgoTul (5cmx5cm)</v>
      </c>
      <c r="C691" s="37" t="str">
        <f>INDEX(Product!$D:$D,MATCH($A691,Product!$A:$A,0))</f>
        <v>Gạc lưới chống dính</v>
      </c>
      <c r="D691" s="23" t="s">
        <v>2471</v>
      </c>
      <c r="E691" s="37" t="str">
        <f>INDEX('Attribute Definition'!$B:$B,MATCH($D691,'Attribute Definition'!$A:$A,0))</f>
        <v>Dạng sản phẩm</v>
      </c>
      <c r="F691" s="38" t="s">
        <v>2657</v>
      </c>
      <c r="G691" s="39" t="str" cm="1">
        <f t="array" ref="G691">_xlfn.TEXTJOIN("; ",TRUE,_xlfn.UNIQUE(_xlfn._xlws.FILTER('Product Variant Attribute'!$F$2:$F$3000,('Product Variant Attribute'!$B$2:$B$3000=$A691)*('Product Variant Attribute'!$D$2:$D$3000=$D691),"")))</f>
        <v>Miếng dán / gạc</v>
      </c>
      <c r="H691" s="39"/>
      <c r="I691" s="39"/>
      <c r="J691" s="39" t="str" cm="1">
        <f t="array" ref="J691">IF($I691="","",_xlfn.TEXTJOIN("; ",TRUE,_xlfn.UNIQUE(_xlfn._xlws.FILTER($A$2:$A$3000,($C$2:$C$3000=$C691)*($E$2:$E$3000=$E691)*($G$2:$G$3000&lt;&gt;$G691)*($G$2:$G$3000&lt;&gt;""),""))))</f>
        <v/>
      </c>
    </row>
    <row r="692" spans="1:10" x14ac:dyDescent="0.25">
      <c r="A692" s="23" t="s">
        <v>1505</v>
      </c>
      <c r="B692" s="37" t="str">
        <f>INDEX(Product!$B:$B,MATCH($A692,Product!$A:$A,0))</f>
        <v>[Urgo] Gạc lưới tẩm bạc chống dính - UrgoTul Ag/Silver (15cmx20cm)</v>
      </c>
      <c r="C692" s="37" t="str">
        <f>INDEX(Product!$D:$D,MATCH($A692,Product!$A:$A,0))</f>
        <v>Gạc lưới chống dính</v>
      </c>
      <c r="D692" s="23" t="s">
        <v>2342</v>
      </c>
      <c r="E692" s="37" t="str">
        <f>INDEX('Attribute Definition'!$B:$B,MATCH($D692,'Attribute Definition'!$A:$A,0))</f>
        <v>Kích thước</v>
      </c>
      <c r="F692" s="38" t="s">
        <v>2657</v>
      </c>
      <c r="G692" s="39" t="str" cm="1">
        <f t="array" ref="G692">_xlfn.TEXTJOIN("; ",TRUE,_xlfn.UNIQUE(_xlfn._xlws.FILTER('Product Variant Attribute'!$F$2:$F$3000,('Product Variant Attribute'!$B$2:$B$3000=$A692)*('Product Variant Attribute'!$D$2:$D$3000=$D692),"")))</f>
        <v>15cmx20cm</v>
      </c>
      <c r="H692" s="39"/>
      <c r="I692" s="39"/>
      <c r="J692" s="39" t="str" cm="1">
        <f t="array" ref="J692">IF($I692="","",_xlfn.TEXTJOIN("; ",TRUE,_xlfn.UNIQUE(_xlfn._xlws.FILTER($A$2:$A$3000,($C$2:$C$3000=$C692)*($E$2:$E$3000=$E692)*($G$2:$G$3000&lt;&gt;$G692)*($G$2:$G$3000&lt;&gt;""),""))))</f>
        <v/>
      </c>
    </row>
    <row r="693" spans="1:10" x14ac:dyDescent="0.25">
      <c r="A693" s="23" t="s">
        <v>1505</v>
      </c>
      <c r="B693" s="37" t="str">
        <f>INDEX(Product!$B:$B,MATCH($A693,Product!$A:$A,0))</f>
        <v>[Urgo] Gạc lưới tẩm bạc chống dính - UrgoTul Ag/Silver (15cmx20cm)</v>
      </c>
      <c r="C693" s="37" t="str">
        <f>INDEX(Product!$D:$D,MATCH($A693,Product!$A:$A,0))</f>
        <v>Gạc lưới chống dính</v>
      </c>
      <c r="D693" s="23" t="s">
        <v>2386</v>
      </c>
      <c r="E693" s="37" t="str">
        <f>INDEX('Attribute Definition'!$B:$B,MATCH($D693,'Attribute Definition'!$A:$A,0))</f>
        <v>Thành phần kháng khuẩn</v>
      </c>
      <c r="F693" s="38" t="s">
        <v>2657</v>
      </c>
      <c r="G693" s="39" t="str" cm="1">
        <f t="array" ref="G693">_xlfn.TEXTJOIN("; ",TRUE,_xlfn.UNIQUE(_xlfn._xlws.FILTER('Product Variant Attribute'!$F$2:$F$3000,('Product Variant Attribute'!$B$2:$B$3000=$A693)*('Product Variant Attribute'!$D$2:$D$3000=$D693),"")))</f>
        <v>Bạc (Ag)</v>
      </c>
      <c r="H693" s="39"/>
      <c r="I693" s="39"/>
      <c r="J693" s="39" t="str" cm="1">
        <f t="array" ref="J693">IF($I693="","",_xlfn.TEXTJOIN("; ",TRUE,_xlfn.UNIQUE(_xlfn._xlws.FILTER($A$2:$A$3000,($C$2:$C$3000=$C693)*($E$2:$E$3000=$E693)*($G$2:$G$3000&lt;&gt;$G693)*($G$2:$G$3000&lt;&gt;""),""))))</f>
        <v/>
      </c>
    </row>
    <row r="694" spans="1:10" x14ac:dyDescent="0.25">
      <c r="A694" s="23" t="s">
        <v>1505</v>
      </c>
      <c r="B694" s="37" t="str">
        <f>INDEX(Product!$B:$B,MATCH($A694,Product!$A:$A,0))</f>
        <v>[Urgo] Gạc lưới tẩm bạc chống dính - UrgoTul Ag/Silver (15cmx20cm)</v>
      </c>
      <c r="C694" s="37" t="str">
        <f>INDEX(Product!$D:$D,MATCH($A694,Product!$A:$A,0))</f>
        <v>Gạc lưới chống dính</v>
      </c>
      <c r="D694" s="23" t="s">
        <v>2471</v>
      </c>
      <c r="E694" s="37" t="str">
        <f>INDEX('Attribute Definition'!$B:$B,MATCH($D694,'Attribute Definition'!$A:$A,0))</f>
        <v>Dạng sản phẩm</v>
      </c>
      <c r="F694" s="38" t="s">
        <v>2657</v>
      </c>
      <c r="G694" s="39" t="str" cm="1">
        <f t="array" ref="G694">_xlfn.TEXTJOIN("; ",TRUE,_xlfn.UNIQUE(_xlfn._xlws.FILTER('Product Variant Attribute'!$F$2:$F$3000,('Product Variant Attribute'!$B$2:$B$3000=$A694)*('Product Variant Attribute'!$D$2:$D$3000=$D694),"")))</f>
        <v>Miếng dán / gạc</v>
      </c>
      <c r="H694" s="39"/>
      <c r="I694" s="39"/>
      <c r="J694" s="39" t="str" cm="1">
        <f t="array" ref="J694">IF($I694="","",_xlfn.TEXTJOIN("; ",TRUE,_xlfn.UNIQUE(_xlfn._xlws.FILTER($A$2:$A$3000,($C$2:$C$3000=$C694)*($E$2:$E$3000=$E694)*($G$2:$G$3000&lt;&gt;$G694)*($G$2:$G$3000&lt;&gt;""),""))))</f>
        <v/>
      </c>
    </row>
    <row r="695" spans="1:10" x14ac:dyDescent="0.25">
      <c r="A695" s="23" t="s">
        <v>1507</v>
      </c>
      <c r="B695" s="37" t="str">
        <f>INDEX(Product!$B:$B,MATCH($A695,Product!$A:$A,0))</f>
        <v>[Urgo] Gạc lưới tẩm bạc chống dính - UrgoTul Ag/Silver (5cmx5cm)</v>
      </c>
      <c r="C695" s="37" t="str">
        <f>INDEX(Product!$D:$D,MATCH($A695,Product!$A:$A,0))</f>
        <v>Gạc lưới chống dính</v>
      </c>
      <c r="D695" s="23" t="s">
        <v>2342</v>
      </c>
      <c r="E695" s="37" t="str">
        <f>INDEX('Attribute Definition'!$B:$B,MATCH($D695,'Attribute Definition'!$A:$A,0))</f>
        <v>Kích thước</v>
      </c>
      <c r="F695" s="38" t="s">
        <v>2657</v>
      </c>
      <c r="G695" s="39" t="str" cm="1">
        <f t="array" ref="G695">_xlfn.TEXTJOIN("; ",TRUE,_xlfn.UNIQUE(_xlfn._xlws.FILTER('Product Variant Attribute'!$F$2:$F$3000,('Product Variant Attribute'!$B$2:$B$3000=$A695)*('Product Variant Attribute'!$D$2:$D$3000=$D695),"")))</f>
        <v>5cmx5cm</v>
      </c>
      <c r="H695" s="39"/>
      <c r="I695" s="39"/>
      <c r="J695" s="39" t="str" cm="1">
        <f t="array" ref="J695">IF($I695="","",_xlfn.TEXTJOIN("; ",TRUE,_xlfn.UNIQUE(_xlfn._xlws.FILTER($A$2:$A$3000,($C$2:$C$3000=$C695)*($E$2:$E$3000=$E695)*($G$2:$G$3000&lt;&gt;$G695)*($G$2:$G$3000&lt;&gt;""),""))))</f>
        <v/>
      </c>
    </row>
    <row r="696" spans="1:10" x14ac:dyDescent="0.25">
      <c r="A696" s="23" t="s">
        <v>1507</v>
      </c>
      <c r="B696" s="37" t="str">
        <f>INDEX(Product!$B:$B,MATCH($A696,Product!$A:$A,0))</f>
        <v>[Urgo] Gạc lưới tẩm bạc chống dính - UrgoTul Ag/Silver (5cmx5cm)</v>
      </c>
      <c r="C696" s="37" t="str">
        <f>INDEX(Product!$D:$D,MATCH($A696,Product!$A:$A,0))</f>
        <v>Gạc lưới chống dính</v>
      </c>
      <c r="D696" s="23" t="s">
        <v>2386</v>
      </c>
      <c r="E696" s="37" t="str">
        <f>INDEX('Attribute Definition'!$B:$B,MATCH($D696,'Attribute Definition'!$A:$A,0))</f>
        <v>Thành phần kháng khuẩn</v>
      </c>
      <c r="F696" s="38" t="s">
        <v>2657</v>
      </c>
      <c r="G696" s="39" t="str" cm="1">
        <f t="array" ref="G696">_xlfn.TEXTJOIN("; ",TRUE,_xlfn.UNIQUE(_xlfn._xlws.FILTER('Product Variant Attribute'!$F$2:$F$3000,('Product Variant Attribute'!$B$2:$B$3000=$A696)*('Product Variant Attribute'!$D$2:$D$3000=$D696),"")))</f>
        <v>Bạc (Ag)</v>
      </c>
      <c r="H696" s="39"/>
      <c r="I696" s="39"/>
      <c r="J696" s="39" t="str" cm="1">
        <f t="array" ref="J696">IF($I696="","",_xlfn.TEXTJOIN("; ",TRUE,_xlfn.UNIQUE(_xlfn._xlws.FILTER($A$2:$A$3000,($C$2:$C$3000=$C696)*($E$2:$E$3000=$E696)*($G$2:$G$3000&lt;&gt;$G696)*($G$2:$G$3000&lt;&gt;""),""))))</f>
        <v/>
      </c>
    </row>
    <row r="697" spans="1:10" x14ac:dyDescent="0.25">
      <c r="A697" s="23" t="s">
        <v>1507</v>
      </c>
      <c r="B697" s="37" t="str">
        <f>INDEX(Product!$B:$B,MATCH($A697,Product!$A:$A,0))</f>
        <v>[Urgo] Gạc lưới tẩm bạc chống dính - UrgoTul Ag/Silver (5cmx5cm)</v>
      </c>
      <c r="C697" s="37" t="str">
        <f>INDEX(Product!$D:$D,MATCH($A697,Product!$A:$A,0))</f>
        <v>Gạc lưới chống dính</v>
      </c>
      <c r="D697" s="23" t="s">
        <v>2471</v>
      </c>
      <c r="E697" s="37" t="str">
        <f>INDEX('Attribute Definition'!$B:$B,MATCH($D697,'Attribute Definition'!$A:$A,0))</f>
        <v>Dạng sản phẩm</v>
      </c>
      <c r="F697" s="38" t="s">
        <v>2657</v>
      </c>
      <c r="G697" s="39" t="str" cm="1">
        <f t="array" ref="G697">_xlfn.TEXTJOIN("; ",TRUE,_xlfn.UNIQUE(_xlfn._xlws.FILTER('Product Variant Attribute'!$F$2:$F$3000,('Product Variant Attribute'!$B$2:$B$3000=$A697)*('Product Variant Attribute'!$D$2:$D$3000=$D697),"")))</f>
        <v>Miếng dán / gạc</v>
      </c>
      <c r="H697" s="39"/>
      <c r="I697" s="39"/>
      <c r="J697" s="39" t="str" cm="1">
        <f t="array" ref="J697">IF($I697="","",_xlfn.TEXTJOIN("; ",TRUE,_xlfn.UNIQUE(_xlfn._xlws.FILTER($A$2:$A$3000,($C$2:$C$3000=$C697)*($E$2:$E$3000=$E697)*($G$2:$G$3000&lt;&gt;$G697)*($G$2:$G$3000&lt;&gt;""),""))))</f>
        <v/>
      </c>
    </row>
    <row r="698" spans="1:10" x14ac:dyDescent="0.25">
      <c r="A698" s="23" t="s">
        <v>1509</v>
      </c>
      <c r="B698" s="37" t="str">
        <f>INDEX(Product!$B:$B,MATCH($A698,Product!$A:$A,0))</f>
        <v>[Wonbiogen] Băng gạc xốp không dính vết thương - Therasorb Algi Plus Adhesive (9cmx15cm)</v>
      </c>
      <c r="C698" s="37" t="str">
        <f>INDEX(Product!$D:$D,MATCH($A698,Product!$A:$A,0))</f>
        <v>Gạc xốp hút dịch</v>
      </c>
      <c r="D698" s="23" t="s">
        <v>2342</v>
      </c>
      <c r="E698" s="37" t="str">
        <f>INDEX('Attribute Definition'!$B:$B,MATCH($D698,'Attribute Definition'!$A:$A,0))</f>
        <v>Kích thước</v>
      </c>
      <c r="F698" s="38" t="s">
        <v>2657</v>
      </c>
      <c r="G698" s="39" t="str" cm="1">
        <f t="array" ref="G698">_xlfn.TEXTJOIN("; ",TRUE,_xlfn.UNIQUE(_xlfn._xlws.FILTER('Product Variant Attribute'!$F$2:$F$3000,('Product Variant Attribute'!$B$2:$B$3000=$A698)*('Product Variant Attribute'!$D$2:$D$3000=$D698),"")))</f>
        <v>9cmx15cm</v>
      </c>
      <c r="H698" s="39"/>
      <c r="I698" s="39"/>
      <c r="J698" s="39" t="str" cm="1">
        <f t="array" ref="J698">IF($I698="","",_xlfn.TEXTJOIN("; ",TRUE,_xlfn.UNIQUE(_xlfn._xlws.FILTER($A$2:$A$3000,($C$2:$C$3000=$C698)*($E$2:$E$3000=$E698)*($G$2:$G$3000&lt;&gt;$G698)*($G$2:$G$3000&lt;&gt;""),""))))</f>
        <v/>
      </c>
    </row>
    <row r="699" spans="1:10" ht="45" x14ac:dyDescent="0.25">
      <c r="A699" s="23" t="s">
        <v>1509</v>
      </c>
      <c r="B699" s="37" t="str">
        <f>INDEX(Product!$B:$B,MATCH($A699,Product!$A:$A,0))</f>
        <v>[Wonbiogen] Băng gạc xốp không dính vết thương - Therasorb Algi Plus Adhesive (9cmx15cm)</v>
      </c>
      <c r="C699" s="37" t="str">
        <f>INDEX(Product!$D:$D,MATCH($A699,Product!$A:$A,0))</f>
        <v>Gạc xốp hút dịch</v>
      </c>
      <c r="D699" s="23" t="s">
        <v>2367</v>
      </c>
      <c r="E699" s="37" t="str">
        <f>INDEX('Attribute Definition'!$B:$B,MATCH($D699,'Attribute Definition'!$A:$A,0))</f>
        <v>Chất liệu</v>
      </c>
      <c r="F699" s="38" t="s">
        <v>2657</v>
      </c>
      <c r="G699" s="39" t="str" cm="1">
        <f t="array" ref="G699">_xlfn.TEXTJOIN("; ",TRUE,_xlfn.UNIQUE(_xlfn._xlws.FILTER('Product Variant Attribute'!$F$2:$F$3000,('Product Variant Attribute'!$B$2:$B$3000=$A699)*('Product Variant Attribute'!$D$2:$D$3000=$D699),"")))</f>
        <v>Alginate</v>
      </c>
      <c r="H699" s="39"/>
      <c r="I699" s="39" t="s">
        <v>2712</v>
      </c>
      <c r="J699" s="39" t="str" cm="1">
        <f t="array" ref="J699">IF($I699="","",_xlfn.TEXTJOIN("; ",TRUE,_xlfn.UNIQUE(_xlfn._xlws.FILTER($A$2:$A$3000,($C$2:$C$3000=$C699)*($E$2:$E$3000=$E699)*($G$2:$G$3000&lt;&gt;$G699)*($G$2:$G$3000&lt;&gt;""),""))))</f>
        <v>PRODUCT-00018; PRODUCT-00033</v>
      </c>
    </row>
    <row r="700" spans="1:10" ht="75" x14ac:dyDescent="0.25">
      <c r="A700" s="23" t="s">
        <v>1509</v>
      </c>
      <c r="B700" s="37" t="str">
        <f>INDEX(Product!$B:$B,MATCH($A700,Product!$A:$A,0))</f>
        <v>[Wonbiogen] Băng gạc xốp không dính vết thương - Therasorb Algi Plus Adhesive (9cmx15cm)</v>
      </c>
      <c r="C700" s="37" t="str">
        <f>INDEX(Product!$D:$D,MATCH($A700,Product!$A:$A,0))</f>
        <v>Gạc xốp hút dịch</v>
      </c>
      <c r="D700" s="23" t="s">
        <v>2391</v>
      </c>
      <c r="E700" s="37" t="str">
        <f>INDEX('Attribute Definition'!$B:$B,MATCH($D700,'Attribute Definition'!$A:$A,0))</f>
        <v>Kiểu viền</v>
      </c>
      <c r="F700" s="38" t="s">
        <v>2657</v>
      </c>
      <c r="G700" s="39" t="str" cm="1">
        <f t="array" ref="G700">_xlfn.TEXTJOIN("; ",TRUE,_xlfn.UNIQUE(_xlfn._xlws.FILTER('Product Variant Attribute'!$F$2:$F$3000,('Product Variant Attribute'!$B$2:$B$3000=$A700)*('Product Variant Attribute'!$D$2:$D$3000=$D700),"")))</f>
        <v>Có viền dính</v>
      </c>
      <c r="H700" s="39"/>
      <c r="I700" s="39" t="s">
        <v>2713</v>
      </c>
      <c r="J700" s="39" t="str" cm="1">
        <f t="array" ref="J700">IF($I700="","",_xlfn.TEXTJOIN("; ",TRUE,_xlfn.UNIQUE(_xlfn._xlws.FILTER($A$2:$A$3000,($C$2:$C$3000=$C700)*($E$2:$E$3000=$E700)*($G$2:$G$3000&lt;&gt;$G700)*($G$2:$G$3000&lt;&gt;""),""))))</f>
        <v>PRODUCT-00018; PRODUCT-00028; PRODUCT-00033; PRODUCT-00266; PRODUCT-00267; PRODUCT-00268; PRODUCT-00269; PRODUCT-00270; PRODUCT-00271</v>
      </c>
    </row>
    <row r="701" spans="1:10" x14ac:dyDescent="0.25">
      <c r="A701" s="23" t="s">
        <v>1509</v>
      </c>
      <c r="B701" s="37" t="str">
        <f>INDEX(Product!$B:$B,MATCH($A701,Product!$A:$A,0))</f>
        <v>[Wonbiogen] Băng gạc xốp không dính vết thương - Therasorb Algi Plus Adhesive (9cmx15cm)</v>
      </c>
      <c r="C701" s="37" t="str">
        <f>INDEX(Product!$D:$D,MATCH($A701,Product!$A:$A,0))</f>
        <v>Gạc xốp hút dịch</v>
      </c>
      <c r="D701" s="23" t="s">
        <v>2471</v>
      </c>
      <c r="E701" s="37" t="str">
        <f>INDEX('Attribute Definition'!$B:$B,MATCH($D701,'Attribute Definition'!$A:$A,0))</f>
        <v>Dạng sản phẩm</v>
      </c>
      <c r="F701" s="38" t="s">
        <v>2657</v>
      </c>
      <c r="G701" s="39" t="str" cm="1">
        <f t="array" ref="G701">_xlfn.TEXTJOIN("; ",TRUE,_xlfn.UNIQUE(_xlfn._xlws.FILTER('Product Variant Attribute'!$F$2:$F$3000,('Product Variant Attribute'!$B$2:$B$3000=$A701)*('Product Variant Attribute'!$D$2:$D$3000=$D701),"")))</f>
        <v>Miếng dán / gạc</v>
      </c>
      <c r="H701" s="39"/>
      <c r="I701" s="39"/>
      <c r="J701" s="39" t="str" cm="1">
        <f t="array" ref="J701">IF($I701="","",_xlfn.TEXTJOIN("; ",TRUE,_xlfn.UNIQUE(_xlfn._xlws.FILTER($A$2:$A$3000,($C$2:$C$3000=$C701)*($E$2:$E$3000=$E701)*($G$2:$G$3000&lt;&gt;$G701)*($G$2:$G$3000&lt;&gt;""),""))))</f>
        <v/>
      </c>
    </row>
    <row r="702" spans="1:10" x14ac:dyDescent="0.25">
      <c r="A702" s="23" t="s">
        <v>1511</v>
      </c>
      <c r="B702" s="37" t="str">
        <f>INDEX(Product!$B:$B,MATCH($A702,Product!$A:$A,0))</f>
        <v>[Wonbiogen] Băng gạc xốp không dính vết thương - Therasorb Algi Plus Adhesive (9cmx20cm)</v>
      </c>
      <c r="C702" s="37" t="str">
        <f>INDEX(Product!$D:$D,MATCH($A702,Product!$A:$A,0))</f>
        <v>Gạc xốp hút dịch</v>
      </c>
      <c r="D702" s="23" t="s">
        <v>2342</v>
      </c>
      <c r="E702" s="37" t="str">
        <f>INDEX('Attribute Definition'!$B:$B,MATCH($D702,'Attribute Definition'!$A:$A,0))</f>
        <v>Kích thước</v>
      </c>
      <c r="F702" s="38" t="s">
        <v>2657</v>
      </c>
      <c r="G702" s="39" t="str" cm="1">
        <f t="array" ref="G702">_xlfn.TEXTJOIN("; ",TRUE,_xlfn.UNIQUE(_xlfn._xlws.FILTER('Product Variant Attribute'!$F$2:$F$3000,('Product Variant Attribute'!$B$2:$B$3000=$A702)*('Product Variant Attribute'!$D$2:$D$3000=$D702),"")))</f>
        <v>9cmx20cm</v>
      </c>
      <c r="H702" s="39"/>
      <c r="I702" s="39"/>
      <c r="J702" s="39" t="str" cm="1">
        <f t="array" ref="J702">IF($I702="","",_xlfn.TEXTJOIN("; ",TRUE,_xlfn.UNIQUE(_xlfn._xlws.FILTER($A$2:$A$3000,($C$2:$C$3000=$C702)*($E$2:$E$3000=$E702)*($G$2:$G$3000&lt;&gt;$G702)*($G$2:$G$3000&lt;&gt;""),""))))</f>
        <v/>
      </c>
    </row>
    <row r="703" spans="1:10" ht="45" x14ac:dyDescent="0.25">
      <c r="A703" s="23" t="s">
        <v>1511</v>
      </c>
      <c r="B703" s="37" t="str">
        <f>INDEX(Product!$B:$B,MATCH($A703,Product!$A:$A,0))</f>
        <v>[Wonbiogen] Băng gạc xốp không dính vết thương - Therasorb Algi Plus Adhesive (9cmx20cm)</v>
      </c>
      <c r="C703" s="37" t="str">
        <f>INDEX(Product!$D:$D,MATCH($A703,Product!$A:$A,0))</f>
        <v>Gạc xốp hút dịch</v>
      </c>
      <c r="D703" s="23" t="s">
        <v>2367</v>
      </c>
      <c r="E703" s="37" t="str">
        <f>INDEX('Attribute Definition'!$B:$B,MATCH($D703,'Attribute Definition'!$A:$A,0))</f>
        <v>Chất liệu</v>
      </c>
      <c r="F703" s="38" t="s">
        <v>2657</v>
      </c>
      <c r="G703" s="39" t="str" cm="1">
        <f t="array" ref="G703">_xlfn.TEXTJOIN("; ",TRUE,_xlfn.UNIQUE(_xlfn._xlws.FILTER('Product Variant Attribute'!$F$2:$F$3000,('Product Variant Attribute'!$B$2:$B$3000=$A703)*('Product Variant Attribute'!$D$2:$D$3000=$D703),"")))</f>
        <v>Alginate</v>
      </c>
      <c r="H703" s="39"/>
      <c r="I703" s="39" t="s">
        <v>2712</v>
      </c>
      <c r="J703" s="39" t="str" cm="1">
        <f t="array" ref="J703">IF($I703="","",_xlfn.TEXTJOIN("; ",TRUE,_xlfn.UNIQUE(_xlfn._xlws.FILTER($A$2:$A$3000,($C$2:$C$3000=$C703)*($E$2:$E$3000=$E703)*($G$2:$G$3000&lt;&gt;$G703)*($G$2:$G$3000&lt;&gt;""),""))))</f>
        <v>PRODUCT-00018; PRODUCT-00033</v>
      </c>
    </row>
    <row r="704" spans="1:10" ht="75" x14ac:dyDescent="0.25">
      <c r="A704" s="23" t="s">
        <v>1511</v>
      </c>
      <c r="B704" s="37" t="str">
        <f>INDEX(Product!$B:$B,MATCH($A704,Product!$A:$A,0))</f>
        <v>[Wonbiogen] Băng gạc xốp không dính vết thương - Therasorb Algi Plus Adhesive (9cmx20cm)</v>
      </c>
      <c r="C704" s="37" t="str">
        <f>INDEX(Product!$D:$D,MATCH($A704,Product!$A:$A,0))</f>
        <v>Gạc xốp hút dịch</v>
      </c>
      <c r="D704" s="23" t="s">
        <v>2391</v>
      </c>
      <c r="E704" s="37" t="str">
        <f>INDEX('Attribute Definition'!$B:$B,MATCH($D704,'Attribute Definition'!$A:$A,0))</f>
        <v>Kiểu viền</v>
      </c>
      <c r="F704" s="38" t="s">
        <v>2657</v>
      </c>
      <c r="G704" s="39" t="str" cm="1">
        <f t="array" ref="G704">_xlfn.TEXTJOIN("; ",TRUE,_xlfn.UNIQUE(_xlfn._xlws.FILTER('Product Variant Attribute'!$F$2:$F$3000,('Product Variant Attribute'!$B$2:$B$3000=$A704)*('Product Variant Attribute'!$D$2:$D$3000=$D704),"")))</f>
        <v>Có viền dính</v>
      </c>
      <c r="H704" s="39"/>
      <c r="I704" s="39" t="s">
        <v>2713</v>
      </c>
      <c r="J704" s="39" t="str" cm="1">
        <f t="array" ref="J704">IF($I704="","",_xlfn.TEXTJOIN("; ",TRUE,_xlfn.UNIQUE(_xlfn._xlws.FILTER($A$2:$A$3000,($C$2:$C$3000=$C704)*($E$2:$E$3000=$E704)*($G$2:$G$3000&lt;&gt;$G704)*($G$2:$G$3000&lt;&gt;""),""))))</f>
        <v>PRODUCT-00018; PRODUCT-00028; PRODUCT-00033; PRODUCT-00266; PRODUCT-00267; PRODUCT-00268; PRODUCT-00269; PRODUCT-00270; PRODUCT-00271</v>
      </c>
    </row>
    <row r="705" spans="1:10" x14ac:dyDescent="0.25">
      <c r="A705" s="23" t="s">
        <v>1511</v>
      </c>
      <c r="B705" s="37" t="str">
        <f>INDEX(Product!$B:$B,MATCH($A705,Product!$A:$A,0))</f>
        <v>[Wonbiogen] Băng gạc xốp không dính vết thương - Therasorb Algi Plus Adhesive (9cmx20cm)</v>
      </c>
      <c r="C705" s="37" t="str">
        <f>INDEX(Product!$D:$D,MATCH($A705,Product!$A:$A,0))</f>
        <v>Gạc xốp hút dịch</v>
      </c>
      <c r="D705" s="23" t="s">
        <v>2471</v>
      </c>
      <c r="E705" s="37" t="str">
        <f>INDEX('Attribute Definition'!$B:$B,MATCH($D705,'Attribute Definition'!$A:$A,0))</f>
        <v>Dạng sản phẩm</v>
      </c>
      <c r="F705" s="38" t="s">
        <v>2657</v>
      </c>
      <c r="G705" s="39" t="str" cm="1">
        <f t="array" ref="G705">_xlfn.TEXTJOIN("; ",TRUE,_xlfn.UNIQUE(_xlfn._xlws.FILTER('Product Variant Attribute'!$F$2:$F$3000,('Product Variant Attribute'!$B$2:$B$3000=$A705)*('Product Variant Attribute'!$D$2:$D$3000=$D705),"")))</f>
        <v>Miếng dán / gạc</v>
      </c>
      <c r="H705" s="39"/>
      <c r="I705" s="39"/>
      <c r="J705" s="39" t="str" cm="1">
        <f t="array" ref="J705">IF($I705="","",_xlfn.TEXTJOIN("; ",TRUE,_xlfn.UNIQUE(_xlfn._xlws.FILTER($A$2:$A$3000,($C$2:$C$3000=$C705)*($E$2:$E$3000=$E705)*($G$2:$G$3000&lt;&gt;$G705)*($G$2:$G$3000&lt;&gt;""),""))))</f>
        <v/>
      </c>
    </row>
    <row r="706" spans="1:10" x14ac:dyDescent="0.25">
      <c r="A706" s="23" t="s">
        <v>1513</v>
      </c>
      <c r="B706" s="37" t="str">
        <f>INDEX(Product!$B:$B,MATCH($A706,Product!$A:$A,0))</f>
        <v>[Wonbiogen] Gạc xốp siêu thấm hút dịch tiết vết thương - Therasorb Algi Plus Hydrophilic (20cmx20cmx0.5cm)</v>
      </c>
      <c r="C706" s="37" t="str">
        <f>INDEX(Product!$D:$D,MATCH($A706,Product!$A:$A,0))</f>
        <v>Gạc xốp hút dịch</v>
      </c>
      <c r="D706" s="23" t="s">
        <v>2342</v>
      </c>
      <c r="E706" s="37" t="str">
        <f>INDEX('Attribute Definition'!$B:$B,MATCH($D706,'Attribute Definition'!$A:$A,0))</f>
        <v>Kích thước</v>
      </c>
      <c r="F706" s="38" t="s">
        <v>2657</v>
      </c>
      <c r="G706" s="39" t="str" cm="1">
        <f t="array" ref="G706">_xlfn.TEXTJOIN("; ",TRUE,_xlfn.UNIQUE(_xlfn._xlws.FILTER('Product Variant Attribute'!$F$2:$F$3000,('Product Variant Attribute'!$B$2:$B$3000=$A706)*('Product Variant Attribute'!$D$2:$D$3000=$D706),"")))</f>
        <v>20cmx20cmx0.5cm</v>
      </c>
      <c r="H706" s="39"/>
      <c r="I706" s="39"/>
      <c r="J706" s="39" t="str" cm="1">
        <f t="array" ref="J706">IF($I706="","",_xlfn.TEXTJOIN("; ",TRUE,_xlfn.UNIQUE(_xlfn._xlws.FILTER($A$2:$A$3000,($C$2:$C$3000=$C706)*($E$2:$E$3000=$E706)*($G$2:$G$3000&lt;&gt;$G706)*($G$2:$G$3000&lt;&gt;""),""))))</f>
        <v/>
      </c>
    </row>
    <row r="707" spans="1:10" ht="45" x14ac:dyDescent="0.25">
      <c r="A707" s="23" t="s">
        <v>1513</v>
      </c>
      <c r="B707" s="37" t="str">
        <f>INDEX(Product!$B:$B,MATCH($A707,Product!$A:$A,0))</f>
        <v>[Wonbiogen] Gạc xốp siêu thấm hút dịch tiết vết thương - Therasorb Algi Plus Hydrophilic (20cmx20cmx0.5cm)</v>
      </c>
      <c r="C707" s="37" t="str">
        <f>INDEX(Product!$D:$D,MATCH($A707,Product!$A:$A,0))</f>
        <v>Gạc xốp hút dịch</v>
      </c>
      <c r="D707" s="23" t="s">
        <v>2367</v>
      </c>
      <c r="E707" s="37" t="str">
        <f>INDEX('Attribute Definition'!$B:$B,MATCH($D707,'Attribute Definition'!$A:$A,0))</f>
        <v>Chất liệu</v>
      </c>
      <c r="F707" s="38" t="s">
        <v>2657</v>
      </c>
      <c r="G707" s="39" t="str" cm="1">
        <f t="array" ref="G707">_xlfn.TEXTJOIN("; ",TRUE,_xlfn.UNIQUE(_xlfn._xlws.FILTER('Product Variant Attribute'!$F$2:$F$3000,('Product Variant Attribute'!$B$2:$B$3000=$A707)*('Product Variant Attribute'!$D$2:$D$3000=$D707),"")))</f>
        <v>Alginate</v>
      </c>
      <c r="H707" s="39"/>
      <c r="I707" s="39" t="s">
        <v>2712</v>
      </c>
      <c r="J707" s="39" t="str" cm="1">
        <f t="array" ref="J707">IF($I707="","",_xlfn.TEXTJOIN("; ",TRUE,_xlfn.UNIQUE(_xlfn._xlws.FILTER($A$2:$A$3000,($C$2:$C$3000=$C707)*($E$2:$E$3000=$E707)*($G$2:$G$3000&lt;&gt;$G707)*($G$2:$G$3000&lt;&gt;""),""))))</f>
        <v>PRODUCT-00018; PRODUCT-00033</v>
      </c>
    </row>
    <row r="708" spans="1:10" ht="45" x14ac:dyDescent="0.25">
      <c r="A708" s="23" t="s">
        <v>1513</v>
      </c>
      <c r="B708" s="37" t="str">
        <f>INDEX(Product!$B:$B,MATCH($A708,Product!$A:$A,0))</f>
        <v>[Wonbiogen] Gạc xốp siêu thấm hút dịch tiết vết thương - Therasorb Algi Plus Hydrophilic (20cmx20cmx0.5cm)</v>
      </c>
      <c r="C708" s="37" t="str">
        <f>INDEX(Product!$D:$D,MATCH($A708,Product!$A:$A,0))</f>
        <v>Gạc xốp hút dịch</v>
      </c>
      <c r="D708" s="23" t="s">
        <v>2391</v>
      </c>
      <c r="E708" s="37" t="str">
        <f>INDEX('Attribute Definition'!$B:$B,MATCH($D708,'Attribute Definition'!$A:$A,0))</f>
        <v>Kiểu viền</v>
      </c>
      <c r="F708" s="38" t="s">
        <v>2657</v>
      </c>
      <c r="G708" s="39" t="str" cm="1">
        <f t="array" ref="G708">_xlfn.TEXTJOIN("; ",TRUE,_xlfn.UNIQUE(_xlfn._xlws.FILTER('Product Variant Attribute'!$F$2:$F$3000,('Product Variant Attribute'!$B$2:$B$3000=$A708)*('Product Variant Attribute'!$D$2:$D$3000=$D708),"")))</f>
        <v>Không viền dính</v>
      </c>
      <c r="H708" s="39"/>
      <c r="I708" s="39" t="s">
        <v>2714</v>
      </c>
      <c r="J708" s="39" t="str" cm="1">
        <f t="array" ref="J708">IF($I708="","",_xlfn.TEXTJOIN("; ",TRUE,_xlfn.UNIQUE(_xlfn._xlws.FILTER($A$2:$A$3000,($C$2:$C$3000=$C708)*($E$2:$E$3000=$E708)*($G$2:$G$3000&lt;&gt;$G708)*($G$2:$G$3000&lt;&gt;""),""))))</f>
        <v>PRODUCT-00018; PRODUCT-00027; PRODUCT-00033; PRODUCT-00264; PRODUCT-00265</v>
      </c>
    </row>
    <row r="709" spans="1:10" x14ac:dyDescent="0.25">
      <c r="A709" s="23" t="s">
        <v>1513</v>
      </c>
      <c r="B709" s="37" t="str">
        <f>INDEX(Product!$B:$B,MATCH($A709,Product!$A:$A,0))</f>
        <v>[Wonbiogen] Gạc xốp siêu thấm hút dịch tiết vết thương - Therasorb Algi Plus Hydrophilic (20cmx20cmx0.5cm)</v>
      </c>
      <c r="C709" s="37" t="str">
        <f>INDEX(Product!$D:$D,MATCH($A709,Product!$A:$A,0))</f>
        <v>Gạc xốp hút dịch</v>
      </c>
      <c r="D709" s="23" t="s">
        <v>2471</v>
      </c>
      <c r="E709" s="37" t="str">
        <f>INDEX('Attribute Definition'!$B:$B,MATCH($D709,'Attribute Definition'!$A:$A,0))</f>
        <v>Dạng sản phẩm</v>
      </c>
      <c r="F709" s="38" t="s">
        <v>2657</v>
      </c>
      <c r="G709" s="39" t="str" cm="1">
        <f t="array" ref="G709">_xlfn.TEXTJOIN("; ",TRUE,_xlfn.UNIQUE(_xlfn._xlws.FILTER('Product Variant Attribute'!$F$2:$F$3000,('Product Variant Attribute'!$B$2:$B$3000=$A709)*('Product Variant Attribute'!$D$2:$D$3000=$D709),"")))</f>
        <v>Miếng dán / gạc</v>
      </c>
      <c r="H709" s="39"/>
      <c r="I709" s="39"/>
      <c r="J709" s="39" t="str" cm="1">
        <f t="array" ref="J709">IF($I709="","",_xlfn.TEXTJOIN("; ",TRUE,_xlfn.UNIQUE(_xlfn._xlws.FILTER($A$2:$A$3000,($C$2:$C$3000=$C709)*($E$2:$E$3000=$E709)*($G$2:$G$3000&lt;&gt;$G709)*($G$2:$G$3000&lt;&gt;""),""))))</f>
        <v/>
      </c>
    </row>
    <row r="710" spans="1:10" x14ac:dyDescent="0.25">
      <c r="A710" s="23" t="s">
        <v>1515</v>
      </c>
      <c r="B710" s="37" t="str">
        <f>INDEX(Product!$B:$B,MATCH($A710,Product!$A:$A,0))</f>
        <v>[Wonbiogen] Gạc xốp siêu thấm hút dịch tiết vết thương - Therasorb Algi Plus Hydrophilic (35cmx50cmx0.5cm)</v>
      </c>
      <c r="C710" s="37" t="str">
        <f>INDEX(Product!$D:$D,MATCH($A710,Product!$A:$A,0))</f>
        <v>Gạc xốp hút dịch</v>
      </c>
      <c r="D710" s="23" t="s">
        <v>2342</v>
      </c>
      <c r="E710" s="37" t="str">
        <f>INDEX('Attribute Definition'!$B:$B,MATCH($D710,'Attribute Definition'!$A:$A,0))</f>
        <v>Kích thước</v>
      </c>
      <c r="F710" s="38" t="s">
        <v>2657</v>
      </c>
      <c r="G710" s="39" t="str" cm="1">
        <f t="array" ref="G710">_xlfn.TEXTJOIN("; ",TRUE,_xlfn.UNIQUE(_xlfn._xlws.FILTER('Product Variant Attribute'!$F$2:$F$3000,('Product Variant Attribute'!$B$2:$B$3000=$A710)*('Product Variant Attribute'!$D$2:$D$3000=$D710),"")))</f>
        <v>35cmx50cmx0.5cm</v>
      </c>
      <c r="H710" s="39"/>
      <c r="I710" s="39"/>
      <c r="J710" s="39" t="str" cm="1">
        <f t="array" ref="J710">IF($I710="","",_xlfn.TEXTJOIN("; ",TRUE,_xlfn.UNIQUE(_xlfn._xlws.FILTER($A$2:$A$3000,($C$2:$C$3000=$C710)*($E$2:$E$3000=$E710)*($G$2:$G$3000&lt;&gt;$G710)*($G$2:$G$3000&lt;&gt;""),""))))</f>
        <v/>
      </c>
    </row>
    <row r="711" spans="1:10" ht="45" x14ac:dyDescent="0.25">
      <c r="A711" s="23" t="s">
        <v>1515</v>
      </c>
      <c r="B711" s="37" t="str">
        <f>INDEX(Product!$B:$B,MATCH($A711,Product!$A:$A,0))</f>
        <v>[Wonbiogen] Gạc xốp siêu thấm hút dịch tiết vết thương - Therasorb Algi Plus Hydrophilic (35cmx50cmx0.5cm)</v>
      </c>
      <c r="C711" s="37" t="str">
        <f>INDEX(Product!$D:$D,MATCH($A711,Product!$A:$A,0))</f>
        <v>Gạc xốp hút dịch</v>
      </c>
      <c r="D711" s="23" t="s">
        <v>2367</v>
      </c>
      <c r="E711" s="37" t="str">
        <f>INDEX('Attribute Definition'!$B:$B,MATCH($D711,'Attribute Definition'!$A:$A,0))</f>
        <v>Chất liệu</v>
      </c>
      <c r="F711" s="38" t="s">
        <v>2657</v>
      </c>
      <c r="G711" s="39" t="str" cm="1">
        <f t="array" ref="G711">_xlfn.TEXTJOIN("; ",TRUE,_xlfn.UNIQUE(_xlfn._xlws.FILTER('Product Variant Attribute'!$F$2:$F$3000,('Product Variant Attribute'!$B$2:$B$3000=$A711)*('Product Variant Attribute'!$D$2:$D$3000=$D711),"")))</f>
        <v>Alginate</v>
      </c>
      <c r="H711" s="39"/>
      <c r="I711" s="39" t="s">
        <v>2712</v>
      </c>
      <c r="J711" s="39" t="str" cm="1">
        <f t="array" ref="J711">IF($I711="","",_xlfn.TEXTJOIN("; ",TRUE,_xlfn.UNIQUE(_xlfn._xlws.FILTER($A$2:$A$3000,($C$2:$C$3000=$C711)*($E$2:$E$3000=$E711)*($G$2:$G$3000&lt;&gt;$G711)*($G$2:$G$3000&lt;&gt;""),""))))</f>
        <v>PRODUCT-00018; PRODUCT-00033</v>
      </c>
    </row>
    <row r="712" spans="1:10" ht="45" x14ac:dyDescent="0.25">
      <c r="A712" s="23" t="s">
        <v>1515</v>
      </c>
      <c r="B712" s="37" t="str">
        <f>INDEX(Product!$B:$B,MATCH($A712,Product!$A:$A,0))</f>
        <v>[Wonbiogen] Gạc xốp siêu thấm hút dịch tiết vết thương - Therasorb Algi Plus Hydrophilic (35cmx50cmx0.5cm)</v>
      </c>
      <c r="C712" s="37" t="str">
        <f>INDEX(Product!$D:$D,MATCH($A712,Product!$A:$A,0))</f>
        <v>Gạc xốp hút dịch</v>
      </c>
      <c r="D712" s="23" t="s">
        <v>2391</v>
      </c>
      <c r="E712" s="37" t="str">
        <f>INDEX('Attribute Definition'!$B:$B,MATCH($D712,'Attribute Definition'!$A:$A,0))</f>
        <v>Kiểu viền</v>
      </c>
      <c r="F712" s="38" t="s">
        <v>2657</v>
      </c>
      <c r="G712" s="39" t="str" cm="1">
        <f t="array" ref="G712">_xlfn.TEXTJOIN("; ",TRUE,_xlfn.UNIQUE(_xlfn._xlws.FILTER('Product Variant Attribute'!$F$2:$F$3000,('Product Variant Attribute'!$B$2:$B$3000=$A712)*('Product Variant Attribute'!$D$2:$D$3000=$D712),"")))</f>
        <v>Không viền dính</v>
      </c>
      <c r="H712" s="39"/>
      <c r="I712" s="39" t="s">
        <v>2714</v>
      </c>
      <c r="J712" s="39" t="str" cm="1">
        <f t="array" ref="J712">IF($I712="","",_xlfn.TEXTJOIN("; ",TRUE,_xlfn.UNIQUE(_xlfn._xlws.FILTER($A$2:$A$3000,($C$2:$C$3000=$C712)*($E$2:$E$3000=$E712)*($G$2:$G$3000&lt;&gt;$G712)*($G$2:$G$3000&lt;&gt;""),""))))</f>
        <v>PRODUCT-00018; PRODUCT-00027; PRODUCT-00033; PRODUCT-00264; PRODUCT-00265</v>
      </c>
    </row>
    <row r="713" spans="1:10" x14ac:dyDescent="0.25">
      <c r="A713" s="23" t="s">
        <v>1515</v>
      </c>
      <c r="B713" s="37" t="str">
        <f>INDEX(Product!$B:$B,MATCH($A713,Product!$A:$A,0))</f>
        <v>[Wonbiogen] Gạc xốp siêu thấm hút dịch tiết vết thương - Therasorb Algi Plus Hydrophilic (35cmx50cmx0.5cm)</v>
      </c>
      <c r="C713" s="37" t="str">
        <f>INDEX(Product!$D:$D,MATCH($A713,Product!$A:$A,0))</f>
        <v>Gạc xốp hút dịch</v>
      </c>
      <c r="D713" s="23" t="s">
        <v>2471</v>
      </c>
      <c r="E713" s="37" t="str">
        <f>INDEX('Attribute Definition'!$B:$B,MATCH($D713,'Attribute Definition'!$A:$A,0))</f>
        <v>Dạng sản phẩm</v>
      </c>
      <c r="F713" s="38" t="s">
        <v>2657</v>
      </c>
      <c r="G713" s="39" t="str" cm="1">
        <f t="array" ref="G713">_xlfn.TEXTJOIN("; ",TRUE,_xlfn.UNIQUE(_xlfn._xlws.FILTER('Product Variant Attribute'!$F$2:$F$3000,('Product Variant Attribute'!$B$2:$B$3000=$A713)*('Product Variant Attribute'!$D$2:$D$3000=$D713),"")))</f>
        <v>Miếng dán / gạc</v>
      </c>
      <c r="H713" s="39"/>
      <c r="I713" s="39"/>
      <c r="J713" s="39" t="str" cm="1">
        <f t="array" ref="J713">IF($I713="","",_xlfn.TEXTJOIN("; ",TRUE,_xlfn.UNIQUE(_xlfn._xlws.FILTER($A$2:$A$3000,($C$2:$C$3000=$C713)*($E$2:$E$3000=$E713)*($G$2:$G$3000&lt;&gt;$G713)*($G$2:$G$3000&lt;&gt;""),""))))</f>
        <v/>
      </c>
    </row>
    <row r="714" spans="1:10" x14ac:dyDescent="0.25">
      <c r="A714" s="23" t="s">
        <v>1517</v>
      </c>
      <c r="B714" s="37" t="str">
        <f>INDEX(Product!$B:$B,MATCH($A714,Product!$A:$A,0))</f>
        <v>[Wonbiogen] Gạc xốp siêu thấm hút dịch tiết vết thương - Therasorb Algi Plus Hydrophilic (30cmx100cmx0.5cm)</v>
      </c>
      <c r="C714" s="37" t="str">
        <f>INDEX(Product!$D:$D,MATCH($A714,Product!$A:$A,0))</f>
        <v>Gạc xốp hút dịch</v>
      </c>
      <c r="D714" s="23" t="s">
        <v>2342</v>
      </c>
      <c r="E714" s="37" t="str">
        <f>INDEX('Attribute Definition'!$B:$B,MATCH($D714,'Attribute Definition'!$A:$A,0))</f>
        <v>Kích thước</v>
      </c>
      <c r="F714" s="38" t="s">
        <v>2657</v>
      </c>
      <c r="G714" s="39" t="str" cm="1">
        <f t="array" ref="G714">_xlfn.TEXTJOIN("; ",TRUE,_xlfn.UNIQUE(_xlfn._xlws.FILTER('Product Variant Attribute'!$F$2:$F$3000,('Product Variant Attribute'!$B$2:$B$3000=$A714)*('Product Variant Attribute'!$D$2:$D$3000=$D714),"")))</f>
        <v>30cmx100cmx0.5cm</v>
      </c>
      <c r="H714" s="39"/>
      <c r="I714" s="39"/>
      <c r="J714" s="39" t="str" cm="1">
        <f t="array" ref="J714">IF($I714="","",_xlfn.TEXTJOIN("; ",TRUE,_xlfn.UNIQUE(_xlfn._xlws.FILTER($A$2:$A$3000,($C$2:$C$3000=$C714)*($E$2:$E$3000=$E714)*($G$2:$G$3000&lt;&gt;$G714)*($G$2:$G$3000&lt;&gt;""),""))))</f>
        <v/>
      </c>
    </row>
    <row r="715" spans="1:10" ht="45" x14ac:dyDescent="0.25">
      <c r="A715" s="23" t="s">
        <v>1517</v>
      </c>
      <c r="B715" s="37" t="str">
        <f>INDEX(Product!$B:$B,MATCH($A715,Product!$A:$A,0))</f>
        <v>[Wonbiogen] Gạc xốp siêu thấm hút dịch tiết vết thương - Therasorb Algi Plus Hydrophilic (30cmx100cmx0.5cm)</v>
      </c>
      <c r="C715" s="37" t="str">
        <f>INDEX(Product!$D:$D,MATCH($A715,Product!$A:$A,0))</f>
        <v>Gạc xốp hút dịch</v>
      </c>
      <c r="D715" s="23" t="s">
        <v>2367</v>
      </c>
      <c r="E715" s="37" t="str">
        <f>INDEX('Attribute Definition'!$B:$B,MATCH($D715,'Attribute Definition'!$A:$A,0))</f>
        <v>Chất liệu</v>
      </c>
      <c r="F715" s="38" t="s">
        <v>2657</v>
      </c>
      <c r="G715" s="39" t="str" cm="1">
        <f t="array" ref="G715">_xlfn.TEXTJOIN("; ",TRUE,_xlfn.UNIQUE(_xlfn._xlws.FILTER('Product Variant Attribute'!$F$2:$F$3000,('Product Variant Attribute'!$B$2:$B$3000=$A715)*('Product Variant Attribute'!$D$2:$D$3000=$D715),"")))</f>
        <v>Alginate</v>
      </c>
      <c r="H715" s="39"/>
      <c r="I715" s="39" t="s">
        <v>2712</v>
      </c>
      <c r="J715" s="39" t="str" cm="1">
        <f t="array" ref="J715">IF($I715="","",_xlfn.TEXTJOIN("; ",TRUE,_xlfn.UNIQUE(_xlfn._xlws.FILTER($A$2:$A$3000,($C$2:$C$3000=$C715)*($E$2:$E$3000=$E715)*($G$2:$G$3000&lt;&gt;$G715)*($G$2:$G$3000&lt;&gt;""),""))))</f>
        <v>PRODUCT-00018; PRODUCT-00033</v>
      </c>
    </row>
    <row r="716" spans="1:10" ht="45" x14ac:dyDescent="0.25">
      <c r="A716" s="23" t="s">
        <v>1517</v>
      </c>
      <c r="B716" s="37" t="str">
        <f>INDEX(Product!$B:$B,MATCH($A716,Product!$A:$A,0))</f>
        <v>[Wonbiogen] Gạc xốp siêu thấm hút dịch tiết vết thương - Therasorb Algi Plus Hydrophilic (30cmx100cmx0.5cm)</v>
      </c>
      <c r="C716" s="37" t="str">
        <f>INDEX(Product!$D:$D,MATCH($A716,Product!$A:$A,0))</f>
        <v>Gạc xốp hút dịch</v>
      </c>
      <c r="D716" s="23" t="s">
        <v>2391</v>
      </c>
      <c r="E716" s="37" t="str">
        <f>INDEX('Attribute Definition'!$B:$B,MATCH($D716,'Attribute Definition'!$A:$A,0))</f>
        <v>Kiểu viền</v>
      </c>
      <c r="F716" s="38" t="s">
        <v>2657</v>
      </c>
      <c r="G716" s="39" t="str" cm="1">
        <f t="array" ref="G716">_xlfn.TEXTJOIN("; ",TRUE,_xlfn.UNIQUE(_xlfn._xlws.FILTER('Product Variant Attribute'!$F$2:$F$3000,('Product Variant Attribute'!$B$2:$B$3000=$A716)*('Product Variant Attribute'!$D$2:$D$3000=$D716),"")))</f>
        <v>Không viền dính</v>
      </c>
      <c r="H716" s="39"/>
      <c r="I716" s="39" t="s">
        <v>2714</v>
      </c>
      <c r="J716" s="39" t="str" cm="1">
        <f t="array" ref="J716">IF($I716="","",_xlfn.TEXTJOIN("; ",TRUE,_xlfn.UNIQUE(_xlfn._xlws.FILTER($A$2:$A$3000,($C$2:$C$3000=$C716)*($E$2:$E$3000=$E716)*($G$2:$G$3000&lt;&gt;$G716)*($G$2:$G$3000&lt;&gt;""),""))))</f>
        <v>PRODUCT-00018; PRODUCT-00027; PRODUCT-00033; PRODUCT-00264; PRODUCT-00265</v>
      </c>
    </row>
    <row r="717" spans="1:10" x14ac:dyDescent="0.25">
      <c r="A717" s="23" t="s">
        <v>1517</v>
      </c>
      <c r="B717" s="37" t="str">
        <f>INDEX(Product!$B:$B,MATCH($A717,Product!$A:$A,0))</f>
        <v>[Wonbiogen] Gạc xốp siêu thấm hút dịch tiết vết thương - Therasorb Algi Plus Hydrophilic (30cmx100cmx0.5cm)</v>
      </c>
      <c r="C717" s="37" t="str">
        <f>INDEX(Product!$D:$D,MATCH($A717,Product!$A:$A,0))</f>
        <v>Gạc xốp hút dịch</v>
      </c>
      <c r="D717" s="23" t="s">
        <v>2471</v>
      </c>
      <c r="E717" s="37" t="str">
        <f>INDEX('Attribute Definition'!$B:$B,MATCH($D717,'Attribute Definition'!$A:$A,0))</f>
        <v>Dạng sản phẩm</v>
      </c>
      <c r="F717" s="38" t="s">
        <v>2657</v>
      </c>
      <c r="G717" s="39" t="str" cm="1">
        <f t="array" ref="G717">_xlfn.TEXTJOIN("; ",TRUE,_xlfn.UNIQUE(_xlfn._xlws.FILTER('Product Variant Attribute'!$F$2:$F$3000,('Product Variant Attribute'!$B$2:$B$3000=$A717)*('Product Variant Attribute'!$D$2:$D$3000=$D717),"")))</f>
        <v>Miếng dán / gạc</v>
      </c>
      <c r="H717" s="39"/>
      <c r="I717" s="39"/>
      <c r="J717" s="39" t="str" cm="1">
        <f t="array" ref="J717">IF($I717="","",_xlfn.TEXTJOIN("; ",TRUE,_xlfn.UNIQUE(_xlfn._xlws.FILTER($A$2:$A$3000,($C$2:$C$3000=$C717)*($E$2:$E$3000=$E717)*($G$2:$G$3000&lt;&gt;$G717)*($G$2:$G$3000&lt;&gt;""),""))))</f>
        <v/>
      </c>
    </row>
    <row r="718" spans="1:10" x14ac:dyDescent="0.25">
      <c r="A718" s="23" t="s">
        <v>1519</v>
      </c>
      <c r="B718" s="37" t="str">
        <f>INDEX(Product!$B:$B,MATCH($A718,Product!$A:$A,0))</f>
        <v>[Wonbiogen] Gạc xốp siêu thấm hút dịch tiết vết thương - Therasorb Algi Plus Hydrophilic (10cmx10cm)</v>
      </c>
      <c r="C718" s="37" t="str">
        <f>INDEX(Product!$D:$D,MATCH($A718,Product!$A:$A,0))</f>
        <v>Gạc xốp hút dịch</v>
      </c>
      <c r="D718" s="23" t="s">
        <v>2342</v>
      </c>
      <c r="E718" s="37" t="str">
        <f>INDEX('Attribute Definition'!$B:$B,MATCH($D718,'Attribute Definition'!$A:$A,0))</f>
        <v>Kích thước</v>
      </c>
      <c r="F718" s="38" t="s">
        <v>2657</v>
      </c>
      <c r="G718" s="39" t="str" cm="1">
        <f t="array" ref="G718">_xlfn.TEXTJOIN("; ",TRUE,_xlfn.UNIQUE(_xlfn._xlws.FILTER('Product Variant Attribute'!$F$2:$F$3000,('Product Variant Attribute'!$B$2:$B$3000=$A718)*('Product Variant Attribute'!$D$2:$D$3000=$D718),"")))</f>
        <v>10cmx10cm</v>
      </c>
      <c r="H718" s="39"/>
      <c r="I718" s="39"/>
      <c r="J718" s="39" t="str" cm="1">
        <f t="array" ref="J718">IF($I718="","",_xlfn.TEXTJOIN("; ",TRUE,_xlfn.UNIQUE(_xlfn._xlws.FILTER($A$2:$A$3000,($C$2:$C$3000=$C718)*($E$2:$E$3000=$E718)*($G$2:$G$3000&lt;&gt;$G718)*($G$2:$G$3000&lt;&gt;""),""))))</f>
        <v/>
      </c>
    </row>
    <row r="719" spans="1:10" ht="45" x14ac:dyDescent="0.25">
      <c r="A719" s="23" t="s">
        <v>1519</v>
      </c>
      <c r="B719" s="37" t="str">
        <f>INDEX(Product!$B:$B,MATCH($A719,Product!$A:$A,0))</f>
        <v>[Wonbiogen] Gạc xốp siêu thấm hút dịch tiết vết thương - Therasorb Algi Plus Hydrophilic (10cmx10cm)</v>
      </c>
      <c r="C719" s="37" t="str">
        <f>INDEX(Product!$D:$D,MATCH($A719,Product!$A:$A,0))</f>
        <v>Gạc xốp hút dịch</v>
      </c>
      <c r="D719" s="23" t="s">
        <v>2367</v>
      </c>
      <c r="E719" s="37" t="str">
        <f>INDEX('Attribute Definition'!$B:$B,MATCH($D719,'Attribute Definition'!$A:$A,0))</f>
        <v>Chất liệu</v>
      </c>
      <c r="F719" s="38" t="s">
        <v>2657</v>
      </c>
      <c r="G719" s="39" t="str" cm="1">
        <f t="array" ref="G719">_xlfn.TEXTJOIN("; ",TRUE,_xlfn.UNIQUE(_xlfn._xlws.FILTER('Product Variant Attribute'!$F$2:$F$3000,('Product Variant Attribute'!$B$2:$B$3000=$A719)*('Product Variant Attribute'!$D$2:$D$3000=$D719),"")))</f>
        <v>Alginate</v>
      </c>
      <c r="H719" s="39"/>
      <c r="I719" s="39" t="s">
        <v>2712</v>
      </c>
      <c r="J719" s="39" t="str" cm="1">
        <f t="array" ref="J719">IF($I719="","",_xlfn.TEXTJOIN("; ",TRUE,_xlfn.UNIQUE(_xlfn._xlws.FILTER($A$2:$A$3000,($C$2:$C$3000=$C719)*($E$2:$E$3000=$E719)*($G$2:$G$3000&lt;&gt;$G719)*($G$2:$G$3000&lt;&gt;""),""))))</f>
        <v>PRODUCT-00018; PRODUCT-00033</v>
      </c>
    </row>
    <row r="720" spans="1:10" ht="45" x14ac:dyDescent="0.25">
      <c r="A720" s="23" t="s">
        <v>1519</v>
      </c>
      <c r="B720" s="37" t="str">
        <f>INDEX(Product!$B:$B,MATCH($A720,Product!$A:$A,0))</f>
        <v>[Wonbiogen] Gạc xốp siêu thấm hút dịch tiết vết thương - Therasorb Algi Plus Hydrophilic (10cmx10cm)</v>
      </c>
      <c r="C720" s="37" t="str">
        <f>INDEX(Product!$D:$D,MATCH($A720,Product!$A:$A,0))</f>
        <v>Gạc xốp hút dịch</v>
      </c>
      <c r="D720" s="23" t="s">
        <v>2391</v>
      </c>
      <c r="E720" s="37" t="str">
        <f>INDEX('Attribute Definition'!$B:$B,MATCH($D720,'Attribute Definition'!$A:$A,0))</f>
        <v>Kiểu viền</v>
      </c>
      <c r="F720" s="38" t="s">
        <v>2657</v>
      </c>
      <c r="G720" s="39" t="str" cm="1">
        <f t="array" ref="G720">_xlfn.TEXTJOIN("; ",TRUE,_xlfn.UNIQUE(_xlfn._xlws.FILTER('Product Variant Attribute'!$F$2:$F$3000,('Product Variant Attribute'!$B$2:$B$3000=$A720)*('Product Variant Attribute'!$D$2:$D$3000=$D720),"")))</f>
        <v>Không viền dính</v>
      </c>
      <c r="H720" s="39"/>
      <c r="I720" s="39" t="s">
        <v>2714</v>
      </c>
      <c r="J720" s="39" t="str" cm="1">
        <f t="array" ref="J720">IF($I720="","",_xlfn.TEXTJOIN("; ",TRUE,_xlfn.UNIQUE(_xlfn._xlws.FILTER($A$2:$A$3000,($C$2:$C$3000=$C720)*($E$2:$E$3000=$E720)*($G$2:$G$3000&lt;&gt;$G720)*($G$2:$G$3000&lt;&gt;""),""))))</f>
        <v>PRODUCT-00018; PRODUCT-00027; PRODUCT-00033; PRODUCT-00264; PRODUCT-00265</v>
      </c>
    </row>
    <row r="721" spans="1:10" x14ac:dyDescent="0.25">
      <c r="A721" s="23" t="s">
        <v>1519</v>
      </c>
      <c r="B721" s="37" t="str">
        <f>INDEX(Product!$B:$B,MATCH($A721,Product!$A:$A,0))</f>
        <v>[Wonbiogen] Gạc xốp siêu thấm hút dịch tiết vết thương - Therasorb Algi Plus Hydrophilic (10cmx10cm)</v>
      </c>
      <c r="C721" s="37" t="str">
        <f>INDEX(Product!$D:$D,MATCH($A721,Product!$A:$A,0))</f>
        <v>Gạc xốp hút dịch</v>
      </c>
      <c r="D721" s="23" t="s">
        <v>2471</v>
      </c>
      <c r="E721" s="37" t="str">
        <f>INDEX('Attribute Definition'!$B:$B,MATCH($D721,'Attribute Definition'!$A:$A,0))</f>
        <v>Dạng sản phẩm</v>
      </c>
      <c r="F721" s="38" t="s">
        <v>2657</v>
      </c>
      <c r="G721" s="39" t="str" cm="1">
        <f t="array" ref="G721">_xlfn.TEXTJOIN("; ",TRUE,_xlfn.UNIQUE(_xlfn._xlws.FILTER('Product Variant Attribute'!$F$2:$F$3000,('Product Variant Attribute'!$B$2:$B$3000=$A721)*('Product Variant Attribute'!$D$2:$D$3000=$D721),"")))</f>
        <v>Miếng dán / gạc</v>
      </c>
      <c r="H721" s="39"/>
      <c r="I721" s="39"/>
      <c r="J721" s="39" t="str" cm="1">
        <f t="array" ref="J721">IF($I721="","",_xlfn.TEXTJOIN("; ",TRUE,_xlfn.UNIQUE(_xlfn._xlws.FILTER($A$2:$A$3000,($C$2:$C$3000=$C721)*($E$2:$E$3000=$E721)*($G$2:$G$3000&lt;&gt;$G721)*($G$2:$G$3000&lt;&gt;""),""))))</f>
        <v/>
      </c>
    </row>
    <row r="722" spans="1:10" x14ac:dyDescent="0.25">
      <c r="A722" s="23" t="s">
        <v>1521</v>
      </c>
      <c r="B722" s="37" t="str">
        <f>INDEX(Product!$B:$B,MATCH($A722,Product!$A:$A,0))</f>
        <v>[Wonbiogen] Gạc xốp siêu thấm hút dịch tiết vết thương - Therasorb Algi Plus Hydrophilic (20cmx20cm)</v>
      </c>
      <c r="C722" s="37" t="str">
        <f>INDEX(Product!$D:$D,MATCH($A722,Product!$A:$A,0))</f>
        <v>Gạc xốp hút dịch</v>
      </c>
      <c r="D722" s="23" t="s">
        <v>2342</v>
      </c>
      <c r="E722" s="37" t="str">
        <f>INDEX('Attribute Definition'!$B:$B,MATCH($D722,'Attribute Definition'!$A:$A,0))</f>
        <v>Kích thước</v>
      </c>
      <c r="F722" s="38" t="s">
        <v>2657</v>
      </c>
      <c r="G722" s="39" t="str" cm="1">
        <f t="array" ref="G722">_xlfn.TEXTJOIN("; ",TRUE,_xlfn.UNIQUE(_xlfn._xlws.FILTER('Product Variant Attribute'!$F$2:$F$3000,('Product Variant Attribute'!$B$2:$B$3000=$A722)*('Product Variant Attribute'!$D$2:$D$3000=$D722),"")))</f>
        <v>20cmx20cm</v>
      </c>
      <c r="H722" s="39"/>
      <c r="I722" s="39"/>
      <c r="J722" s="39" t="str" cm="1">
        <f t="array" ref="J722">IF($I722="","",_xlfn.TEXTJOIN("; ",TRUE,_xlfn.UNIQUE(_xlfn._xlws.FILTER($A$2:$A$3000,($C$2:$C$3000=$C722)*($E$2:$E$3000=$E722)*($G$2:$G$3000&lt;&gt;$G722)*($G$2:$G$3000&lt;&gt;""),""))))</f>
        <v/>
      </c>
    </row>
    <row r="723" spans="1:10" ht="45" x14ac:dyDescent="0.25">
      <c r="A723" s="23" t="s">
        <v>1521</v>
      </c>
      <c r="B723" s="37" t="str">
        <f>INDEX(Product!$B:$B,MATCH($A723,Product!$A:$A,0))</f>
        <v>[Wonbiogen] Gạc xốp siêu thấm hút dịch tiết vết thương - Therasorb Algi Plus Hydrophilic (20cmx20cm)</v>
      </c>
      <c r="C723" s="37" t="str">
        <f>INDEX(Product!$D:$D,MATCH($A723,Product!$A:$A,0))</f>
        <v>Gạc xốp hút dịch</v>
      </c>
      <c r="D723" s="23" t="s">
        <v>2367</v>
      </c>
      <c r="E723" s="37" t="str">
        <f>INDEX('Attribute Definition'!$B:$B,MATCH($D723,'Attribute Definition'!$A:$A,0))</f>
        <v>Chất liệu</v>
      </c>
      <c r="F723" s="38" t="s">
        <v>2657</v>
      </c>
      <c r="G723" s="39" t="str" cm="1">
        <f t="array" ref="G723">_xlfn.TEXTJOIN("; ",TRUE,_xlfn.UNIQUE(_xlfn._xlws.FILTER('Product Variant Attribute'!$F$2:$F$3000,('Product Variant Attribute'!$B$2:$B$3000=$A723)*('Product Variant Attribute'!$D$2:$D$3000=$D723),"")))</f>
        <v>Alginate</v>
      </c>
      <c r="H723" s="39"/>
      <c r="I723" s="39" t="s">
        <v>2712</v>
      </c>
      <c r="J723" s="39" t="str" cm="1">
        <f t="array" ref="J723">IF($I723="","",_xlfn.TEXTJOIN("; ",TRUE,_xlfn.UNIQUE(_xlfn._xlws.FILTER($A$2:$A$3000,($C$2:$C$3000=$C723)*($E$2:$E$3000=$E723)*($G$2:$G$3000&lt;&gt;$G723)*($G$2:$G$3000&lt;&gt;""),""))))</f>
        <v>PRODUCT-00018; PRODUCT-00033</v>
      </c>
    </row>
    <row r="724" spans="1:10" ht="45" x14ac:dyDescent="0.25">
      <c r="A724" s="23" t="s">
        <v>1521</v>
      </c>
      <c r="B724" s="37" t="str">
        <f>INDEX(Product!$B:$B,MATCH($A724,Product!$A:$A,0))</f>
        <v>[Wonbiogen] Gạc xốp siêu thấm hút dịch tiết vết thương - Therasorb Algi Plus Hydrophilic (20cmx20cm)</v>
      </c>
      <c r="C724" s="37" t="str">
        <f>INDEX(Product!$D:$D,MATCH($A724,Product!$A:$A,0))</f>
        <v>Gạc xốp hút dịch</v>
      </c>
      <c r="D724" s="23" t="s">
        <v>2391</v>
      </c>
      <c r="E724" s="37" t="str">
        <f>INDEX('Attribute Definition'!$B:$B,MATCH($D724,'Attribute Definition'!$A:$A,0))</f>
        <v>Kiểu viền</v>
      </c>
      <c r="F724" s="38" t="s">
        <v>2657</v>
      </c>
      <c r="G724" s="39" t="str" cm="1">
        <f t="array" ref="G724">_xlfn.TEXTJOIN("; ",TRUE,_xlfn.UNIQUE(_xlfn._xlws.FILTER('Product Variant Attribute'!$F$2:$F$3000,('Product Variant Attribute'!$B$2:$B$3000=$A724)*('Product Variant Attribute'!$D$2:$D$3000=$D724),"")))</f>
        <v>Không viền dính</v>
      </c>
      <c r="H724" s="39"/>
      <c r="I724" s="39" t="s">
        <v>2714</v>
      </c>
      <c r="J724" s="39" t="str" cm="1">
        <f t="array" ref="J724">IF($I724="","",_xlfn.TEXTJOIN("; ",TRUE,_xlfn.UNIQUE(_xlfn._xlws.FILTER($A$2:$A$3000,($C$2:$C$3000=$C724)*($E$2:$E$3000=$E724)*($G$2:$G$3000&lt;&gt;$G724)*($G$2:$G$3000&lt;&gt;""),""))))</f>
        <v>PRODUCT-00018; PRODUCT-00027; PRODUCT-00033; PRODUCT-00264; PRODUCT-00265</v>
      </c>
    </row>
    <row r="725" spans="1:10" x14ac:dyDescent="0.25">
      <c r="A725" s="23" t="s">
        <v>1521</v>
      </c>
      <c r="B725" s="37" t="str">
        <f>INDEX(Product!$B:$B,MATCH($A725,Product!$A:$A,0))</f>
        <v>[Wonbiogen] Gạc xốp siêu thấm hút dịch tiết vết thương - Therasorb Algi Plus Hydrophilic (20cmx20cm)</v>
      </c>
      <c r="C725" s="37" t="str">
        <f>INDEX(Product!$D:$D,MATCH($A725,Product!$A:$A,0))</f>
        <v>Gạc xốp hút dịch</v>
      </c>
      <c r="D725" s="23" t="s">
        <v>2471</v>
      </c>
      <c r="E725" s="37" t="str">
        <f>INDEX('Attribute Definition'!$B:$B,MATCH($D725,'Attribute Definition'!$A:$A,0))</f>
        <v>Dạng sản phẩm</v>
      </c>
      <c r="F725" s="38" t="s">
        <v>2657</v>
      </c>
      <c r="G725" s="39" t="str" cm="1">
        <f t="array" ref="G725">_xlfn.TEXTJOIN("; ",TRUE,_xlfn.UNIQUE(_xlfn._xlws.FILTER('Product Variant Attribute'!$F$2:$F$3000,('Product Variant Attribute'!$B$2:$B$3000=$A725)*('Product Variant Attribute'!$D$2:$D$3000=$D725),"")))</f>
        <v>Miếng dán / gạc</v>
      </c>
      <c r="H725" s="39"/>
      <c r="I725" s="39"/>
      <c r="J725" s="39" t="str" cm="1">
        <f t="array" ref="J725">IF($I725="","",_xlfn.TEXTJOIN("; ",TRUE,_xlfn.UNIQUE(_xlfn._xlws.FILTER($A$2:$A$3000,($C$2:$C$3000=$C725)*($E$2:$E$3000=$E725)*($G$2:$G$3000&lt;&gt;$G725)*($G$2:$G$3000&lt;&gt;""),""))))</f>
        <v/>
      </c>
    </row>
    <row r="726" spans="1:10" x14ac:dyDescent="0.25">
      <c r="A726" s="23" t="s">
        <v>1523</v>
      </c>
      <c r="B726" s="37" t="str">
        <f>INDEX(Product!$B:$B,MATCH($A726,Product!$A:$A,0))</f>
        <v>[Wonbiogen] Gạc xốp siêu thấm hút dịch tiết vết thương - Therasorb Algi Plus Hydrophilic (35cmx50cm)</v>
      </c>
      <c r="C726" s="37" t="str">
        <f>INDEX(Product!$D:$D,MATCH($A726,Product!$A:$A,0))</f>
        <v>Gạc xốp hút dịch</v>
      </c>
      <c r="D726" s="23" t="s">
        <v>2342</v>
      </c>
      <c r="E726" s="37" t="str">
        <f>INDEX('Attribute Definition'!$B:$B,MATCH($D726,'Attribute Definition'!$A:$A,0))</f>
        <v>Kích thước</v>
      </c>
      <c r="F726" s="38" t="s">
        <v>2657</v>
      </c>
      <c r="G726" s="39" t="str" cm="1">
        <f t="array" ref="G726">_xlfn.TEXTJOIN("; ",TRUE,_xlfn.UNIQUE(_xlfn._xlws.FILTER('Product Variant Attribute'!$F$2:$F$3000,('Product Variant Attribute'!$B$2:$B$3000=$A726)*('Product Variant Attribute'!$D$2:$D$3000=$D726),"")))</f>
        <v>35cmx50cm</v>
      </c>
      <c r="H726" s="39"/>
      <c r="I726" s="39"/>
      <c r="J726" s="39" t="str" cm="1">
        <f t="array" ref="J726">IF($I726="","",_xlfn.TEXTJOIN("; ",TRUE,_xlfn.UNIQUE(_xlfn._xlws.FILTER($A$2:$A$3000,($C$2:$C$3000=$C726)*($E$2:$E$3000=$E726)*($G$2:$G$3000&lt;&gt;$G726)*($G$2:$G$3000&lt;&gt;""),""))))</f>
        <v/>
      </c>
    </row>
    <row r="727" spans="1:10" ht="45" x14ac:dyDescent="0.25">
      <c r="A727" s="23" t="s">
        <v>1523</v>
      </c>
      <c r="B727" s="37" t="str">
        <f>INDEX(Product!$B:$B,MATCH($A727,Product!$A:$A,0))</f>
        <v>[Wonbiogen] Gạc xốp siêu thấm hút dịch tiết vết thương - Therasorb Algi Plus Hydrophilic (35cmx50cm)</v>
      </c>
      <c r="C727" s="37" t="str">
        <f>INDEX(Product!$D:$D,MATCH($A727,Product!$A:$A,0))</f>
        <v>Gạc xốp hút dịch</v>
      </c>
      <c r="D727" s="23" t="s">
        <v>2367</v>
      </c>
      <c r="E727" s="37" t="str">
        <f>INDEX('Attribute Definition'!$B:$B,MATCH($D727,'Attribute Definition'!$A:$A,0))</f>
        <v>Chất liệu</v>
      </c>
      <c r="F727" s="38" t="s">
        <v>2657</v>
      </c>
      <c r="G727" s="39" t="str" cm="1">
        <f t="array" ref="G727">_xlfn.TEXTJOIN("; ",TRUE,_xlfn.UNIQUE(_xlfn._xlws.FILTER('Product Variant Attribute'!$F$2:$F$3000,('Product Variant Attribute'!$B$2:$B$3000=$A727)*('Product Variant Attribute'!$D$2:$D$3000=$D727),"")))</f>
        <v>Alginate</v>
      </c>
      <c r="H727" s="39"/>
      <c r="I727" s="39" t="s">
        <v>2712</v>
      </c>
      <c r="J727" s="39" t="str" cm="1">
        <f t="array" ref="J727">IF($I727="","",_xlfn.TEXTJOIN("; ",TRUE,_xlfn.UNIQUE(_xlfn._xlws.FILTER($A$2:$A$3000,($C$2:$C$3000=$C727)*($E$2:$E$3000=$E727)*($G$2:$G$3000&lt;&gt;$G727)*($G$2:$G$3000&lt;&gt;""),""))))</f>
        <v>PRODUCT-00018; PRODUCT-00033</v>
      </c>
    </row>
    <row r="728" spans="1:10" ht="45" x14ac:dyDescent="0.25">
      <c r="A728" s="23" t="s">
        <v>1523</v>
      </c>
      <c r="B728" s="37" t="str">
        <f>INDEX(Product!$B:$B,MATCH($A728,Product!$A:$A,0))</f>
        <v>[Wonbiogen] Gạc xốp siêu thấm hút dịch tiết vết thương - Therasorb Algi Plus Hydrophilic (35cmx50cm)</v>
      </c>
      <c r="C728" s="37" t="str">
        <f>INDEX(Product!$D:$D,MATCH($A728,Product!$A:$A,0))</f>
        <v>Gạc xốp hút dịch</v>
      </c>
      <c r="D728" s="23" t="s">
        <v>2391</v>
      </c>
      <c r="E728" s="37" t="str">
        <f>INDEX('Attribute Definition'!$B:$B,MATCH($D728,'Attribute Definition'!$A:$A,0))</f>
        <v>Kiểu viền</v>
      </c>
      <c r="F728" s="38" t="s">
        <v>2657</v>
      </c>
      <c r="G728" s="39" t="str" cm="1">
        <f t="array" ref="G728">_xlfn.TEXTJOIN("; ",TRUE,_xlfn.UNIQUE(_xlfn._xlws.FILTER('Product Variant Attribute'!$F$2:$F$3000,('Product Variant Attribute'!$B$2:$B$3000=$A728)*('Product Variant Attribute'!$D$2:$D$3000=$D728),"")))</f>
        <v>Không viền dính</v>
      </c>
      <c r="H728" s="39"/>
      <c r="I728" s="39" t="s">
        <v>2714</v>
      </c>
      <c r="J728" s="39" t="str" cm="1">
        <f t="array" ref="J728">IF($I728="","",_xlfn.TEXTJOIN("; ",TRUE,_xlfn.UNIQUE(_xlfn._xlws.FILTER($A$2:$A$3000,($C$2:$C$3000=$C728)*($E$2:$E$3000=$E728)*($G$2:$G$3000&lt;&gt;$G728)*($G$2:$G$3000&lt;&gt;""),""))))</f>
        <v>PRODUCT-00018; PRODUCT-00027; PRODUCT-00033; PRODUCT-00264; PRODUCT-00265</v>
      </c>
    </row>
    <row r="729" spans="1:10" x14ac:dyDescent="0.25">
      <c r="A729" s="23" t="s">
        <v>1523</v>
      </c>
      <c r="B729" s="37" t="str">
        <f>INDEX(Product!$B:$B,MATCH($A729,Product!$A:$A,0))</f>
        <v>[Wonbiogen] Gạc xốp siêu thấm hút dịch tiết vết thương - Therasorb Algi Plus Hydrophilic (35cmx50cm)</v>
      </c>
      <c r="C729" s="37" t="str">
        <f>INDEX(Product!$D:$D,MATCH($A729,Product!$A:$A,0))</f>
        <v>Gạc xốp hút dịch</v>
      </c>
      <c r="D729" s="23" t="s">
        <v>2471</v>
      </c>
      <c r="E729" s="37" t="str">
        <f>INDEX('Attribute Definition'!$B:$B,MATCH($D729,'Attribute Definition'!$A:$A,0))</f>
        <v>Dạng sản phẩm</v>
      </c>
      <c r="F729" s="38" t="s">
        <v>2657</v>
      </c>
      <c r="G729" s="39" t="str" cm="1">
        <f t="array" ref="G729">_xlfn.TEXTJOIN("; ",TRUE,_xlfn.UNIQUE(_xlfn._xlws.FILTER('Product Variant Attribute'!$F$2:$F$3000,('Product Variant Attribute'!$B$2:$B$3000=$A729)*('Product Variant Attribute'!$D$2:$D$3000=$D729),"")))</f>
        <v>Miếng dán / gạc</v>
      </c>
      <c r="H729" s="39"/>
      <c r="I729" s="39"/>
      <c r="J729" s="39" t="str" cm="1">
        <f t="array" ref="J729">IF($I729="","",_xlfn.TEXTJOIN("; ",TRUE,_xlfn.UNIQUE(_xlfn._xlws.FILTER($A$2:$A$3000,($C$2:$C$3000=$C729)*($E$2:$E$3000=$E729)*($G$2:$G$3000&lt;&gt;$G729)*($G$2:$G$3000&lt;&gt;""),""))))</f>
        <v/>
      </c>
    </row>
    <row r="730" spans="1:10" x14ac:dyDescent="0.25">
      <c r="A730" s="23" t="s">
        <v>1525</v>
      </c>
      <c r="B730" s="37" t="str">
        <f>INDEX(Product!$B:$B,MATCH($A730,Product!$A:$A,0))</f>
        <v>[Wonbiogen] Gạc xốp tẩm bạc kháng khuẩn - Therasorb® Ag Plus (20cmx20cm)</v>
      </c>
      <c r="C730" s="37" t="str">
        <f>INDEX(Product!$D:$D,MATCH($A730,Product!$A:$A,0))</f>
        <v>Gạc xốp hút dịch</v>
      </c>
      <c r="D730" s="23" t="s">
        <v>2342</v>
      </c>
      <c r="E730" s="37" t="str">
        <f>INDEX('Attribute Definition'!$B:$B,MATCH($D730,'Attribute Definition'!$A:$A,0))</f>
        <v>Kích thước</v>
      </c>
      <c r="F730" s="38" t="s">
        <v>2657</v>
      </c>
      <c r="G730" s="39" t="str" cm="1">
        <f t="array" ref="G730">_xlfn.TEXTJOIN("; ",TRUE,_xlfn.UNIQUE(_xlfn._xlws.FILTER('Product Variant Attribute'!$F$2:$F$3000,('Product Variant Attribute'!$B$2:$B$3000=$A730)*('Product Variant Attribute'!$D$2:$D$3000=$D730),"")))</f>
        <v>20cmx20cm</v>
      </c>
      <c r="H730" s="39"/>
      <c r="I730" s="39"/>
      <c r="J730" s="39" t="str" cm="1">
        <f t="array" ref="J730">IF($I730="","",_xlfn.TEXTJOIN("; ",TRUE,_xlfn.UNIQUE(_xlfn._xlws.FILTER($A$2:$A$3000,($C$2:$C$3000=$C730)*($E$2:$E$3000=$E730)*($G$2:$G$3000&lt;&gt;$G730)*($G$2:$G$3000&lt;&gt;""),""))))</f>
        <v/>
      </c>
    </row>
    <row r="731" spans="1:10" ht="45" x14ac:dyDescent="0.25">
      <c r="A731" s="23" t="s">
        <v>1525</v>
      </c>
      <c r="B731" s="37" t="str">
        <f>INDEX(Product!$B:$B,MATCH($A731,Product!$A:$A,0))</f>
        <v>[Wonbiogen] Gạc xốp tẩm bạc kháng khuẩn - Therasorb® Ag Plus (20cmx20cm)</v>
      </c>
      <c r="C731" s="37" t="str">
        <f>INDEX(Product!$D:$D,MATCH($A731,Product!$A:$A,0))</f>
        <v>Gạc xốp hút dịch</v>
      </c>
      <c r="D731" s="23" t="s">
        <v>2367</v>
      </c>
      <c r="E731" s="37" t="str">
        <f>INDEX('Attribute Definition'!$B:$B,MATCH($D731,'Attribute Definition'!$A:$A,0))</f>
        <v>Chất liệu</v>
      </c>
      <c r="F731" s="38" t="s">
        <v>2657</v>
      </c>
      <c r="G731" s="39" t="str" cm="1">
        <f t="array" ref="G731">_xlfn.TEXTJOIN("; ",TRUE,_xlfn.UNIQUE(_xlfn._xlws.FILTER('Product Variant Attribute'!$F$2:$F$3000,('Product Variant Attribute'!$B$2:$B$3000=$A731)*('Product Variant Attribute'!$D$2:$D$3000=$D731),"")))</f>
        <v>Alginate</v>
      </c>
      <c r="H731" s="39"/>
      <c r="I731" s="39" t="s">
        <v>2712</v>
      </c>
      <c r="J731" s="39" t="str" cm="1">
        <f t="array" ref="J731">IF($I731="","",_xlfn.TEXTJOIN("; ",TRUE,_xlfn.UNIQUE(_xlfn._xlws.FILTER($A$2:$A$3000,($C$2:$C$3000=$C731)*($E$2:$E$3000=$E731)*($G$2:$G$3000&lt;&gt;$G731)*($G$2:$G$3000&lt;&gt;""),""))))</f>
        <v>PRODUCT-00018; PRODUCT-00033</v>
      </c>
    </row>
    <row r="732" spans="1:10" x14ac:dyDescent="0.25">
      <c r="A732" s="23" t="s">
        <v>1525</v>
      </c>
      <c r="B732" s="37" t="str">
        <f>INDEX(Product!$B:$B,MATCH($A732,Product!$A:$A,0))</f>
        <v>[Wonbiogen] Gạc xốp tẩm bạc kháng khuẩn - Therasorb® Ag Plus (20cmx20cm)</v>
      </c>
      <c r="C732" s="37" t="str">
        <f>INDEX(Product!$D:$D,MATCH($A732,Product!$A:$A,0))</f>
        <v>Gạc xốp hút dịch</v>
      </c>
      <c r="D732" s="23" t="s">
        <v>2386</v>
      </c>
      <c r="E732" s="37" t="str">
        <f>INDEX('Attribute Definition'!$B:$B,MATCH($D732,'Attribute Definition'!$A:$A,0))</f>
        <v>Thành phần kháng khuẩn</v>
      </c>
      <c r="F732" s="38" t="s">
        <v>2657</v>
      </c>
      <c r="G732" s="39" t="str" cm="1">
        <f t="array" ref="G732">_xlfn.TEXTJOIN("; ",TRUE,_xlfn.UNIQUE(_xlfn._xlws.FILTER('Product Variant Attribute'!$F$2:$F$3000,('Product Variant Attribute'!$B$2:$B$3000=$A732)*('Product Variant Attribute'!$D$2:$D$3000=$D732),"")))</f>
        <v>Bạc (Ag)</v>
      </c>
      <c r="H732" s="39"/>
      <c r="I732" s="39"/>
      <c r="J732" s="39" t="str" cm="1">
        <f t="array" ref="J732">IF($I732="","",_xlfn.TEXTJOIN("; ",TRUE,_xlfn.UNIQUE(_xlfn._xlws.FILTER($A$2:$A$3000,($C$2:$C$3000=$C732)*($E$2:$E$3000=$E732)*($G$2:$G$3000&lt;&gt;$G732)*($G$2:$G$3000&lt;&gt;""),""))))</f>
        <v/>
      </c>
    </row>
    <row r="733" spans="1:10" x14ac:dyDescent="0.25">
      <c r="A733" s="23" t="s">
        <v>1525</v>
      </c>
      <c r="B733" s="37" t="str">
        <f>INDEX(Product!$B:$B,MATCH($A733,Product!$A:$A,0))</f>
        <v>[Wonbiogen] Gạc xốp tẩm bạc kháng khuẩn - Therasorb® Ag Plus (20cmx20cm)</v>
      </c>
      <c r="C733" s="37" t="str">
        <f>INDEX(Product!$D:$D,MATCH($A733,Product!$A:$A,0))</f>
        <v>Gạc xốp hút dịch</v>
      </c>
      <c r="D733" s="23" t="s">
        <v>2471</v>
      </c>
      <c r="E733" s="37" t="str">
        <f>INDEX('Attribute Definition'!$B:$B,MATCH($D733,'Attribute Definition'!$A:$A,0))</f>
        <v>Dạng sản phẩm</v>
      </c>
      <c r="F733" s="38" t="s">
        <v>2657</v>
      </c>
      <c r="G733" s="39" t="str" cm="1">
        <f t="array" ref="G733">_xlfn.TEXTJOIN("; ",TRUE,_xlfn.UNIQUE(_xlfn._xlws.FILTER('Product Variant Attribute'!$F$2:$F$3000,('Product Variant Attribute'!$B$2:$B$3000=$A733)*('Product Variant Attribute'!$D$2:$D$3000=$D733),"")))</f>
        <v>Miếng dán / gạc</v>
      </c>
      <c r="H733" s="39"/>
      <c r="I733" s="39"/>
      <c r="J733" s="39" t="str" cm="1">
        <f t="array" ref="J733">IF($I733="","",_xlfn.TEXTJOIN("; ",TRUE,_xlfn.UNIQUE(_xlfn._xlws.FILTER($A$2:$A$3000,($C$2:$C$3000=$C733)*($E$2:$E$3000=$E733)*($G$2:$G$3000&lt;&gt;$G733)*($G$2:$G$3000&lt;&gt;""),""))))</f>
        <v/>
      </c>
    </row>
    <row r="734" spans="1:10" x14ac:dyDescent="0.25">
      <c r="A734" s="23" t="s">
        <v>1527</v>
      </c>
      <c r="B734" s="37" t="str">
        <f>INDEX(Product!$B:$B,MATCH($A734,Product!$A:$A,0))</f>
        <v>[Wonbiogen] Kem gel silicone trị sẹo - RemScar® Gel (30g)</v>
      </c>
      <c r="C734" s="37" t="str">
        <f>INDEX(Product!$D:$D,MATCH($A734,Product!$A:$A,0))</f>
        <v>Gel trị sẹo</v>
      </c>
      <c r="D734" s="23" t="s">
        <v>2356</v>
      </c>
      <c r="E734" s="37" t="str">
        <f>INDEX('Attribute Definition'!$B:$B,MATCH($D734,'Attribute Definition'!$A:$A,0))</f>
        <v>Khối lượng tịnh</v>
      </c>
      <c r="F734" s="38" t="s">
        <v>2657</v>
      </c>
      <c r="G734" s="39" t="str" cm="1">
        <f t="array" ref="G734">_xlfn.TEXTJOIN("; ",TRUE,_xlfn.UNIQUE(_xlfn._xlws.FILTER('Product Variant Attribute'!$F$2:$F$3000,('Product Variant Attribute'!$B$2:$B$3000=$A734)*('Product Variant Attribute'!$D$2:$D$3000=$D734),"")))</f>
        <v>30g</v>
      </c>
      <c r="H734" s="39"/>
      <c r="I734" s="39"/>
      <c r="J734" s="39" t="str" cm="1">
        <f t="array" ref="J734">IF($I734="","",_xlfn.TEXTJOIN("; ",TRUE,_xlfn.UNIQUE(_xlfn._xlws.FILTER($A$2:$A$3000,($C$2:$C$3000=$C734)*($E$2:$E$3000=$E734)*($G$2:$G$3000&lt;&gt;$G734)*($G$2:$G$3000&lt;&gt;""),""))))</f>
        <v/>
      </c>
    </row>
    <row r="735" spans="1:10" x14ac:dyDescent="0.25">
      <c r="A735" s="23" t="s">
        <v>1527</v>
      </c>
      <c r="B735" s="37" t="str">
        <f>INDEX(Product!$B:$B,MATCH($A735,Product!$A:$A,0))</f>
        <v>[Wonbiogen] Kem gel silicone trị sẹo - RemScar® Gel (30g)</v>
      </c>
      <c r="C735" s="37" t="str">
        <f>INDEX(Product!$D:$D,MATCH($A735,Product!$A:$A,0))</f>
        <v>Gel trị sẹo</v>
      </c>
      <c r="D735" s="23" t="s">
        <v>2367</v>
      </c>
      <c r="E735" s="37" t="str">
        <f>INDEX('Attribute Definition'!$B:$B,MATCH($D735,'Attribute Definition'!$A:$A,0))</f>
        <v>Chất liệu</v>
      </c>
      <c r="F735" s="38" t="s">
        <v>2657</v>
      </c>
      <c r="G735" s="39" t="str" cm="1">
        <f t="array" ref="G735">_xlfn.TEXTJOIN("; ",TRUE,_xlfn.UNIQUE(_xlfn._xlws.FILTER('Product Variant Attribute'!$F$2:$F$3000,('Product Variant Attribute'!$B$2:$B$3000=$A735)*('Product Variant Attribute'!$D$2:$D$3000=$D735),"")))</f>
        <v>Silicone</v>
      </c>
      <c r="H735" s="39"/>
      <c r="I735" s="39"/>
      <c r="J735" s="39" t="str" cm="1">
        <f t="array" ref="J735">IF($I735="","",_xlfn.TEXTJOIN("; ",TRUE,_xlfn.UNIQUE(_xlfn._xlws.FILTER($A$2:$A$3000,($C$2:$C$3000=$C735)*($E$2:$E$3000=$E735)*($G$2:$G$3000&lt;&gt;$G735)*($G$2:$G$3000&lt;&gt;""),""))))</f>
        <v/>
      </c>
    </row>
    <row r="736" spans="1:10" x14ac:dyDescent="0.25">
      <c r="A736" s="23" t="s">
        <v>1527</v>
      </c>
      <c r="B736" s="37" t="str">
        <f>INDEX(Product!$B:$B,MATCH($A736,Product!$A:$A,0))</f>
        <v>[Wonbiogen] Kem gel silicone trị sẹo - RemScar® Gel (30g)</v>
      </c>
      <c r="C736" s="37" t="str">
        <f>INDEX(Product!$D:$D,MATCH($A736,Product!$A:$A,0))</f>
        <v>Gel trị sẹo</v>
      </c>
      <c r="D736" s="23" t="s">
        <v>2471</v>
      </c>
      <c r="E736" s="37" t="str">
        <f>INDEX('Attribute Definition'!$B:$B,MATCH($D736,'Attribute Definition'!$A:$A,0))</f>
        <v>Dạng sản phẩm</v>
      </c>
      <c r="F736" s="38" t="s">
        <v>2657</v>
      </c>
      <c r="G736" s="39" t="str" cm="1">
        <f t="array" ref="G736">_xlfn.TEXTJOIN("; ",TRUE,_xlfn.UNIQUE(_xlfn._xlws.FILTER('Product Variant Attribute'!$F$2:$F$3000,('Product Variant Attribute'!$B$2:$B$3000=$A736)*('Product Variant Attribute'!$D$2:$D$3000=$D736),"")))</f>
        <v>Gel / kem</v>
      </c>
      <c r="H736" s="39"/>
      <c r="I736" s="39"/>
      <c r="J736" s="39" t="str" cm="1">
        <f t="array" ref="J736">IF($I736="","",_xlfn.TEXTJOIN("; ",TRUE,_xlfn.UNIQUE(_xlfn._xlws.FILTER($A$2:$A$3000,($C$2:$C$3000=$C736)*($E$2:$E$3000=$E736)*($G$2:$G$3000&lt;&gt;$G736)*($G$2:$G$3000&lt;&gt;""),""))))</f>
        <v/>
      </c>
    </row>
    <row r="737" spans="1:10" x14ac:dyDescent="0.25">
      <c r="A737" s="23" t="s">
        <v>1529</v>
      </c>
      <c r="B737" s="37" t="str">
        <f>INDEX(Product!$B:$B,MATCH($A737,Product!$A:$A,0))</f>
        <v>[Wonbiogen] Miếng dán silicone trị sẹo lồi, sẹo thâm - RemScar® TR (3.5cmx15cm)</v>
      </c>
      <c r="C737" s="37" t="str">
        <f>INDEX(Product!$D:$D,MATCH($A737,Product!$A:$A,0))</f>
        <v>Miếng dán trị sẹo</v>
      </c>
      <c r="D737" s="23" t="s">
        <v>2342</v>
      </c>
      <c r="E737" s="37" t="str">
        <f>INDEX('Attribute Definition'!$B:$B,MATCH($D737,'Attribute Definition'!$A:$A,0))</f>
        <v>Kích thước</v>
      </c>
      <c r="F737" s="38" t="s">
        <v>2657</v>
      </c>
      <c r="G737" s="39" t="str" cm="1">
        <f t="array" ref="G737">_xlfn.TEXTJOIN("; ",TRUE,_xlfn.UNIQUE(_xlfn._xlws.FILTER('Product Variant Attribute'!$F$2:$F$3000,('Product Variant Attribute'!$B$2:$B$3000=$A737)*('Product Variant Attribute'!$D$2:$D$3000=$D737),"")))</f>
        <v>3.5cmx15cm</v>
      </c>
      <c r="H737" s="39"/>
      <c r="I737" s="39"/>
      <c r="J737" s="39" t="str" cm="1">
        <f t="array" ref="J737">IF($I737="","",_xlfn.TEXTJOIN("; ",TRUE,_xlfn.UNIQUE(_xlfn._xlws.FILTER($A$2:$A$3000,($C$2:$C$3000=$C737)*($E$2:$E$3000=$E737)*($G$2:$G$3000&lt;&gt;$G737)*($G$2:$G$3000&lt;&gt;""),""))))</f>
        <v/>
      </c>
    </row>
    <row r="738" spans="1:10" x14ac:dyDescent="0.25">
      <c r="A738" s="23" t="s">
        <v>1529</v>
      </c>
      <c r="B738" s="37" t="str">
        <f>INDEX(Product!$B:$B,MATCH($A738,Product!$A:$A,0))</f>
        <v>[Wonbiogen] Miếng dán silicone trị sẹo lồi, sẹo thâm - RemScar® TR (3.5cmx15cm)</v>
      </c>
      <c r="C738" s="37" t="str">
        <f>INDEX(Product!$D:$D,MATCH($A738,Product!$A:$A,0))</f>
        <v>Miếng dán trị sẹo</v>
      </c>
      <c r="D738" s="23" t="s">
        <v>2367</v>
      </c>
      <c r="E738" s="37" t="str">
        <f>INDEX('Attribute Definition'!$B:$B,MATCH($D738,'Attribute Definition'!$A:$A,0))</f>
        <v>Chất liệu</v>
      </c>
      <c r="F738" s="38" t="s">
        <v>2657</v>
      </c>
      <c r="G738" s="39" t="str" cm="1">
        <f t="array" ref="G738">_xlfn.TEXTJOIN("; ",TRUE,_xlfn.UNIQUE(_xlfn._xlws.FILTER('Product Variant Attribute'!$F$2:$F$3000,('Product Variant Attribute'!$B$2:$B$3000=$A738)*('Product Variant Attribute'!$D$2:$D$3000=$D738),"")))</f>
        <v>Silicone</v>
      </c>
      <c r="H738" s="39"/>
      <c r="I738" s="39"/>
      <c r="J738" s="39" t="str" cm="1">
        <f t="array" ref="J738">IF($I738="","",_xlfn.TEXTJOIN("; ",TRUE,_xlfn.UNIQUE(_xlfn._xlws.FILTER($A$2:$A$3000,($C$2:$C$3000=$C738)*($E$2:$E$3000=$E738)*($G$2:$G$3000&lt;&gt;$G738)*($G$2:$G$3000&lt;&gt;""),""))))</f>
        <v/>
      </c>
    </row>
    <row r="739" spans="1:10" x14ac:dyDescent="0.25">
      <c r="A739" s="23" t="s">
        <v>1529</v>
      </c>
      <c r="B739" s="37" t="str">
        <f>INDEX(Product!$B:$B,MATCH($A739,Product!$A:$A,0))</f>
        <v>[Wonbiogen] Miếng dán silicone trị sẹo lồi, sẹo thâm - RemScar® TR (3.5cmx15cm)</v>
      </c>
      <c r="C739" s="37" t="str">
        <f>INDEX(Product!$D:$D,MATCH($A739,Product!$A:$A,0))</f>
        <v>Miếng dán trị sẹo</v>
      </c>
      <c r="D739" s="23" t="s">
        <v>2471</v>
      </c>
      <c r="E739" s="37" t="str">
        <f>INDEX('Attribute Definition'!$B:$B,MATCH($D739,'Attribute Definition'!$A:$A,0))</f>
        <v>Dạng sản phẩm</v>
      </c>
      <c r="F739" s="38" t="s">
        <v>2657</v>
      </c>
      <c r="G739" s="39" t="str" cm="1">
        <f t="array" ref="G739">_xlfn.TEXTJOIN("; ",TRUE,_xlfn.UNIQUE(_xlfn._xlws.FILTER('Product Variant Attribute'!$F$2:$F$3000,('Product Variant Attribute'!$B$2:$B$3000=$A739)*('Product Variant Attribute'!$D$2:$D$3000=$D739),"")))</f>
        <v>Miếng dán / gạc</v>
      </c>
      <c r="H739" s="39"/>
      <c r="I739" s="39"/>
      <c r="J739" s="39" t="str" cm="1">
        <f t="array" ref="J739">IF($I739="","",_xlfn.TEXTJOIN("; ",TRUE,_xlfn.UNIQUE(_xlfn._xlws.FILTER($A$2:$A$3000,($C$2:$C$3000=$C739)*($E$2:$E$3000=$E739)*($G$2:$G$3000&lt;&gt;$G739)*($G$2:$G$3000&lt;&gt;""),""))))</f>
        <v/>
      </c>
    </row>
    <row r="740" spans="1:10" x14ac:dyDescent="0.25">
      <c r="A740" s="23" t="s">
        <v>1531</v>
      </c>
      <c r="B740" s="37" t="str">
        <f>INDEX(Product!$B:$B,MATCH($A740,Product!$A:$A,0))</f>
        <v>[Wonbiogen] Miếng dán silicone trị sẹo lồi, sẹo thâm - RemScar® TR (5cmx6cm)</v>
      </c>
      <c r="C740" s="37" t="str">
        <f>INDEX(Product!$D:$D,MATCH($A740,Product!$A:$A,0))</f>
        <v>Miếng dán trị sẹo</v>
      </c>
      <c r="D740" s="23" t="s">
        <v>2342</v>
      </c>
      <c r="E740" s="37" t="str">
        <f>INDEX('Attribute Definition'!$B:$B,MATCH($D740,'Attribute Definition'!$A:$A,0))</f>
        <v>Kích thước</v>
      </c>
      <c r="F740" s="38" t="s">
        <v>2657</v>
      </c>
      <c r="G740" s="39" t="str" cm="1">
        <f t="array" ref="G740">_xlfn.TEXTJOIN("; ",TRUE,_xlfn.UNIQUE(_xlfn._xlws.FILTER('Product Variant Attribute'!$F$2:$F$3000,('Product Variant Attribute'!$B$2:$B$3000=$A740)*('Product Variant Attribute'!$D$2:$D$3000=$D740),"")))</f>
        <v>5cmx6cm</v>
      </c>
      <c r="H740" s="39"/>
      <c r="I740" s="39"/>
      <c r="J740" s="39" t="str" cm="1">
        <f t="array" ref="J740">IF($I740="","",_xlfn.TEXTJOIN("; ",TRUE,_xlfn.UNIQUE(_xlfn._xlws.FILTER($A$2:$A$3000,($C$2:$C$3000=$C740)*($E$2:$E$3000=$E740)*($G$2:$G$3000&lt;&gt;$G740)*($G$2:$G$3000&lt;&gt;""),""))))</f>
        <v/>
      </c>
    </row>
    <row r="741" spans="1:10" x14ac:dyDescent="0.25">
      <c r="A741" s="23" t="s">
        <v>1531</v>
      </c>
      <c r="B741" s="37" t="str">
        <f>INDEX(Product!$B:$B,MATCH($A741,Product!$A:$A,0))</f>
        <v>[Wonbiogen] Miếng dán silicone trị sẹo lồi, sẹo thâm - RemScar® TR (5cmx6cm)</v>
      </c>
      <c r="C741" s="37" t="str">
        <f>INDEX(Product!$D:$D,MATCH($A741,Product!$A:$A,0))</f>
        <v>Miếng dán trị sẹo</v>
      </c>
      <c r="D741" s="23" t="s">
        <v>2367</v>
      </c>
      <c r="E741" s="37" t="str">
        <f>INDEX('Attribute Definition'!$B:$B,MATCH($D741,'Attribute Definition'!$A:$A,0))</f>
        <v>Chất liệu</v>
      </c>
      <c r="F741" s="38" t="s">
        <v>2657</v>
      </c>
      <c r="G741" s="39" t="str" cm="1">
        <f t="array" ref="G741">_xlfn.TEXTJOIN("; ",TRUE,_xlfn.UNIQUE(_xlfn._xlws.FILTER('Product Variant Attribute'!$F$2:$F$3000,('Product Variant Attribute'!$B$2:$B$3000=$A741)*('Product Variant Attribute'!$D$2:$D$3000=$D741),"")))</f>
        <v>Silicone</v>
      </c>
      <c r="H741" s="39"/>
      <c r="I741" s="39"/>
      <c r="J741" s="39" t="str" cm="1">
        <f t="array" ref="J741">IF($I741="","",_xlfn.TEXTJOIN("; ",TRUE,_xlfn.UNIQUE(_xlfn._xlws.FILTER($A$2:$A$3000,($C$2:$C$3000=$C741)*($E$2:$E$3000=$E741)*($G$2:$G$3000&lt;&gt;$G741)*($G$2:$G$3000&lt;&gt;""),""))))</f>
        <v/>
      </c>
    </row>
    <row r="742" spans="1:10" x14ac:dyDescent="0.25">
      <c r="A742" s="23" t="s">
        <v>1531</v>
      </c>
      <c r="B742" s="37" t="str">
        <f>INDEX(Product!$B:$B,MATCH($A742,Product!$A:$A,0))</f>
        <v>[Wonbiogen] Miếng dán silicone trị sẹo lồi, sẹo thâm - RemScar® TR (5cmx6cm)</v>
      </c>
      <c r="C742" s="37" t="str">
        <f>INDEX(Product!$D:$D,MATCH($A742,Product!$A:$A,0))</f>
        <v>Miếng dán trị sẹo</v>
      </c>
      <c r="D742" s="23" t="s">
        <v>2471</v>
      </c>
      <c r="E742" s="37" t="str">
        <f>INDEX('Attribute Definition'!$B:$B,MATCH($D742,'Attribute Definition'!$A:$A,0))</f>
        <v>Dạng sản phẩm</v>
      </c>
      <c r="F742" s="38" t="s">
        <v>2657</v>
      </c>
      <c r="G742" s="39" t="str" cm="1">
        <f t="array" ref="G742">_xlfn.TEXTJOIN("; ",TRUE,_xlfn.UNIQUE(_xlfn._xlws.FILTER('Product Variant Attribute'!$F$2:$F$3000,('Product Variant Attribute'!$B$2:$B$3000=$A742)*('Product Variant Attribute'!$D$2:$D$3000=$D742),"")))</f>
        <v>Miếng dán / gạc</v>
      </c>
      <c r="H742" s="39"/>
      <c r="I742" s="39"/>
      <c r="J742" s="39" t="str" cm="1">
        <f t="array" ref="J742">IF($I742="","",_xlfn.TEXTJOIN("; ",TRUE,_xlfn.UNIQUE(_xlfn._xlws.FILTER($A$2:$A$3000,($C$2:$C$3000=$C742)*($E$2:$E$3000=$E742)*($G$2:$G$3000&lt;&gt;$G742)*($G$2:$G$3000&lt;&gt;""),""))))</f>
        <v/>
      </c>
    </row>
    <row r="743" spans="1:10" x14ac:dyDescent="0.25">
      <c r="A743" s="23" t="s">
        <v>1533</v>
      </c>
      <c r="B743" s="37" t="str">
        <f>INDEX(Product!$B:$B,MATCH($A743,Product!$A:$A,0))</f>
        <v>[Young Chemical Vina] Băng gạc vô trùng - Young Wound Dressing (6cmx10cm)</v>
      </c>
      <c r="C743" s="37" t="str">
        <f>INDEX(Product!$D:$D,MATCH($A743,Product!$A:$A,0))</f>
        <v>Băng gạc vô trùng</v>
      </c>
      <c r="D743" s="23" t="s">
        <v>2342</v>
      </c>
      <c r="E743" s="37" t="str">
        <f>INDEX('Attribute Definition'!$B:$B,MATCH($D743,'Attribute Definition'!$A:$A,0))</f>
        <v>Kích thước</v>
      </c>
      <c r="F743" s="38" t="s">
        <v>2657</v>
      </c>
      <c r="G743" s="39" t="str" cm="1">
        <f t="array" ref="G743">_xlfn.TEXTJOIN("; ",TRUE,_xlfn.UNIQUE(_xlfn._xlws.FILTER('Product Variant Attribute'!$F$2:$F$3000,('Product Variant Attribute'!$B$2:$B$3000=$A743)*('Product Variant Attribute'!$D$2:$D$3000=$D743),"")))</f>
        <v>6cmx10cm</v>
      </c>
      <c r="H743" s="39"/>
      <c r="I743" s="39"/>
      <c r="J743" s="39" t="str" cm="1">
        <f t="array" ref="J743">IF($I743="","",_xlfn.TEXTJOIN("; ",TRUE,_xlfn.UNIQUE(_xlfn._xlws.FILTER($A$2:$A$3000,($C$2:$C$3000=$C743)*($E$2:$E$3000=$E743)*($G$2:$G$3000&lt;&gt;$G743)*($G$2:$G$3000&lt;&gt;""),""))))</f>
        <v/>
      </c>
    </row>
    <row r="744" spans="1:10" x14ac:dyDescent="0.25">
      <c r="A744" s="23" t="s">
        <v>1533</v>
      </c>
      <c r="B744" s="37" t="str">
        <f>INDEX(Product!$B:$B,MATCH($A744,Product!$A:$A,0))</f>
        <v>[Young Chemical Vina] Băng gạc vô trùng - Young Wound Dressing (6cmx10cm)</v>
      </c>
      <c r="C744" s="37" t="str">
        <f>INDEX(Product!$D:$D,MATCH($A744,Product!$A:$A,0))</f>
        <v>Băng gạc vô trùng</v>
      </c>
      <c r="D744" s="23" t="s">
        <v>2374</v>
      </c>
      <c r="E744" s="37" t="str">
        <f>INDEX('Attribute Definition'!$B:$B,MATCH($D744,'Attribute Definition'!$A:$A,0))</f>
        <v>Vô trùng</v>
      </c>
      <c r="F744" s="38" t="s">
        <v>2657</v>
      </c>
      <c r="G744" s="39" t="str" cm="1">
        <f t="array" ref="G744">_xlfn.TEXTJOIN("; ",TRUE,_xlfn.UNIQUE(_xlfn._xlws.FILTER('Product Variant Attribute'!$F$2:$F$3000,('Product Variant Attribute'!$B$2:$B$3000=$A744)*('Product Variant Attribute'!$D$2:$D$3000=$D744),"")))</f>
        <v>Có</v>
      </c>
      <c r="H744" s="39"/>
      <c r="I744" s="39"/>
      <c r="J744" s="39" t="str" cm="1">
        <f t="array" ref="J744">IF($I744="","",_xlfn.TEXTJOIN("; ",TRUE,_xlfn.UNIQUE(_xlfn._xlws.FILTER($A$2:$A$3000,($C$2:$C$3000=$C744)*($E$2:$E$3000=$E744)*($G$2:$G$3000&lt;&gt;$G744)*($G$2:$G$3000&lt;&gt;""),""))))</f>
        <v/>
      </c>
    </row>
    <row r="745" spans="1:10" x14ac:dyDescent="0.25">
      <c r="A745" s="23" t="s">
        <v>1533</v>
      </c>
      <c r="B745" s="37" t="str">
        <f>INDEX(Product!$B:$B,MATCH($A745,Product!$A:$A,0))</f>
        <v>[Young Chemical Vina] Băng gạc vô trùng - Young Wound Dressing (6cmx10cm)</v>
      </c>
      <c r="C745" s="37" t="str">
        <f>INDEX(Product!$D:$D,MATCH($A745,Product!$A:$A,0))</f>
        <v>Băng gạc vô trùng</v>
      </c>
      <c r="D745" s="23" t="s">
        <v>2471</v>
      </c>
      <c r="E745" s="37" t="str">
        <f>INDEX('Attribute Definition'!$B:$B,MATCH($D745,'Attribute Definition'!$A:$A,0))</f>
        <v>Dạng sản phẩm</v>
      </c>
      <c r="F745" s="38" t="s">
        <v>2657</v>
      </c>
      <c r="G745" s="39" t="str" cm="1">
        <f t="array" ref="G745">_xlfn.TEXTJOIN("; ",TRUE,_xlfn.UNIQUE(_xlfn._xlws.FILTER('Product Variant Attribute'!$F$2:$F$3000,('Product Variant Attribute'!$B$2:$B$3000=$A745)*('Product Variant Attribute'!$D$2:$D$3000=$D745),"")))</f>
        <v>Miếng dán / gạc</v>
      </c>
      <c r="H745" s="39"/>
      <c r="I745" s="39"/>
      <c r="J745" s="39" t="str" cm="1">
        <f t="array" ref="J745">IF($I745="","",_xlfn.TEXTJOIN("; ",TRUE,_xlfn.UNIQUE(_xlfn._xlws.FILTER($A$2:$A$3000,($C$2:$C$3000=$C745)*($E$2:$E$3000=$E745)*($G$2:$G$3000&lt;&gt;$G745)*($G$2:$G$3000&lt;&gt;""),""))))</f>
        <v/>
      </c>
    </row>
    <row r="746" spans="1:10" x14ac:dyDescent="0.25">
      <c r="A746" s="23" t="s">
        <v>1535</v>
      </c>
      <c r="B746" s="37" t="str">
        <f>INDEX(Product!$B:$B,MATCH($A746,Product!$A:$A,0))</f>
        <v>[Young Chemical Vina] Băng gạc vô trùng - Young Wound Dressing (9cmx10cm)</v>
      </c>
      <c r="C746" s="37" t="str">
        <f>INDEX(Product!$D:$D,MATCH($A746,Product!$A:$A,0))</f>
        <v>Băng gạc vô trùng</v>
      </c>
      <c r="D746" s="23" t="s">
        <v>2342</v>
      </c>
      <c r="E746" s="37" t="str">
        <f>INDEX('Attribute Definition'!$B:$B,MATCH($D746,'Attribute Definition'!$A:$A,0))</f>
        <v>Kích thước</v>
      </c>
      <c r="F746" s="38" t="s">
        <v>2657</v>
      </c>
      <c r="G746" s="39" t="str" cm="1">
        <f t="array" ref="G746">_xlfn.TEXTJOIN("; ",TRUE,_xlfn.UNIQUE(_xlfn._xlws.FILTER('Product Variant Attribute'!$F$2:$F$3000,('Product Variant Attribute'!$B$2:$B$3000=$A746)*('Product Variant Attribute'!$D$2:$D$3000=$D746),"")))</f>
        <v>9cmx10cm</v>
      </c>
      <c r="H746" s="39"/>
      <c r="I746" s="39"/>
      <c r="J746" s="39" t="str" cm="1">
        <f t="array" ref="J746">IF($I746="","",_xlfn.TEXTJOIN("; ",TRUE,_xlfn.UNIQUE(_xlfn._xlws.FILTER($A$2:$A$3000,($C$2:$C$3000=$C746)*($E$2:$E$3000=$E746)*($G$2:$G$3000&lt;&gt;$G746)*($G$2:$G$3000&lt;&gt;""),""))))</f>
        <v/>
      </c>
    </row>
    <row r="747" spans="1:10" x14ac:dyDescent="0.25">
      <c r="A747" s="23" t="s">
        <v>1535</v>
      </c>
      <c r="B747" s="37" t="str">
        <f>INDEX(Product!$B:$B,MATCH($A747,Product!$A:$A,0))</f>
        <v>[Young Chemical Vina] Băng gạc vô trùng - Young Wound Dressing (9cmx10cm)</v>
      </c>
      <c r="C747" s="37" t="str">
        <f>INDEX(Product!$D:$D,MATCH($A747,Product!$A:$A,0))</f>
        <v>Băng gạc vô trùng</v>
      </c>
      <c r="D747" s="23" t="s">
        <v>2374</v>
      </c>
      <c r="E747" s="37" t="str">
        <f>INDEX('Attribute Definition'!$B:$B,MATCH($D747,'Attribute Definition'!$A:$A,0))</f>
        <v>Vô trùng</v>
      </c>
      <c r="F747" s="38" t="s">
        <v>2657</v>
      </c>
      <c r="G747" s="39" t="str" cm="1">
        <f t="array" ref="G747">_xlfn.TEXTJOIN("; ",TRUE,_xlfn.UNIQUE(_xlfn._xlws.FILTER('Product Variant Attribute'!$F$2:$F$3000,('Product Variant Attribute'!$B$2:$B$3000=$A747)*('Product Variant Attribute'!$D$2:$D$3000=$D747),"")))</f>
        <v>Có</v>
      </c>
      <c r="H747" s="39"/>
      <c r="I747" s="39"/>
      <c r="J747" s="39" t="str" cm="1">
        <f t="array" ref="J747">IF($I747="","",_xlfn.TEXTJOIN("; ",TRUE,_xlfn.UNIQUE(_xlfn._xlws.FILTER($A$2:$A$3000,($C$2:$C$3000=$C747)*($E$2:$E$3000=$E747)*($G$2:$G$3000&lt;&gt;$G747)*($G$2:$G$3000&lt;&gt;""),""))))</f>
        <v/>
      </c>
    </row>
    <row r="748" spans="1:10" x14ac:dyDescent="0.25">
      <c r="A748" s="23" t="s">
        <v>1535</v>
      </c>
      <c r="B748" s="37" t="str">
        <f>INDEX(Product!$B:$B,MATCH($A748,Product!$A:$A,0))</f>
        <v>[Young Chemical Vina] Băng gạc vô trùng - Young Wound Dressing (9cmx10cm)</v>
      </c>
      <c r="C748" s="37" t="str">
        <f>INDEX(Product!$D:$D,MATCH($A748,Product!$A:$A,0))</f>
        <v>Băng gạc vô trùng</v>
      </c>
      <c r="D748" s="23" t="s">
        <v>2471</v>
      </c>
      <c r="E748" s="37" t="str">
        <f>INDEX('Attribute Definition'!$B:$B,MATCH($D748,'Attribute Definition'!$A:$A,0))</f>
        <v>Dạng sản phẩm</v>
      </c>
      <c r="F748" s="38" t="s">
        <v>2657</v>
      </c>
      <c r="G748" s="39" t="str" cm="1">
        <f t="array" ref="G748">_xlfn.TEXTJOIN("; ",TRUE,_xlfn.UNIQUE(_xlfn._xlws.FILTER('Product Variant Attribute'!$F$2:$F$3000,('Product Variant Attribute'!$B$2:$B$3000=$A748)*('Product Variant Attribute'!$D$2:$D$3000=$D748),"")))</f>
        <v>Miếng dán / gạc</v>
      </c>
      <c r="H748" s="39"/>
      <c r="I748" s="39"/>
      <c r="J748" s="39" t="str" cm="1">
        <f t="array" ref="J748">IF($I748="","",_xlfn.TEXTJOIN("; ",TRUE,_xlfn.UNIQUE(_xlfn._xlws.FILTER($A$2:$A$3000,($C$2:$C$3000=$C748)*($E$2:$E$3000=$E748)*($G$2:$G$3000&lt;&gt;$G748)*($G$2:$G$3000&lt;&gt;""),""))))</f>
        <v/>
      </c>
    </row>
    <row r="749" spans="1:10" x14ac:dyDescent="0.25">
      <c r="A749" s="23" t="s">
        <v>1537</v>
      </c>
      <c r="B749" s="37" t="str">
        <f>INDEX(Product!$B:$B,MATCH($A749,Product!$A:$A,0))</f>
        <v>[Young Chemical Vina] Băng gạc vô trùng - Young Wound Dressing (9cmx15cm)</v>
      </c>
      <c r="C749" s="37" t="str">
        <f>INDEX(Product!$D:$D,MATCH($A749,Product!$A:$A,0))</f>
        <v>Băng gạc vô trùng</v>
      </c>
      <c r="D749" s="23" t="s">
        <v>2342</v>
      </c>
      <c r="E749" s="37" t="str">
        <f>INDEX('Attribute Definition'!$B:$B,MATCH($D749,'Attribute Definition'!$A:$A,0))</f>
        <v>Kích thước</v>
      </c>
      <c r="F749" s="38" t="s">
        <v>2657</v>
      </c>
      <c r="G749" s="39" t="str" cm="1">
        <f t="array" ref="G749">_xlfn.TEXTJOIN("; ",TRUE,_xlfn.UNIQUE(_xlfn._xlws.FILTER('Product Variant Attribute'!$F$2:$F$3000,('Product Variant Attribute'!$B$2:$B$3000=$A749)*('Product Variant Attribute'!$D$2:$D$3000=$D749),"")))</f>
        <v>9cmx15cm</v>
      </c>
      <c r="H749" s="39"/>
      <c r="I749" s="39"/>
      <c r="J749" s="39" t="str" cm="1">
        <f t="array" ref="J749">IF($I749="","",_xlfn.TEXTJOIN("; ",TRUE,_xlfn.UNIQUE(_xlfn._xlws.FILTER($A$2:$A$3000,($C$2:$C$3000=$C749)*($E$2:$E$3000=$E749)*($G$2:$G$3000&lt;&gt;$G749)*($G$2:$G$3000&lt;&gt;""),""))))</f>
        <v/>
      </c>
    </row>
    <row r="750" spans="1:10" x14ac:dyDescent="0.25">
      <c r="A750" s="23" t="s">
        <v>1537</v>
      </c>
      <c r="B750" s="37" t="str">
        <f>INDEX(Product!$B:$B,MATCH($A750,Product!$A:$A,0))</f>
        <v>[Young Chemical Vina] Băng gạc vô trùng - Young Wound Dressing (9cmx15cm)</v>
      </c>
      <c r="C750" s="37" t="str">
        <f>INDEX(Product!$D:$D,MATCH($A750,Product!$A:$A,0))</f>
        <v>Băng gạc vô trùng</v>
      </c>
      <c r="D750" s="23" t="s">
        <v>2374</v>
      </c>
      <c r="E750" s="37" t="str">
        <f>INDEX('Attribute Definition'!$B:$B,MATCH($D750,'Attribute Definition'!$A:$A,0))</f>
        <v>Vô trùng</v>
      </c>
      <c r="F750" s="38" t="s">
        <v>2657</v>
      </c>
      <c r="G750" s="39" t="str" cm="1">
        <f t="array" ref="G750">_xlfn.TEXTJOIN("; ",TRUE,_xlfn.UNIQUE(_xlfn._xlws.FILTER('Product Variant Attribute'!$F$2:$F$3000,('Product Variant Attribute'!$B$2:$B$3000=$A750)*('Product Variant Attribute'!$D$2:$D$3000=$D750),"")))</f>
        <v>Có</v>
      </c>
      <c r="H750" s="39"/>
      <c r="I750" s="39"/>
      <c r="J750" s="39" t="str" cm="1">
        <f t="array" ref="J750">IF($I750="","",_xlfn.TEXTJOIN("; ",TRUE,_xlfn.UNIQUE(_xlfn._xlws.FILTER($A$2:$A$3000,($C$2:$C$3000=$C750)*($E$2:$E$3000=$E750)*($G$2:$G$3000&lt;&gt;$G750)*($G$2:$G$3000&lt;&gt;""),""))))</f>
        <v/>
      </c>
    </row>
    <row r="751" spans="1:10" x14ac:dyDescent="0.25">
      <c r="A751" s="23" t="s">
        <v>1537</v>
      </c>
      <c r="B751" s="37" t="str">
        <f>INDEX(Product!$B:$B,MATCH($A751,Product!$A:$A,0))</f>
        <v>[Young Chemical Vina] Băng gạc vô trùng - Young Wound Dressing (9cmx15cm)</v>
      </c>
      <c r="C751" s="37" t="str">
        <f>INDEX(Product!$D:$D,MATCH($A751,Product!$A:$A,0))</f>
        <v>Băng gạc vô trùng</v>
      </c>
      <c r="D751" s="23" t="s">
        <v>2471</v>
      </c>
      <c r="E751" s="37" t="str">
        <f>INDEX('Attribute Definition'!$B:$B,MATCH($D751,'Attribute Definition'!$A:$A,0))</f>
        <v>Dạng sản phẩm</v>
      </c>
      <c r="F751" s="38" t="s">
        <v>2657</v>
      </c>
      <c r="G751" s="39" t="str" cm="1">
        <f t="array" ref="G751">_xlfn.TEXTJOIN("; ",TRUE,_xlfn.UNIQUE(_xlfn._xlws.FILTER('Product Variant Attribute'!$F$2:$F$3000,('Product Variant Attribute'!$B$2:$B$3000=$A751)*('Product Variant Attribute'!$D$2:$D$3000=$D751),"")))</f>
        <v>Miếng dán / gạc</v>
      </c>
      <c r="H751" s="39"/>
      <c r="I751" s="39"/>
      <c r="J751" s="39" t="str" cm="1">
        <f t="array" ref="J751">IF($I751="","",_xlfn.TEXTJOIN("; ",TRUE,_xlfn.UNIQUE(_xlfn._xlws.FILTER($A$2:$A$3000,($C$2:$C$3000=$C751)*($E$2:$E$3000=$E751)*($G$2:$G$3000&lt;&gt;$G751)*($G$2:$G$3000&lt;&gt;""),""))))</f>
        <v/>
      </c>
    </row>
    <row r="752" spans="1:10" x14ac:dyDescent="0.25">
      <c r="A752" s="23" t="s">
        <v>1539</v>
      </c>
      <c r="B752" s="37" t="str">
        <f>INDEX(Product!$B:$B,MATCH($A752,Product!$A:$A,0))</f>
        <v>[Young Chemical Vina] Băng gạc vô trùng - Young Wound Dressing (9cmx20cm)</v>
      </c>
      <c r="C752" s="37" t="str">
        <f>INDEX(Product!$D:$D,MATCH($A752,Product!$A:$A,0))</f>
        <v>Băng gạc vô trùng</v>
      </c>
      <c r="D752" s="23" t="s">
        <v>2342</v>
      </c>
      <c r="E752" s="37" t="str">
        <f>INDEX('Attribute Definition'!$B:$B,MATCH($D752,'Attribute Definition'!$A:$A,0))</f>
        <v>Kích thước</v>
      </c>
      <c r="F752" s="38" t="s">
        <v>2657</v>
      </c>
      <c r="G752" s="39" t="str" cm="1">
        <f t="array" ref="G752">_xlfn.TEXTJOIN("; ",TRUE,_xlfn.UNIQUE(_xlfn._xlws.FILTER('Product Variant Attribute'!$F$2:$F$3000,('Product Variant Attribute'!$B$2:$B$3000=$A752)*('Product Variant Attribute'!$D$2:$D$3000=$D752),"")))</f>
        <v>9cmx20cm</v>
      </c>
      <c r="H752" s="39"/>
      <c r="I752" s="39"/>
      <c r="J752" s="39" t="str" cm="1">
        <f t="array" ref="J752">IF($I752="","",_xlfn.TEXTJOIN("; ",TRUE,_xlfn.UNIQUE(_xlfn._xlws.FILTER($A$2:$A$3000,($C$2:$C$3000=$C752)*($E$2:$E$3000=$E752)*($G$2:$G$3000&lt;&gt;$G752)*($G$2:$G$3000&lt;&gt;""),""))))</f>
        <v/>
      </c>
    </row>
    <row r="753" spans="1:10" x14ac:dyDescent="0.25">
      <c r="A753" s="23" t="s">
        <v>1539</v>
      </c>
      <c r="B753" s="37" t="str">
        <f>INDEX(Product!$B:$B,MATCH($A753,Product!$A:$A,0))</f>
        <v>[Young Chemical Vina] Băng gạc vô trùng - Young Wound Dressing (9cmx20cm)</v>
      </c>
      <c r="C753" s="37" t="str">
        <f>INDEX(Product!$D:$D,MATCH($A753,Product!$A:$A,0))</f>
        <v>Băng gạc vô trùng</v>
      </c>
      <c r="D753" s="23" t="s">
        <v>2374</v>
      </c>
      <c r="E753" s="37" t="str">
        <f>INDEX('Attribute Definition'!$B:$B,MATCH($D753,'Attribute Definition'!$A:$A,0))</f>
        <v>Vô trùng</v>
      </c>
      <c r="F753" s="38" t="s">
        <v>2657</v>
      </c>
      <c r="G753" s="39" t="str" cm="1">
        <f t="array" ref="G753">_xlfn.TEXTJOIN("; ",TRUE,_xlfn.UNIQUE(_xlfn._xlws.FILTER('Product Variant Attribute'!$F$2:$F$3000,('Product Variant Attribute'!$B$2:$B$3000=$A753)*('Product Variant Attribute'!$D$2:$D$3000=$D753),"")))</f>
        <v>Có</v>
      </c>
      <c r="H753" s="39"/>
      <c r="I753" s="39"/>
      <c r="J753" s="39" t="str" cm="1">
        <f t="array" ref="J753">IF($I753="","",_xlfn.TEXTJOIN("; ",TRUE,_xlfn.UNIQUE(_xlfn._xlws.FILTER($A$2:$A$3000,($C$2:$C$3000=$C753)*($E$2:$E$3000=$E753)*($G$2:$G$3000&lt;&gt;$G753)*($G$2:$G$3000&lt;&gt;""),""))))</f>
        <v/>
      </c>
    </row>
    <row r="754" spans="1:10" x14ac:dyDescent="0.25">
      <c r="A754" s="23" t="s">
        <v>1539</v>
      </c>
      <c r="B754" s="37" t="str">
        <f>INDEX(Product!$B:$B,MATCH($A754,Product!$A:$A,0))</f>
        <v>[Young Chemical Vina] Băng gạc vô trùng - Young Wound Dressing (9cmx20cm)</v>
      </c>
      <c r="C754" s="37" t="str">
        <f>INDEX(Product!$D:$D,MATCH($A754,Product!$A:$A,0))</f>
        <v>Băng gạc vô trùng</v>
      </c>
      <c r="D754" s="23" t="s">
        <v>2471</v>
      </c>
      <c r="E754" s="37" t="str">
        <f>INDEX('Attribute Definition'!$B:$B,MATCH($D754,'Attribute Definition'!$A:$A,0))</f>
        <v>Dạng sản phẩm</v>
      </c>
      <c r="F754" s="38" t="s">
        <v>2657</v>
      </c>
      <c r="G754" s="39" t="str" cm="1">
        <f t="array" ref="G754">_xlfn.TEXTJOIN("; ",TRUE,_xlfn.UNIQUE(_xlfn._xlws.FILTER('Product Variant Attribute'!$F$2:$F$3000,('Product Variant Attribute'!$B$2:$B$3000=$A754)*('Product Variant Attribute'!$D$2:$D$3000=$D754),"")))</f>
        <v>Miếng dán / gạc</v>
      </c>
      <c r="H754" s="39"/>
      <c r="I754" s="39"/>
      <c r="J754" s="39" t="str" cm="1">
        <f t="array" ref="J754">IF($I754="","",_xlfn.TEXTJOIN("; ",TRUE,_xlfn.UNIQUE(_xlfn._xlws.FILTER($A$2:$A$3000,($C$2:$C$3000=$C754)*($E$2:$E$3000=$E754)*($G$2:$G$3000&lt;&gt;$G754)*($G$2:$G$3000&lt;&gt;""),""))))</f>
        <v/>
      </c>
    </row>
    <row r="755" spans="1:10" x14ac:dyDescent="0.25">
      <c r="A755" s="23" t="s">
        <v>1541</v>
      </c>
      <c r="B755" s="37" t="str">
        <f>INDEX(Product!$B:$B,MATCH($A755,Product!$A:$A,0))</f>
        <v>[Young Chemical Vina] Băng gạc vô trùng - Young Wound Dressing (9cmx25cm)</v>
      </c>
      <c r="C755" s="37" t="str">
        <f>INDEX(Product!$D:$D,MATCH($A755,Product!$A:$A,0))</f>
        <v>Băng gạc vô trùng</v>
      </c>
      <c r="D755" s="23" t="s">
        <v>2342</v>
      </c>
      <c r="E755" s="37" t="str">
        <f>INDEX('Attribute Definition'!$B:$B,MATCH($D755,'Attribute Definition'!$A:$A,0))</f>
        <v>Kích thước</v>
      </c>
      <c r="F755" s="38" t="s">
        <v>2657</v>
      </c>
      <c r="G755" s="39" t="str" cm="1">
        <f t="array" ref="G755">_xlfn.TEXTJOIN("; ",TRUE,_xlfn.UNIQUE(_xlfn._xlws.FILTER('Product Variant Attribute'!$F$2:$F$3000,('Product Variant Attribute'!$B$2:$B$3000=$A755)*('Product Variant Attribute'!$D$2:$D$3000=$D755),"")))</f>
        <v>9cmx25cm</v>
      </c>
      <c r="H755" s="39"/>
      <c r="I755" s="39"/>
      <c r="J755" s="39" t="str" cm="1">
        <f t="array" ref="J755">IF($I755="","",_xlfn.TEXTJOIN("; ",TRUE,_xlfn.UNIQUE(_xlfn._xlws.FILTER($A$2:$A$3000,($C$2:$C$3000=$C755)*($E$2:$E$3000=$E755)*($G$2:$G$3000&lt;&gt;$G755)*($G$2:$G$3000&lt;&gt;""),""))))</f>
        <v/>
      </c>
    </row>
    <row r="756" spans="1:10" x14ac:dyDescent="0.25">
      <c r="A756" s="23" t="s">
        <v>1541</v>
      </c>
      <c r="B756" s="37" t="str">
        <f>INDEX(Product!$B:$B,MATCH($A756,Product!$A:$A,0))</f>
        <v>[Young Chemical Vina] Băng gạc vô trùng - Young Wound Dressing (9cmx25cm)</v>
      </c>
      <c r="C756" s="37" t="str">
        <f>INDEX(Product!$D:$D,MATCH($A756,Product!$A:$A,0))</f>
        <v>Băng gạc vô trùng</v>
      </c>
      <c r="D756" s="23" t="s">
        <v>2374</v>
      </c>
      <c r="E756" s="37" t="str">
        <f>INDEX('Attribute Definition'!$B:$B,MATCH($D756,'Attribute Definition'!$A:$A,0))</f>
        <v>Vô trùng</v>
      </c>
      <c r="F756" s="38" t="s">
        <v>2657</v>
      </c>
      <c r="G756" s="39" t="str" cm="1">
        <f t="array" ref="G756">_xlfn.TEXTJOIN("; ",TRUE,_xlfn.UNIQUE(_xlfn._xlws.FILTER('Product Variant Attribute'!$F$2:$F$3000,('Product Variant Attribute'!$B$2:$B$3000=$A756)*('Product Variant Attribute'!$D$2:$D$3000=$D756),"")))</f>
        <v>Có</v>
      </c>
      <c r="H756" s="39"/>
      <c r="I756" s="39"/>
      <c r="J756" s="39" t="str" cm="1">
        <f t="array" ref="J756">IF($I756="","",_xlfn.TEXTJOIN("; ",TRUE,_xlfn.UNIQUE(_xlfn._xlws.FILTER($A$2:$A$3000,($C$2:$C$3000=$C756)*($E$2:$E$3000=$E756)*($G$2:$G$3000&lt;&gt;$G756)*($G$2:$G$3000&lt;&gt;""),""))))</f>
        <v/>
      </c>
    </row>
    <row r="757" spans="1:10" x14ac:dyDescent="0.25">
      <c r="A757" s="23" t="s">
        <v>1541</v>
      </c>
      <c r="B757" s="37" t="str">
        <f>INDEX(Product!$B:$B,MATCH($A757,Product!$A:$A,0))</f>
        <v>[Young Chemical Vina] Băng gạc vô trùng - Young Wound Dressing (9cmx25cm)</v>
      </c>
      <c r="C757" s="37" t="str">
        <f>INDEX(Product!$D:$D,MATCH($A757,Product!$A:$A,0))</f>
        <v>Băng gạc vô trùng</v>
      </c>
      <c r="D757" s="23" t="s">
        <v>2471</v>
      </c>
      <c r="E757" s="37" t="str">
        <f>INDEX('Attribute Definition'!$B:$B,MATCH($D757,'Attribute Definition'!$A:$A,0))</f>
        <v>Dạng sản phẩm</v>
      </c>
      <c r="F757" s="38" t="s">
        <v>2657</v>
      </c>
      <c r="G757" s="39" t="str" cm="1">
        <f t="array" ref="G757">_xlfn.TEXTJOIN("; ",TRUE,_xlfn.UNIQUE(_xlfn._xlws.FILTER('Product Variant Attribute'!$F$2:$F$3000,('Product Variant Attribute'!$B$2:$B$3000=$A757)*('Product Variant Attribute'!$D$2:$D$3000=$D757),"")))</f>
        <v>Miếng dán / gạc</v>
      </c>
      <c r="H757" s="39"/>
      <c r="I757" s="39"/>
      <c r="J757" s="39" t="str" cm="1">
        <f t="array" ref="J757">IF($I757="","",_xlfn.TEXTJOIN("; ",TRUE,_xlfn.UNIQUE(_xlfn._xlws.FILTER($A$2:$A$3000,($C$2:$C$3000=$C757)*($E$2:$E$3000=$E757)*($G$2:$G$3000&lt;&gt;$G757)*($G$2:$G$3000&lt;&gt;""),""))))</f>
        <v/>
      </c>
    </row>
    <row r="758" spans="1:10" x14ac:dyDescent="0.25">
      <c r="A758" s="23" t="s">
        <v>1543</v>
      </c>
      <c r="B758" s="37" t="str">
        <f>INDEX(Product!$B:$B,MATCH($A758,Product!$A:$A,0))</f>
        <v>[Young Chemical Vina] Băng gạc vô trùng - Young Wound Dressing (9cmx30cm)</v>
      </c>
      <c r="C758" s="37" t="str">
        <f>INDEX(Product!$D:$D,MATCH($A758,Product!$A:$A,0))</f>
        <v>Băng gạc vô trùng</v>
      </c>
      <c r="D758" s="23" t="s">
        <v>2342</v>
      </c>
      <c r="E758" s="37" t="str">
        <f>INDEX('Attribute Definition'!$B:$B,MATCH($D758,'Attribute Definition'!$A:$A,0))</f>
        <v>Kích thước</v>
      </c>
      <c r="F758" s="38" t="s">
        <v>2657</v>
      </c>
      <c r="G758" s="39" t="str" cm="1">
        <f t="array" ref="G758">_xlfn.TEXTJOIN("; ",TRUE,_xlfn.UNIQUE(_xlfn._xlws.FILTER('Product Variant Attribute'!$F$2:$F$3000,('Product Variant Attribute'!$B$2:$B$3000=$A758)*('Product Variant Attribute'!$D$2:$D$3000=$D758),"")))</f>
        <v>9cmx30cm</v>
      </c>
      <c r="H758" s="39"/>
      <c r="I758" s="39"/>
      <c r="J758" s="39" t="str" cm="1">
        <f t="array" ref="J758">IF($I758="","",_xlfn.TEXTJOIN("; ",TRUE,_xlfn.UNIQUE(_xlfn._xlws.FILTER($A$2:$A$3000,($C$2:$C$3000=$C758)*($E$2:$E$3000=$E758)*($G$2:$G$3000&lt;&gt;$G758)*($G$2:$G$3000&lt;&gt;""),""))))</f>
        <v/>
      </c>
    </row>
    <row r="759" spans="1:10" x14ac:dyDescent="0.25">
      <c r="A759" s="23" t="s">
        <v>1543</v>
      </c>
      <c r="B759" s="37" t="str">
        <f>INDEX(Product!$B:$B,MATCH($A759,Product!$A:$A,0))</f>
        <v>[Young Chemical Vina] Băng gạc vô trùng - Young Wound Dressing (9cmx30cm)</v>
      </c>
      <c r="C759" s="37" t="str">
        <f>INDEX(Product!$D:$D,MATCH($A759,Product!$A:$A,0))</f>
        <v>Băng gạc vô trùng</v>
      </c>
      <c r="D759" s="23" t="s">
        <v>2374</v>
      </c>
      <c r="E759" s="37" t="str">
        <f>INDEX('Attribute Definition'!$B:$B,MATCH($D759,'Attribute Definition'!$A:$A,0))</f>
        <v>Vô trùng</v>
      </c>
      <c r="F759" s="38" t="s">
        <v>2657</v>
      </c>
      <c r="G759" s="39" t="str" cm="1">
        <f t="array" ref="G759">_xlfn.TEXTJOIN("; ",TRUE,_xlfn.UNIQUE(_xlfn._xlws.FILTER('Product Variant Attribute'!$F$2:$F$3000,('Product Variant Attribute'!$B$2:$B$3000=$A759)*('Product Variant Attribute'!$D$2:$D$3000=$D759),"")))</f>
        <v>Có</v>
      </c>
      <c r="H759" s="39"/>
      <c r="I759" s="39"/>
      <c r="J759" s="39" t="str" cm="1">
        <f t="array" ref="J759">IF($I759="","",_xlfn.TEXTJOIN("; ",TRUE,_xlfn.UNIQUE(_xlfn._xlws.FILTER($A$2:$A$3000,($C$2:$C$3000=$C759)*($E$2:$E$3000=$E759)*($G$2:$G$3000&lt;&gt;$G759)*($G$2:$G$3000&lt;&gt;""),""))))</f>
        <v/>
      </c>
    </row>
    <row r="760" spans="1:10" x14ac:dyDescent="0.25">
      <c r="A760" s="23" t="s">
        <v>1543</v>
      </c>
      <c r="B760" s="37" t="str">
        <f>INDEX(Product!$B:$B,MATCH($A760,Product!$A:$A,0))</f>
        <v>[Young Chemical Vina] Băng gạc vô trùng - Young Wound Dressing (9cmx30cm)</v>
      </c>
      <c r="C760" s="37" t="str">
        <f>INDEX(Product!$D:$D,MATCH($A760,Product!$A:$A,0))</f>
        <v>Băng gạc vô trùng</v>
      </c>
      <c r="D760" s="23" t="s">
        <v>2471</v>
      </c>
      <c r="E760" s="37" t="str">
        <f>INDEX('Attribute Definition'!$B:$B,MATCH($D760,'Attribute Definition'!$A:$A,0))</f>
        <v>Dạng sản phẩm</v>
      </c>
      <c r="F760" s="38" t="s">
        <v>2657</v>
      </c>
      <c r="G760" s="39" t="str" cm="1">
        <f t="array" ref="G760">_xlfn.TEXTJOIN("; ",TRUE,_xlfn.UNIQUE(_xlfn._xlws.FILTER('Product Variant Attribute'!$F$2:$F$3000,('Product Variant Attribute'!$B$2:$B$3000=$A760)*('Product Variant Attribute'!$D$2:$D$3000=$D760),"")))</f>
        <v>Miếng dán / gạc</v>
      </c>
      <c r="H760" s="39"/>
      <c r="I760" s="39"/>
      <c r="J760" s="39" t="str" cm="1">
        <f t="array" ref="J760">IF($I760="","",_xlfn.TEXTJOIN("; ",TRUE,_xlfn.UNIQUE(_xlfn._xlws.FILTER($A$2:$A$3000,($C$2:$C$3000=$C760)*($E$2:$E$3000=$E760)*($G$2:$G$3000&lt;&gt;$G760)*($G$2:$G$3000&lt;&gt;""),""))))</f>
        <v/>
      </c>
    </row>
    <row r="761" spans="1:10" x14ac:dyDescent="0.25">
      <c r="A761" s="23" t="s">
        <v>1545</v>
      </c>
      <c r="B761" s="37" t="str">
        <f>INDEX(Product!$B:$B,MATCH($A761,Product!$A:$A,0))</f>
        <v>[Young Chemical Vina] Băng gạc vô trùng không thấm nước - Sterile Adflex (With-Pad) (10cmx12cm)</v>
      </c>
      <c r="C761" s="37" t="str">
        <f>INDEX(Product!$D:$D,MATCH($A761,Product!$A:$A,0))</f>
        <v>Băng gạc vô trùng</v>
      </c>
      <c r="D761" s="23" t="s">
        <v>2342</v>
      </c>
      <c r="E761" s="37" t="str">
        <f>INDEX('Attribute Definition'!$B:$B,MATCH($D761,'Attribute Definition'!$A:$A,0))</f>
        <v>Kích thước</v>
      </c>
      <c r="F761" s="38" t="s">
        <v>2657</v>
      </c>
      <c r="G761" s="39" t="str" cm="1">
        <f t="array" ref="G761">_xlfn.TEXTJOIN("; ",TRUE,_xlfn.UNIQUE(_xlfn._xlws.FILTER('Product Variant Attribute'!$F$2:$F$3000,('Product Variant Attribute'!$B$2:$B$3000=$A761)*('Product Variant Attribute'!$D$2:$D$3000=$D761),"")))</f>
        <v>10cmx12cm</v>
      </c>
      <c r="H761" s="39"/>
      <c r="I761" s="39"/>
      <c r="J761" s="39" t="str" cm="1">
        <f t="array" ref="J761">IF($I761="","",_xlfn.TEXTJOIN("; ",TRUE,_xlfn.UNIQUE(_xlfn._xlws.FILTER($A$2:$A$3000,($C$2:$C$3000=$C761)*($E$2:$E$3000=$E761)*($G$2:$G$3000&lt;&gt;$G761)*($G$2:$G$3000&lt;&gt;""),""))))</f>
        <v/>
      </c>
    </row>
    <row r="762" spans="1:10" x14ac:dyDescent="0.25">
      <c r="A762" s="23" t="s">
        <v>1545</v>
      </c>
      <c r="B762" s="37" t="str">
        <f>INDEX(Product!$B:$B,MATCH($A762,Product!$A:$A,0))</f>
        <v>[Young Chemical Vina] Băng gạc vô trùng không thấm nước - Sterile Adflex (With-Pad) (10cmx12cm)</v>
      </c>
      <c r="C762" s="37" t="str">
        <f>INDEX(Product!$D:$D,MATCH($A762,Product!$A:$A,0))</f>
        <v>Băng gạc vô trùng</v>
      </c>
      <c r="D762" s="23" t="s">
        <v>2374</v>
      </c>
      <c r="E762" s="37" t="str">
        <f>INDEX('Attribute Definition'!$B:$B,MATCH($D762,'Attribute Definition'!$A:$A,0))</f>
        <v>Vô trùng</v>
      </c>
      <c r="F762" s="38" t="s">
        <v>2657</v>
      </c>
      <c r="G762" s="39" t="str" cm="1">
        <f t="array" ref="G762">_xlfn.TEXTJOIN("; ",TRUE,_xlfn.UNIQUE(_xlfn._xlws.FILTER('Product Variant Attribute'!$F$2:$F$3000,('Product Variant Attribute'!$B$2:$B$3000=$A762)*('Product Variant Attribute'!$D$2:$D$3000=$D762),"")))</f>
        <v>Có</v>
      </c>
      <c r="H762" s="39"/>
      <c r="I762" s="39"/>
      <c r="J762" s="39" t="str" cm="1">
        <f t="array" ref="J762">IF($I762="","",_xlfn.TEXTJOIN("; ",TRUE,_xlfn.UNIQUE(_xlfn._xlws.FILTER($A$2:$A$3000,($C$2:$C$3000=$C762)*($E$2:$E$3000=$E762)*($G$2:$G$3000&lt;&gt;$G762)*($G$2:$G$3000&lt;&gt;""),""))))</f>
        <v/>
      </c>
    </row>
    <row r="763" spans="1:10" x14ac:dyDescent="0.25">
      <c r="A763" s="23" t="s">
        <v>1545</v>
      </c>
      <c r="B763" s="37" t="str">
        <f>INDEX(Product!$B:$B,MATCH($A763,Product!$A:$A,0))</f>
        <v>[Young Chemical Vina] Băng gạc vô trùng không thấm nước - Sterile Adflex (With-Pad) (10cmx12cm)</v>
      </c>
      <c r="C763" s="37" t="str">
        <f>INDEX(Product!$D:$D,MATCH($A763,Product!$A:$A,0))</f>
        <v>Băng gạc vô trùng</v>
      </c>
      <c r="D763" s="23" t="s">
        <v>2381</v>
      </c>
      <c r="E763" s="37" t="str">
        <f>INDEX('Attribute Definition'!$B:$B,MATCH($D763,'Attribute Definition'!$A:$A,0))</f>
        <v>Chống nước</v>
      </c>
      <c r="F763" s="38" t="s">
        <v>2657</v>
      </c>
      <c r="G763" s="39" t="str" cm="1">
        <f t="array" ref="G763">_xlfn.TEXTJOIN("; ",TRUE,_xlfn.UNIQUE(_xlfn._xlws.FILTER('Product Variant Attribute'!$F$2:$F$3000,('Product Variant Attribute'!$B$2:$B$3000=$A763)*('Product Variant Attribute'!$D$2:$D$3000=$D763),"")))</f>
        <v>Có</v>
      </c>
      <c r="H763" s="39"/>
      <c r="I763" s="39"/>
      <c r="J763" s="39" t="str" cm="1">
        <f t="array" ref="J763">IF($I763="","",_xlfn.TEXTJOIN("; ",TRUE,_xlfn.UNIQUE(_xlfn._xlws.FILTER($A$2:$A$3000,($C$2:$C$3000=$C763)*($E$2:$E$3000=$E763)*($G$2:$G$3000&lt;&gt;$G763)*($G$2:$G$3000&lt;&gt;""),""))))</f>
        <v/>
      </c>
    </row>
    <row r="764" spans="1:10" x14ac:dyDescent="0.25">
      <c r="A764" s="23" t="s">
        <v>1545</v>
      </c>
      <c r="B764" s="37" t="str">
        <f>INDEX(Product!$B:$B,MATCH($A764,Product!$A:$A,0))</f>
        <v>[Young Chemical Vina] Băng gạc vô trùng không thấm nước - Sterile Adflex (With-Pad) (10cmx12cm)</v>
      </c>
      <c r="C764" s="37" t="str">
        <f>INDEX(Product!$D:$D,MATCH($A764,Product!$A:$A,0))</f>
        <v>Băng gạc vô trùng</v>
      </c>
      <c r="D764" s="23" t="s">
        <v>2471</v>
      </c>
      <c r="E764" s="37" t="str">
        <f>INDEX('Attribute Definition'!$B:$B,MATCH($D764,'Attribute Definition'!$A:$A,0))</f>
        <v>Dạng sản phẩm</v>
      </c>
      <c r="F764" s="38" t="s">
        <v>2657</v>
      </c>
      <c r="G764" s="39" t="str" cm="1">
        <f t="array" ref="G764">_xlfn.TEXTJOIN("; ",TRUE,_xlfn.UNIQUE(_xlfn._xlws.FILTER('Product Variant Attribute'!$F$2:$F$3000,('Product Variant Attribute'!$B$2:$B$3000=$A764)*('Product Variant Attribute'!$D$2:$D$3000=$D764),"")))</f>
        <v>Miếng dán / gạc</v>
      </c>
      <c r="H764" s="39"/>
      <c r="I764" s="39"/>
      <c r="J764" s="39" t="str" cm="1">
        <f t="array" ref="J764">IF($I764="","",_xlfn.TEXTJOIN("; ",TRUE,_xlfn.UNIQUE(_xlfn._xlws.FILTER($A$2:$A$3000,($C$2:$C$3000=$C764)*($E$2:$E$3000=$E764)*($G$2:$G$3000&lt;&gt;$G764)*($G$2:$G$3000&lt;&gt;""),""))))</f>
        <v/>
      </c>
    </row>
    <row r="765" spans="1:10" x14ac:dyDescent="0.25">
      <c r="A765" s="23" t="s">
        <v>1547</v>
      </c>
      <c r="B765" s="37" t="str">
        <f>INDEX(Product!$B:$B,MATCH($A765,Product!$A:$A,0))</f>
        <v>[Young Chemical Vina] Băng keo cá nhân in hình trẻ em - Pororo (Hỗn hợp 4 size)</v>
      </c>
      <c r="C765" s="37" t="str">
        <f>INDEX(Product!$D:$D,MATCH($A765,Product!$A:$A,0))</f>
        <v>Băng keo cá nhân</v>
      </c>
      <c r="D765" s="23" t="s">
        <v>2342</v>
      </c>
      <c r="E765" s="37" t="str">
        <f>INDEX('Attribute Definition'!$B:$B,MATCH($D765,'Attribute Definition'!$A:$A,0))</f>
        <v>Kích thước</v>
      </c>
      <c r="F765" s="38" t="s">
        <v>2657</v>
      </c>
      <c r="G765" s="39" t="str" cm="1">
        <f t="array" ref="G765">_xlfn.TEXTJOIN("; ",TRUE,_xlfn.UNIQUE(_xlfn._xlws.FILTER('Product Variant Attribute'!$F$2:$F$3000,('Product Variant Attribute'!$B$2:$B$3000=$A765)*('Product Variant Attribute'!$D$2:$D$3000=$D765),"")))</f>
        <v>Hỗn hợp 4 size</v>
      </c>
      <c r="H765" s="39"/>
      <c r="I765" s="39"/>
      <c r="J765" s="39" t="str" cm="1">
        <f t="array" ref="J765">IF($I765="","",_xlfn.TEXTJOIN("; ",TRUE,_xlfn.UNIQUE(_xlfn._xlws.FILTER($A$2:$A$3000,($C$2:$C$3000=$C765)*($E$2:$E$3000=$E765)*($G$2:$G$3000&lt;&gt;$G765)*($G$2:$G$3000&lt;&gt;""),""))))</f>
        <v/>
      </c>
    </row>
    <row r="766" spans="1:10" x14ac:dyDescent="0.25">
      <c r="A766" s="23" t="s">
        <v>1547</v>
      </c>
      <c r="B766" s="37" t="str">
        <f>INDEX(Product!$B:$B,MATCH($A766,Product!$A:$A,0))</f>
        <v>[Young Chemical Vina] Băng keo cá nhân in hình trẻ em - Pororo (Hỗn hợp 4 size)</v>
      </c>
      <c r="C766" s="37" t="str">
        <f>INDEX(Product!$D:$D,MATCH($A766,Product!$A:$A,0))</f>
        <v>Băng keo cá nhân</v>
      </c>
      <c r="D766" s="23" t="s">
        <v>2386</v>
      </c>
      <c r="E766" s="37" t="str">
        <f>INDEX('Attribute Definition'!$B:$B,MATCH($D766,'Attribute Definition'!$A:$A,0))</f>
        <v>Thành phần kháng khuẩn</v>
      </c>
      <c r="F766" s="38" t="s">
        <v>2657</v>
      </c>
      <c r="G766" s="39" t="str" cm="1">
        <f t="array" ref="G766">_xlfn.TEXTJOIN("; ",TRUE,_xlfn.UNIQUE(_xlfn._xlws.FILTER('Product Variant Attribute'!$F$2:$F$3000,('Product Variant Attribute'!$B$2:$B$3000=$A766)*('Product Variant Attribute'!$D$2:$D$3000=$D766),"")))</f>
        <v>Benzalkonium Chloride</v>
      </c>
      <c r="H766" s="39"/>
      <c r="I766" s="39"/>
      <c r="J766" s="39" t="str" cm="1">
        <f t="array" ref="J766">IF($I766="","",_xlfn.TEXTJOIN("; ",TRUE,_xlfn.UNIQUE(_xlfn._xlws.FILTER($A$2:$A$3000,($C$2:$C$3000=$C766)*($E$2:$E$3000=$E766)*($G$2:$G$3000&lt;&gt;$G766)*($G$2:$G$3000&lt;&gt;""),""))))</f>
        <v/>
      </c>
    </row>
    <row r="767" spans="1:10" x14ac:dyDescent="0.25">
      <c r="A767" s="23" t="s">
        <v>1547</v>
      </c>
      <c r="B767" s="37" t="str">
        <f>INDEX(Product!$B:$B,MATCH($A767,Product!$A:$A,0))</f>
        <v>[Young Chemical Vina] Băng keo cá nhân in hình trẻ em - Pororo (Hỗn hợp 4 size)</v>
      </c>
      <c r="C767" s="37" t="str">
        <f>INDEX(Product!$D:$D,MATCH($A767,Product!$A:$A,0))</f>
        <v>Băng keo cá nhân</v>
      </c>
      <c r="D767" s="23" t="s">
        <v>2449</v>
      </c>
      <c r="E767" s="37" t="str">
        <f>INDEX('Attribute Definition'!$B:$B,MATCH($D767,'Attribute Definition'!$A:$A,0))</f>
        <v>Đối tượng sử dụng</v>
      </c>
      <c r="F767" s="38" t="s">
        <v>2657</v>
      </c>
      <c r="G767" s="39" t="str" cm="1">
        <f t="array" ref="G767">_xlfn.TEXTJOIN("; ",TRUE,_xlfn.UNIQUE(_xlfn._xlws.FILTER('Product Variant Attribute'!$F$2:$F$3000,('Product Variant Attribute'!$B$2:$B$3000=$A767)*('Product Variant Attribute'!$D$2:$D$3000=$D767),"")))</f>
        <v>Trẻ em</v>
      </c>
      <c r="H767" s="39"/>
      <c r="I767" s="39"/>
      <c r="J767" s="39" t="str" cm="1">
        <f t="array" ref="J767">IF($I767="","",_xlfn.TEXTJOIN("; ",TRUE,_xlfn.UNIQUE(_xlfn._xlws.FILTER($A$2:$A$3000,($C$2:$C$3000=$C767)*($E$2:$E$3000=$E767)*($G$2:$G$3000&lt;&gt;$G767)*($G$2:$G$3000&lt;&gt;""),""))))</f>
        <v/>
      </c>
    </row>
    <row r="768" spans="1:10" x14ac:dyDescent="0.25">
      <c r="A768" s="23" t="s">
        <v>1547</v>
      </c>
      <c r="B768" s="37" t="str">
        <f>INDEX(Product!$B:$B,MATCH($A768,Product!$A:$A,0))</f>
        <v>[Young Chemical Vina] Băng keo cá nhân in hình trẻ em - Pororo (Hỗn hợp 4 size)</v>
      </c>
      <c r="C768" s="37" t="str">
        <f>INDEX(Product!$D:$D,MATCH($A768,Product!$A:$A,0))</f>
        <v>Băng keo cá nhân</v>
      </c>
      <c r="D768" s="23" t="s">
        <v>2464</v>
      </c>
      <c r="E768" s="37" t="str">
        <f>INDEX('Attribute Definition'!$B:$B,MATCH($D768,'Attribute Definition'!$A:$A,0))</f>
        <v>Màu sắc</v>
      </c>
      <c r="F768" s="38" t="s">
        <v>2657</v>
      </c>
      <c r="G768" s="39" t="str" cm="1">
        <f t="array" ref="G768">_xlfn.TEXTJOIN("; ",TRUE,_xlfn.UNIQUE(_xlfn._xlws.FILTER('Product Variant Attribute'!$F$2:$F$3000,('Product Variant Attribute'!$B$2:$B$3000=$A768)*('Product Variant Attribute'!$D$2:$D$3000=$D768),"")))</f>
        <v>In hình hoạt hình</v>
      </c>
      <c r="H768" s="39"/>
      <c r="I768" s="39"/>
      <c r="J768" s="39" t="str" cm="1">
        <f t="array" ref="J768">IF($I768="","",_xlfn.TEXTJOIN("; ",TRUE,_xlfn.UNIQUE(_xlfn._xlws.FILTER($A$2:$A$3000,($C$2:$C$3000=$C768)*($E$2:$E$3000=$E768)*($G$2:$G$3000&lt;&gt;$G768)*($G$2:$G$3000&lt;&gt;""),""))))</f>
        <v/>
      </c>
    </row>
    <row r="769" spans="1:10" x14ac:dyDescent="0.25">
      <c r="A769" s="23" t="s">
        <v>1547</v>
      </c>
      <c r="B769" s="37" t="str">
        <f>INDEX(Product!$B:$B,MATCH($A769,Product!$A:$A,0))</f>
        <v>[Young Chemical Vina] Băng keo cá nhân in hình trẻ em - Pororo (Hỗn hợp 4 size)</v>
      </c>
      <c r="C769" s="37" t="str">
        <f>INDEX(Product!$D:$D,MATCH($A769,Product!$A:$A,0))</f>
        <v>Băng keo cá nhân</v>
      </c>
      <c r="D769" s="23" t="s">
        <v>2471</v>
      </c>
      <c r="E769" s="37" t="str">
        <f>INDEX('Attribute Definition'!$B:$B,MATCH($D769,'Attribute Definition'!$A:$A,0))</f>
        <v>Dạng sản phẩm</v>
      </c>
      <c r="F769" s="38" t="s">
        <v>2657</v>
      </c>
      <c r="G769" s="39" t="str" cm="1">
        <f t="array" ref="G769">_xlfn.TEXTJOIN("; ",TRUE,_xlfn.UNIQUE(_xlfn._xlws.FILTER('Product Variant Attribute'!$F$2:$F$3000,('Product Variant Attribute'!$B$2:$B$3000=$A769)*('Product Variant Attribute'!$D$2:$D$3000=$D769),"")))</f>
        <v>Băng keo cá nhân</v>
      </c>
      <c r="H769" s="39"/>
      <c r="I769" s="39"/>
      <c r="J769" s="39" t="str" cm="1">
        <f t="array" ref="J769">IF($I769="","",_xlfn.TEXTJOIN("; ",TRUE,_xlfn.UNIQUE(_xlfn._xlws.FILTER($A$2:$A$3000,($C$2:$C$3000=$C769)*($E$2:$E$3000=$E769)*($G$2:$G$3000&lt;&gt;$G769)*($G$2:$G$3000&lt;&gt;""),""))))</f>
        <v/>
      </c>
    </row>
    <row r="770" spans="1:10" x14ac:dyDescent="0.25">
      <c r="A770" s="23" t="s">
        <v>1549</v>
      </c>
      <c r="B770" s="37" t="str">
        <f>INDEX(Product!$B:$B,MATCH($A770,Product!$A:$A,0))</f>
        <v>[Young Chemical Vina] Băng keo cuộn co giãn - Fix Roll (10cmx10m)</v>
      </c>
      <c r="C770" s="37" t="str">
        <f>INDEX(Product!$D:$D,MATCH($A770,Product!$A:$A,0))</f>
        <v>Băng keo cuộn</v>
      </c>
      <c r="D770" s="23" t="s">
        <v>2342</v>
      </c>
      <c r="E770" s="37" t="str">
        <f>INDEX('Attribute Definition'!$B:$B,MATCH($D770,'Attribute Definition'!$A:$A,0))</f>
        <v>Kích thước</v>
      </c>
      <c r="F770" s="38" t="s">
        <v>2657</v>
      </c>
      <c r="G770" s="39" t="str" cm="1">
        <f t="array" ref="G770">_xlfn.TEXTJOIN("; ",TRUE,_xlfn.UNIQUE(_xlfn._xlws.FILTER('Product Variant Attribute'!$F$2:$F$3000,('Product Variant Attribute'!$B$2:$B$3000=$A770)*('Product Variant Attribute'!$D$2:$D$3000=$D770),"")))</f>
        <v>10cmx10m</v>
      </c>
      <c r="H770" s="39"/>
      <c r="I770" s="39"/>
      <c r="J770" s="39" t="str" cm="1">
        <f t="array" ref="J770">IF($I770="","",_xlfn.TEXTJOIN("; ",TRUE,_xlfn.UNIQUE(_xlfn._xlws.FILTER($A$2:$A$3000,($C$2:$C$3000=$C770)*($E$2:$E$3000=$E770)*($G$2:$G$3000&lt;&gt;$G770)*($G$2:$G$3000&lt;&gt;""),""))))</f>
        <v/>
      </c>
    </row>
    <row r="771" spans="1:10" ht="30" x14ac:dyDescent="0.25">
      <c r="A771" s="23" t="s">
        <v>1549</v>
      </c>
      <c r="B771" s="37" t="str">
        <f>INDEX(Product!$B:$B,MATCH($A771,Product!$A:$A,0))</f>
        <v>[Young Chemical Vina] Băng keo cuộn co giãn - Fix Roll (10cmx10m)</v>
      </c>
      <c r="C771" s="37" t="str">
        <f>INDEX(Product!$D:$D,MATCH($A771,Product!$A:$A,0))</f>
        <v>Băng keo cuộn</v>
      </c>
      <c r="D771" s="23" t="s">
        <v>2367</v>
      </c>
      <c r="E771" s="37" t="str">
        <f>INDEX('Attribute Definition'!$B:$B,MATCH($D771,'Attribute Definition'!$A:$A,0))</f>
        <v>Chất liệu</v>
      </c>
      <c r="F771" s="38" t="s">
        <v>2657</v>
      </c>
      <c r="G771" s="39" t="str" cm="1">
        <f t="array" ref="G771">_xlfn.TEXTJOIN("; ",TRUE,_xlfn.UNIQUE(_xlfn._xlws.FILTER('Product Variant Attribute'!$F$2:$F$3000,('Product Variant Attribute'!$B$2:$B$3000=$A771)*('Product Variant Attribute'!$D$2:$D$3000=$D771),"")))</f>
        <v>Vải không dệt</v>
      </c>
      <c r="H771" s="39"/>
      <c r="I771" s="39" t="s">
        <v>2715</v>
      </c>
      <c r="J771" s="39" t="str" cm="1">
        <f t="array" ref="J771">IF($I771="","",_xlfn.TEXTJOIN("; ",TRUE,_xlfn.UNIQUE(_xlfn._xlws.FILTER($A$2:$A$3000,($C$2:$C$3000=$C771)*($E$2:$E$3000=$E771)*($G$2:$G$3000&lt;&gt;$G771)*($G$2:$G$3000&lt;&gt;""),""))))</f>
        <v>PRODUCT-00043; PRODUCT-00044; PRODUCT-00287; PRODUCT-00288</v>
      </c>
    </row>
    <row r="772" spans="1:10" x14ac:dyDescent="0.25">
      <c r="A772" s="23" t="s">
        <v>1549</v>
      </c>
      <c r="B772" s="37" t="str">
        <f>INDEX(Product!$B:$B,MATCH($A772,Product!$A:$A,0))</f>
        <v>[Young Chemical Vina] Băng keo cuộn co giãn - Fix Roll (10cmx10m)</v>
      </c>
      <c r="C772" s="37" t="str">
        <f>INDEX(Product!$D:$D,MATCH($A772,Product!$A:$A,0))</f>
        <v>Băng keo cuộn</v>
      </c>
      <c r="D772" s="23" t="s">
        <v>2471</v>
      </c>
      <c r="E772" s="37" t="str">
        <f>INDEX('Attribute Definition'!$B:$B,MATCH($D772,'Attribute Definition'!$A:$A,0))</f>
        <v>Dạng sản phẩm</v>
      </c>
      <c r="F772" s="38" t="s">
        <v>2657</v>
      </c>
      <c r="G772" s="39" t="str" cm="1">
        <f t="array" ref="G772">_xlfn.TEXTJOIN("; ",TRUE,_xlfn.UNIQUE(_xlfn._xlws.FILTER('Product Variant Attribute'!$F$2:$F$3000,('Product Variant Attribute'!$B$2:$B$3000=$A772)*('Product Variant Attribute'!$D$2:$D$3000=$D772),"")))</f>
        <v>Băng keo cuộn</v>
      </c>
      <c r="H772" s="39"/>
      <c r="I772" s="39"/>
      <c r="J772" s="39" t="str" cm="1">
        <f t="array" ref="J772">IF($I772="","",_xlfn.TEXTJOIN("; ",TRUE,_xlfn.UNIQUE(_xlfn._xlws.FILTER($A$2:$A$3000,($C$2:$C$3000=$C772)*($E$2:$E$3000=$E772)*($G$2:$G$3000&lt;&gt;$G772)*($G$2:$G$3000&lt;&gt;""),""))))</f>
        <v/>
      </c>
    </row>
    <row r="773" spans="1:10" x14ac:dyDescent="0.25">
      <c r="A773" s="23" t="s">
        <v>1551</v>
      </c>
      <c r="B773" s="37" t="str">
        <f>INDEX(Product!$B:$B,MATCH($A773,Product!$A:$A,0))</f>
        <v>[Young Chemical Vina] Băng keo cuộn co giãn - Fix Roll (15cmx10m)</v>
      </c>
      <c r="C773" s="37" t="str">
        <f>INDEX(Product!$D:$D,MATCH($A773,Product!$A:$A,0))</f>
        <v>Băng keo cuộn</v>
      </c>
      <c r="D773" s="23" t="s">
        <v>2342</v>
      </c>
      <c r="E773" s="37" t="str">
        <f>INDEX('Attribute Definition'!$B:$B,MATCH($D773,'Attribute Definition'!$A:$A,0))</f>
        <v>Kích thước</v>
      </c>
      <c r="F773" s="38" t="s">
        <v>2657</v>
      </c>
      <c r="G773" s="39" t="str" cm="1">
        <f t="array" ref="G773">_xlfn.TEXTJOIN("; ",TRUE,_xlfn.UNIQUE(_xlfn._xlws.FILTER('Product Variant Attribute'!$F$2:$F$3000,('Product Variant Attribute'!$B$2:$B$3000=$A773)*('Product Variant Attribute'!$D$2:$D$3000=$D773),"")))</f>
        <v>15cmx10m</v>
      </c>
      <c r="H773" s="39"/>
      <c r="I773" s="39"/>
      <c r="J773" s="39" t="str" cm="1">
        <f t="array" ref="J773">IF($I773="","",_xlfn.TEXTJOIN("; ",TRUE,_xlfn.UNIQUE(_xlfn._xlws.FILTER($A$2:$A$3000,($C$2:$C$3000=$C773)*($E$2:$E$3000=$E773)*($G$2:$G$3000&lt;&gt;$G773)*($G$2:$G$3000&lt;&gt;""),""))))</f>
        <v/>
      </c>
    </row>
    <row r="774" spans="1:10" ht="30" x14ac:dyDescent="0.25">
      <c r="A774" s="23" t="s">
        <v>1551</v>
      </c>
      <c r="B774" s="37" t="str">
        <f>INDEX(Product!$B:$B,MATCH($A774,Product!$A:$A,0))</f>
        <v>[Young Chemical Vina] Băng keo cuộn co giãn - Fix Roll (15cmx10m)</v>
      </c>
      <c r="C774" s="37" t="str">
        <f>INDEX(Product!$D:$D,MATCH($A774,Product!$A:$A,0))</f>
        <v>Băng keo cuộn</v>
      </c>
      <c r="D774" s="23" t="s">
        <v>2367</v>
      </c>
      <c r="E774" s="37" t="str">
        <f>INDEX('Attribute Definition'!$B:$B,MATCH($D774,'Attribute Definition'!$A:$A,0))</f>
        <v>Chất liệu</v>
      </c>
      <c r="F774" s="38" t="s">
        <v>2657</v>
      </c>
      <c r="G774" s="39" t="str" cm="1">
        <f t="array" ref="G774">_xlfn.TEXTJOIN("; ",TRUE,_xlfn.UNIQUE(_xlfn._xlws.FILTER('Product Variant Attribute'!$F$2:$F$3000,('Product Variant Attribute'!$B$2:$B$3000=$A774)*('Product Variant Attribute'!$D$2:$D$3000=$D774),"")))</f>
        <v>Vải không dệt</v>
      </c>
      <c r="H774" s="39"/>
      <c r="I774" s="39" t="s">
        <v>2715</v>
      </c>
      <c r="J774" s="39" t="str" cm="1">
        <f t="array" ref="J774">IF($I774="","",_xlfn.TEXTJOIN("; ",TRUE,_xlfn.UNIQUE(_xlfn._xlws.FILTER($A$2:$A$3000,($C$2:$C$3000=$C774)*($E$2:$E$3000=$E774)*($G$2:$G$3000&lt;&gt;$G774)*($G$2:$G$3000&lt;&gt;""),""))))</f>
        <v>PRODUCT-00043; PRODUCT-00044; PRODUCT-00287; PRODUCT-00288</v>
      </c>
    </row>
    <row r="775" spans="1:10" x14ac:dyDescent="0.25">
      <c r="A775" s="23" t="s">
        <v>1551</v>
      </c>
      <c r="B775" s="37" t="str">
        <f>INDEX(Product!$B:$B,MATCH($A775,Product!$A:$A,0))</f>
        <v>[Young Chemical Vina] Băng keo cuộn co giãn - Fix Roll (15cmx10m)</v>
      </c>
      <c r="C775" s="37" t="str">
        <f>INDEX(Product!$D:$D,MATCH($A775,Product!$A:$A,0))</f>
        <v>Băng keo cuộn</v>
      </c>
      <c r="D775" s="23" t="s">
        <v>2471</v>
      </c>
      <c r="E775" s="37" t="str">
        <f>INDEX('Attribute Definition'!$B:$B,MATCH($D775,'Attribute Definition'!$A:$A,0))</f>
        <v>Dạng sản phẩm</v>
      </c>
      <c r="F775" s="38" t="s">
        <v>2657</v>
      </c>
      <c r="G775" s="39" t="str" cm="1">
        <f t="array" ref="G775">_xlfn.TEXTJOIN("; ",TRUE,_xlfn.UNIQUE(_xlfn._xlws.FILTER('Product Variant Attribute'!$F$2:$F$3000,('Product Variant Attribute'!$B$2:$B$3000=$A775)*('Product Variant Attribute'!$D$2:$D$3000=$D775),"")))</f>
        <v>Băng keo cuộn</v>
      </c>
      <c r="H775" s="39"/>
      <c r="I775" s="39"/>
      <c r="J775" s="39" t="str" cm="1">
        <f t="array" ref="J775">IF($I775="","",_xlfn.TEXTJOIN("; ",TRUE,_xlfn.UNIQUE(_xlfn._xlws.FILTER($A$2:$A$3000,($C$2:$C$3000=$C775)*($E$2:$E$3000=$E775)*($G$2:$G$3000&lt;&gt;$G775)*($G$2:$G$3000&lt;&gt;""),""))))</f>
        <v/>
      </c>
    </row>
    <row r="776" spans="1:10" x14ac:dyDescent="0.25">
      <c r="A776" s="23" t="s">
        <v>1553</v>
      </c>
      <c r="B776" s="37" t="str">
        <f>INDEX(Product!$B:$B,MATCH($A776,Product!$A:$A,0))</f>
        <v>[Young Chemical Vina] Băng keo cuộn co giãn - Fix Roll (10cmx2.5m)</v>
      </c>
      <c r="C776" s="37" t="str">
        <f>INDEX(Product!$D:$D,MATCH($A776,Product!$A:$A,0))</f>
        <v>Băng keo cuộn</v>
      </c>
      <c r="D776" s="23" t="s">
        <v>2342</v>
      </c>
      <c r="E776" s="37" t="str">
        <f>INDEX('Attribute Definition'!$B:$B,MATCH($D776,'Attribute Definition'!$A:$A,0))</f>
        <v>Kích thước</v>
      </c>
      <c r="F776" s="38" t="s">
        <v>2657</v>
      </c>
      <c r="G776" s="39" t="str" cm="1">
        <f t="array" ref="G776">_xlfn.TEXTJOIN("; ",TRUE,_xlfn.UNIQUE(_xlfn._xlws.FILTER('Product Variant Attribute'!$F$2:$F$3000,('Product Variant Attribute'!$B$2:$B$3000=$A776)*('Product Variant Attribute'!$D$2:$D$3000=$D776),"")))</f>
        <v>10cmx2.5m</v>
      </c>
      <c r="H776" s="39"/>
      <c r="I776" s="39"/>
      <c r="J776" s="39" t="str" cm="1">
        <f t="array" ref="J776">IF($I776="","",_xlfn.TEXTJOIN("; ",TRUE,_xlfn.UNIQUE(_xlfn._xlws.FILTER($A$2:$A$3000,($C$2:$C$3000=$C776)*($E$2:$E$3000=$E776)*($G$2:$G$3000&lt;&gt;$G776)*($G$2:$G$3000&lt;&gt;""),""))))</f>
        <v/>
      </c>
    </row>
    <row r="777" spans="1:10" ht="30" x14ac:dyDescent="0.25">
      <c r="A777" s="23" t="s">
        <v>1553</v>
      </c>
      <c r="B777" s="37" t="str">
        <f>INDEX(Product!$B:$B,MATCH($A777,Product!$A:$A,0))</f>
        <v>[Young Chemical Vina] Băng keo cuộn co giãn - Fix Roll (10cmx2.5m)</v>
      </c>
      <c r="C777" s="37" t="str">
        <f>INDEX(Product!$D:$D,MATCH($A777,Product!$A:$A,0))</f>
        <v>Băng keo cuộn</v>
      </c>
      <c r="D777" s="23" t="s">
        <v>2367</v>
      </c>
      <c r="E777" s="37" t="str">
        <f>INDEX('Attribute Definition'!$B:$B,MATCH($D777,'Attribute Definition'!$A:$A,0))</f>
        <v>Chất liệu</v>
      </c>
      <c r="F777" s="38" t="s">
        <v>2657</v>
      </c>
      <c r="G777" s="39" t="str" cm="1">
        <f t="array" ref="G777">_xlfn.TEXTJOIN("; ",TRUE,_xlfn.UNIQUE(_xlfn._xlws.FILTER('Product Variant Attribute'!$F$2:$F$3000,('Product Variant Attribute'!$B$2:$B$3000=$A777)*('Product Variant Attribute'!$D$2:$D$3000=$D777),"")))</f>
        <v>Vải không dệt</v>
      </c>
      <c r="H777" s="39"/>
      <c r="I777" s="39" t="s">
        <v>2715</v>
      </c>
      <c r="J777" s="39" t="str" cm="1">
        <f t="array" ref="J777">IF($I777="","",_xlfn.TEXTJOIN("; ",TRUE,_xlfn.UNIQUE(_xlfn._xlws.FILTER($A$2:$A$3000,($C$2:$C$3000=$C777)*($E$2:$E$3000=$E777)*($G$2:$G$3000&lt;&gt;$G777)*($G$2:$G$3000&lt;&gt;""),""))))</f>
        <v>PRODUCT-00043; PRODUCT-00044; PRODUCT-00287; PRODUCT-00288</v>
      </c>
    </row>
    <row r="778" spans="1:10" x14ac:dyDescent="0.25">
      <c r="A778" s="23" t="s">
        <v>1553</v>
      </c>
      <c r="B778" s="37" t="str">
        <f>INDEX(Product!$B:$B,MATCH($A778,Product!$A:$A,0))</f>
        <v>[Young Chemical Vina] Băng keo cuộn co giãn - Fix Roll (10cmx2.5m)</v>
      </c>
      <c r="C778" s="37" t="str">
        <f>INDEX(Product!$D:$D,MATCH($A778,Product!$A:$A,0))</f>
        <v>Băng keo cuộn</v>
      </c>
      <c r="D778" s="23" t="s">
        <v>2471</v>
      </c>
      <c r="E778" s="37" t="str">
        <f>INDEX('Attribute Definition'!$B:$B,MATCH($D778,'Attribute Definition'!$A:$A,0))</f>
        <v>Dạng sản phẩm</v>
      </c>
      <c r="F778" s="38" t="s">
        <v>2657</v>
      </c>
      <c r="G778" s="39" t="str" cm="1">
        <f t="array" ref="G778">_xlfn.TEXTJOIN("; ",TRUE,_xlfn.UNIQUE(_xlfn._xlws.FILTER('Product Variant Attribute'!$F$2:$F$3000,('Product Variant Attribute'!$B$2:$B$3000=$A778)*('Product Variant Attribute'!$D$2:$D$3000=$D778),"")))</f>
        <v>Băng keo cuộn</v>
      </c>
      <c r="H778" s="39"/>
      <c r="I778" s="39"/>
      <c r="J778" s="39" t="str" cm="1">
        <f t="array" ref="J778">IF($I778="","",_xlfn.TEXTJOIN("; ",TRUE,_xlfn.UNIQUE(_xlfn._xlws.FILTER($A$2:$A$3000,($C$2:$C$3000=$C778)*($E$2:$E$3000=$E778)*($G$2:$G$3000&lt;&gt;$G778)*($G$2:$G$3000&lt;&gt;""),""))))</f>
        <v/>
      </c>
    </row>
    <row r="779" spans="1:10" x14ac:dyDescent="0.25">
      <c r="A779" s="23" t="s">
        <v>1555</v>
      </c>
      <c r="B779" s="37" t="str">
        <f>INDEX(Product!$B:$B,MATCH($A779,Product!$A:$A,0))</f>
        <v>[Young Chemical Vina] Băng keo cuộn giấy dành cho da nhạy cảm - Young Plaster-Paper (2.5cmx5m)</v>
      </c>
      <c r="C779" s="37" t="str">
        <f>INDEX(Product!$D:$D,MATCH($A779,Product!$A:$A,0))</f>
        <v>Băng keo cuộn</v>
      </c>
      <c r="D779" s="23" t="s">
        <v>2342</v>
      </c>
      <c r="E779" s="37" t="str">
        <f>INDEX('Attribute Definition'!$B:$B,MATCH($D779,'Attribute Definition'!$A:$A,0))</f>
        <v>Kích thước</v>
      </c>
      <c r="F779" s="38" t="s">
        <v>2657</v>
      </c>
      <c r="G779" s="39" t="str" cm="1">
        <f t="array" ref="G779">_xlfn.TEXTJOIN("; ",TRUE,_xlfn.UNIQUE(_xlfn._xlws.FILTER('Product Variant Attribute'!$F$2:$F$3000,('Product Variant Attribute'!$B$2:$B$3000=$A779)*('Product Variant Attribute'!$D$2:$D$3000=$D779),"")))</f>
        <v>2.5cmx5m</v>
      </c>
      <c r="H779" s="39"/>
      <c r="I779" s="39"/>
      <c r="J779" s="39" t="str" cm="1">
        <f t="array" ref="J779">IF($I779="","",_xlfn.TEXTJOIN("; ",TRUE,_xlfn.UNIQUE(_xlfn._xlws.FILTER($A$2:$A$3000,($C$2:$C$3000=$C779)*($E$2:$E$3000=$E779)*($G$2:$G$3000&lt;&gt;$G779)*($G$2:$G$3000&lt;&gt;""),""))))</f>
        <v/>
      </c>
    </row>
    <row r="780" spans="1:10" ht="45" x14ac:dyDescent="0.25">
      <c r="A780" s="23" t="s">
        <v>1555</v>
      </c>
      <c r="B780" s="37" t="str">
        <f>INDEX(Product!$B:$B,MATCH($A780,Product!$A:$A,0))</f>
        <v>[Young Chemical Vina] Băng keo cuộn giấy dành cho da nhạy cảm - Young Plaster-Paper (2.5cmx5m)</v>
      </c>
      <c r="C780" s="37" t="str">
        <f>INDEX(Product!$D:$D,MATCH($A780,Product!$A:$A,0))</f>
        <v>Băng keo cuộn</v>
      </c>
      <c r="D780" s="23" t="s">
        <v>2367</v>
      </c>
      <c r="E780" s="37" t="str">
        <f>INDEX('Attribute Definition'!$B:$B,MATCH($D780,'Attribute Definition'!$A:$A,0))</f>
        <v>Chất liệu</v>
      </c>
      <c r="F780" s="38" t="s">
        <v>2657</v>
      </c>
      <c r="G780" s="39" t="str" cm="1">
        <f t="array" ref="G780">_xlfn.TEXTJOIN("; ",TRUE,_xlfn.UNIQUE(_xlfn._xlws.FILTER('Product Variant Attribute'!$F$2:$F$3000,('Product Variant Attribute'!$B$2:$B$3000=$A780)*('Product Variant Attribute'!$D$2:$D$3000=$D780),"")))</f>
        <v>Giấy</v>
      </c>
      <c r="H780" s="39"/>
      <c r="I780" s="39" t="s">
        <v>2716</v>
      </c>
      <c r="J780" s="39" t="str" cm="1">
        <f t="array" ref="J780">IF($I780="","",_xlfn.TEXTJOIN("; ",TRUE,_xlfn.UNIQUE(_xlfn._xlws.FILTER($A$2:$A$3000,($C$2:$C$3000=$C780)*($E$2:$E$3000=$E780)*($G$2:$G$3000&lt;&gt;$G780)*($G$2:$G$3000&lt;&gt;""),""))))</f>
        <v>PRODUCT-00042; PRODUCT-00044; PRODUCT-00284; PRODUCT-00285; PRODUCT-00286; PRODUCT-00288</v>
      </c>
    </row>
    <row r="781" spans="1:10" x14ac:dyDescent="0.25">
      <c r="A781" s="23" t="s">
        <v>1555</v>
      </c>
      <c r="B781" s="37" t="str">
        <f>INDEX(Product!$B:$B,MATCH($A781,Product!$A:$A,0))</f>
        <v>[Young Chemical Vina] Băng keo cuộn giấy dành cho da nhạy cảm - Young Plaster-Paper (2.5cmx5m)</v>
      </c>
      <c r="C781" s="37" t="str">
        <f>INDEX(Product!$D:$D,MATCH($A781,Product!$A:$A,0))</f>
        <v>Băng keo cuộn</v>
      </c>
      <c r="D781" s="23" t="s">
        <v>2471</v>
      </c>
      <c r="E781" s="37" t="str">
        <f>INDEX('Attribute Definition'!$B:$B,MATCH($D781,'Attribute Definition'!$A:$A,0))</f>
        <v>Dạng sản phẩm</v>
      </c>
      <c r="F781" s="38" t="s">
        <v>2657</v>
      </c>
      <c r="G781" s="39" t="str" cm="1">
        <f t="array" ref="G781">_xlfn.TEXTJOIN("; ",TRUE,_xlfn.UNIQUE(_xlfn._xlws.FILTER('Product Variant Attribute'!$F$2:$F$3000,('Product Variant Attribute'!$B$2:$B$3000=$A781)*('Product Variant Attribute'!$D$2:$D$3000=$D781),"")))</f>
        <v>Băng keo cuộn</v>
      </c>
      <c r="H781" s="39"/>
      <c r="I781" s="39"/>
      <c r="J781" s="39" t="str" cm="1">
        <f t="array" ref="J781">IF($I781="","",_xlfn.TEXTJOIN("; ",TRUE,_xlfn.UNIQUE(_xlfn._xlws.FILTER($A$2:$A$3000,($C$2:$C$3000=$C781)*($E$2:$E$3000=$E781)*($G$2:$G$3000&lt;&gt;$G781)*($G$2:$G$3000&lt;&gt;""),""))))</f>
        <v/>
      </c>
    </row>
    <row r="782" spans="1:10" x14ac:dyDescent="0.25">
      <c r="A782" s="23" t="s">
        <v>1557</v>
      </c>
      <c r="B782" s="37" t="str">
        <f>INDEX(Product!$B:$B,MATCH($A782,Product!$A:$A,0))</f>
        <v>[Young Chemical Vina] Băng keo cuộn lụa - Young Plaster-Silk (2.5cmx5m)</v>
      </c>
      <c r="C782" s="37" t="str">
        <f>INDEX(Product!$D:$D,MATCH($A782,Product!$A:$A,0))</f>
        <v>Băng keo cuộn</v>
      </c>
      <c r="D782" s="23" t="s">
        <v>2342</v>
      </c>
      <c r="E782" s="37" t="str">
        <f>INDEX('Attribute Definition'!$B:$B,MATCH($D782,'Attribute Definition'!$A:$A,0))</f>
        <v>Kích thước</v>
      </c>
      <c r="F782" s="38" t="s">
        <v>2657</v>
      </c>
      <c r="G782" s="39" t="str" cm="1">
        <f t="array" ref="G782">_xlfn.TEXTJOIN("; ",TRUE,_xlfn.UNIQUE(_xlfn._xlws.FILTER('Product Variant Attribute'!$F$2:$F$3000,('Product Variant Attribute'!$B$2:$B$3000=$A782)*('Product Variant Attribute'!$D$2:$D$3000=$D782),"")))</f>
        <v>2.5cmx5m</v>
      </c>
      <c r="H782" s="39"/>
      <c r="I782" s="39"/>
      <c r="J782" s="39" t="str" cm="1">
        <f t="array" ref="J782">IF($I782="","",_xlfn.TEXTJOIN("; ",TRUE,_xlfn.UNIQUE(_xlfn._xlws.FILTER($A$2:$A$3000,($C$2:$C$3000=$C782)*($E$2:$E$3000=$E782)*($G$2:$G$3000&lt;&gt;$G782)*($G$2:$G$3000&lt;&gt;""),""))))</f>
        <v/>
      </c>
    </row>
    <row r="783" spans="1:10" ht="45" x14ac:dyDescent="0.25">
      <c r="A783" s="23" t="s">
        <v>1557</v>
      </c>
      <c r="B783" s="37" t="str">
        <f>INDEX(Product!$B:$B,MATCH($A783,Product!$A:$A,0))</f>
        <v>[Young Chemical Vina] Băng keo cuộn lụa - Young Plaster-Silk (2.5cmx5m)</v>
      </c>
      <c r="C783" s="37" t="str">
        <f>INDEX(Product!$D:$D,MATCH($A783,Product!$A:$A,0))</f>
        <v>Băng keo cuộn</v>
      </c>
      <c r="D783" s="23" t="s">
        <v>2367</v>
      </c>
      <c r="E783" s="37" t="str">
        <f>INDEX('Attribute Definition'!$B:$B,MATCH($D783,'Attribute Definition'!$A:$A,0))</f>
        <v>Chất liệu</v>
      </c>
      <c r="F783" s="38" t="s">
        <v>2657</v>
      </c>
      <c r="G783" s="39" t="str" cm="1">
        <f t="array" ref="G783">_xlfn.TEXTJOIN("; ",TRUE,_xlfn.UNIQUE(_xlfn._xlws.FILTER('Product Variant Attribute'!$F$2:$F$3000,('Product Variant Attribute'!$B$2:$B$3000=$A783)*('Product Variant Attribute'!$D$2:$D$3000=$D783),"")))</f>
        <v>Lụa</v>
      </c>
      <c r="H783" s="39"/>
      <c r="I783" s="39" t="s">
        <v>2717</v>
      </c>
      <c r="J783" s="39" t="str" cm="1">
        <f t="array" ref="J783">IF($I783="","",_xlfn.TEXTJOIN("; ",TRUE,_xlfn.UNIQUE(_xlfn._xlws.FILTER($A$2:$A$3000,($C$2:$C$3000=$C783)*($E$2:$E$3000=$E783)*($G$2:$G$3000&lt;&gt;$G783)*($G$2:$G$3000&lt;&gt;""),""))))</f>
        <v>PRODUCT-00042; PRODUCT-00043; PRODUCT-00284; PRODUCT-00285; PRODUCT-00286; PRODUCT-00287</v>
      </c>
    </row>
    <row r="784" spans="1:10" x14ac:dyDescent="0.25">
      <c r="A784" s="23" t="s">
        <v>1557</v>
      </c>
      <c r="B784" s="37" t="str">
        <f>INDEX(Product!$B:$B,MATCH($A784,Product!$A:$A,0))</f>
        <v>[Young Chemical Vina] Băng keo cuộn lụa - Young Plaster-Silk (2.5cmx5m)</v>
      </c>
      <c r="C784" s="37" t="str">
        <f>INDEX(Product!$D:$D,MATCH($A784,Product!$A:$A,0))</f>
        <v>Băng keo cuộn</v>
      </c>
      <c r="D784" s="23" t="s">
        <v>2471</v>
      </c>
      <c r="E784" s="37" t="str">
        <f>INDEX('Attribute Definition'!$B:$B,MATCH($D784,'Attribute Definition'!$A:$A,0))</f>
        <v>Dạng sản phẩm</v>
      </c>
      <c r="F784" s="38" t="s">
        <v>2657</v>
      </c>
      <c r="G784" s="39" t="str" cm="1">
        <f t="array" ref="G784">_xlfn.TEXTJOIN("; ",TRUE,_xlfn.UNIQUE(_xlfn._xlws.FILTER('Product Variant Attribute'!$F$2:$F$3000,('Product Variant Attribute'!$B$2:$B$3000=$A784)*('Product Variant Attribute'!$D$2:$D$3000=$D784),"")))</f>
        <v>Băng keo cuộn</v>
      </c>
      <c r="H784" s="39"/>
      <c r="I784" s="39"/>
      <c r="J784" s="39" t="str" cm="1">
        <f t="array" ref="J784">IF($I784="","",_xlfn.TEXTJOIN("; ",TRUE,_xlfn.UNIQUE(_xlfn._xlws.FILTER($A$2:$A$3000,($C$2:$C$3000=$C784)*($E$2:$E$3000=$E784)*($G$2:$G$3000&lt;&gt;$G784)*($G$2:$G$3000&lt;&gt;""),""))))</f>
        <v/>
      </c>
    </row>
    <row r="785" spans="1:10" x14ac:dyDescent="0.25">
      <c r="A785" s="23" t="s">
        <v>1559</v>
      </c>
      <c r="B785" s="37" t="str">
        <f>INDEX(Product!$B:$B,MATCH($A785,Product!$A:$A,0))</f>
        <v>[Young Chemical Vina] Miếng dán hydrocolloid hỗ trợ làm lành vết thương - Somaderm-L (10cmx10cm)</v>
      </c>
      <c r="C785" s="37" t="str">
        <f>INDEX(Product!$D:$D,MATCH($A785,Product!$A:$A,0))</f>
        <v>Băng dán hydrocolloid</v>
      </c>
      <c r="D785" s="23" t="s">
        <v>2342</v>
      </c>
      <c r="E785" s="37" t="str">
        <f>INDEX('Attribute Definition'!$B:$B,MATCH($D785,'Attribute Definition'!$A:$A,0))</f>
        <v>Kích thước</v>
      </c>
      <c r="F785" s="38" t="s">
        <v>2657</v>
      </c>
      <c r="G785" s="39" t="str" cm="1">
        <f t="array" ref="G785">_xlfn.TEXTJOIN("; ",TRUE,_xlfn.UNIQUE(_xlfn._xlws.FILTER('Product Variant Attribute'!$F$2:$F$3000,('Product Variant Attribute'!$B$2:$B$3000=$A785)*('Product Variant Attribute'!$D$2:$D$3000=$D785),"")))</f>
        <v>10cmx10cm</v>
      </c>
      <c r="H785" s="39"/>
      <c r="I785" s="39"/>
      <c r="J785" s="39" t="str" cm="1">
        <f t="array" ref="J785">IF($I785="","",_xlfn.TEXTJOIN("; ",TRUE,_xlfn.UNIQUE(_xlfn._xlws.FILTER($A$2:$A$3000,($C$2:$C$3000=$C785)*($E$2:$E$3000=$E785)*($G$2:$G$3000&lt;&gt;$G785)*($G$2:$G$3000&lt;&gt;""),""))))</f>
        <v/>
      </c>
    </row>
    <row r="786" spans="1:10" x14ac:dyDescent="0.25">
      <c r="A786" s="23" t="s">
        <v>1559</v>
      </c>
      <c r="B786" s="37" t="str">
        <f>INDEX(Product!$B:$B,MATCH($A786,Product!$A:$A,0))</f>
        <v>[Young Chemical Vina] Miếng dán hydrocolloid hỗ trợ làm lành vết thương - Somaderm-L (10cmx10cm)</v>
      </c>
      <c r="C786" s="37" t="str">
        <f>INDEX(Product!$D:$D,MATCH($A786,Product!$A:$A,0))</f>
        <v>Băng dán hydrocolloid</v>
      </c>
      <c r="D786" s="23" t="s">
        <v>2367</v>
      </c>
      <c r="E786" s="37" t="str">
        <f>INDEX('Attribute Definition'!$B:$B,MATCH($D786,'Attribute Definition'!$A:$A,0))</f>
        <v>Chất liệu</v>
      </c>
      <c r="F786" s="38" t="s">
        <v>2657</v>
      </c>
      <c r="G786" s="39" t="str" cm="1">
        <f t="array" ref="G786">_xlfn.TEXTJOIN("; ",TRUE,_xlfn.UNIQUE(_xlfn._xlws.FILTER('Product Variant Attribute'!$F$2:$F$3000,('Product Variant Attribute'!$B$2:$B$3000=$A786)*('Product Variant Attribute'!$D$2:$D$3000=$D786),"")))</f>
        <v>Hydrocolloid</v>
      </c>
      <c r="H786" s="39"/>
      <c r="I786" s="39"/>
      <c r="J786" s="39" t="str" cm="1">
        <f t="array" ref="J786">IF($I786="","",_xlfn.TEXTJOIN("; ",TRUE,_xlfn.UNIQUE(_xlfn._xlws.FILTER($A$2:$A$3000,($C$2:$C$3000=$C786)*($E$2:$E$3000=$E786)*($G$2:$G$3000&lt;&gt;$G786)*($G$2:$G$3000&lt;&gt;""),""))))</f>
        <v/>
      </c>
    </row>
    <row r="787" spans="1:10" x14ac:dyDescent="0.25">
      <c r="A787" s="23" t="s">
        <v>1559</v>
      </c>
      <c r="B787" s="37" t="str">
        <f>INDEX(Product!$B:$B,MATCH($A787,Product!$A:$A,0))</f>
        <v>[Young Chemical Vina] Miếng dán hydrocolloid hỗ trợ làm lành vết thương - Somaderm-L (10cmx10cm)</v>
      </c>
      <c r="C787" s="37" t="str">
        <f>INDEX(Product!$D:$D,MATCH($A787,Product!$A:$A,0))</f>
        <v>Băng dán hydrocolloid</v>
      </c>
      <c r="D787" s="23" t="s">
        <v>2381</v>
      </c>
      <c r="E787" s="37" t="str">
        <f>INDEX('Attribute Definition'!$B:$B,MATCH($D787,'Attribute Definition'!$A:$A,0))</f>
        <v>Chống nước</v>
      </c>
      <c r="F787" s="38" t="s">
        <v>2657</v>
      </c>
      <c r="G787" s="39" t="str" cm="1">
        <f t="array" ref="G787">_xlfn.TEXTJOIN("; ",TRUE,_xlfn.UNIQUE(_xlfn._xlws.FILTER('Product Variant Attribute'!$F$2:$F$3000,('Product Variant Attribute'!$B$2:$B$3000=$A787)*('Product Variant Attribute'!$D$2:$D$3000=$D787),"")))</f>
        <v>Có</v>
      </c>
      <c r="H787" s="39"/>
      <c r="I787" s="39"/>
      <c r="J787" s="39" t="str" cm="1">
        <f t="array" ref="J787">IF($I787="","",_xlfn.TEXTJOIN("; ",TRUE,_xlfn.UNIQUE(_xlfn._xlws.FILTER($A$2:$A$3000,($C$2:$C$3000=$C787)*($E$2:$E$3000=$E787)*($G$2:$G$3000&lt;&gt;$G787)*($G$2:$G$3000&lt;&gt;""),""))))</f>
        <v/>
      </c>
    </row>
    <row r="788" spans="1:10" x14ac:dyDescent="0.25">
      <c r="A788" s="23" t="s">
        <v>1559</v>
      </c>
      <c r="B788" s="37" t="str">
        <f>INDEX(Product!$B:$B,MATCH($A788,Product!$A:$A,0))</f>
        <v>[Young Chemical Vina] Miếng dán hydrocolloid hỗ trợ làm lành vết thương - Somaderm-L (10cmx10cm)</v>
      </c>
      <c r="C788" s="37" t="str">
        <f>INDEX(Product!$D:$D,MATCH($A788,Product!$A:$A,0))</f>
        <v>Băng dán hydrocolloid</v>
      </c>
      <c r="D788" s="23" t="s">
        <v>2471</v>
      </c>
      <c r="E788" s="37" t="str">
        <f>INDEX('Attribute Definition'!$B:$B,MATCH($D788,'Attribute Definition'!$A:$A,0))</f>
        <v>Dạng sản phẩm</v>
      </c>
      <c r="F788" s="38" t="s">
        <v>2657</v>
      </c>
      <c r="G788" s="39" t="str" cm="1">
        <f t="array" ref="G788">_xlfn.TEXTJOIN("; ",TRUE,_xlfn.UNIQUE(_xlfn._xlws.FILTER('Product Variant Attribute'!$F$2:$F$3000,('Product Variant Attribute'!$B$2:$B$3000=$A788)*('Product Variant Attribute'!$D$2:$D$3000=$D788),"")))</f>
        <v>Miếng dán / gạc</v>
      </c>
      <c r="H788" s="39"/>
      <c r="I788" s="39"/>
      <c r="J788" s="39" t="str" cm="1">
        <f t="array" ref="J788">IF($I788="","",_xlfn.TEXTJOIN("; ",TRUE,_xlfn.UNIQUE(_xlfn._xlws.FILTER($A$2:$A$3000,($C$2:$C$3000=$C788)*($E$2:$E$3000=$E788)*($G$2:$G$3000&lt;&gt;$G788)*($G$2:$G$3000&lt;&gt;""),""))))</f>
        <v/>
      </c>
    </row>
    <row r="789" spans="1:10" x14ac:dyDescent="0.25">
      <c r="A789" s="23" t="s">
        <v>1561</v>
      </c>
      <c r="B789" s="37" t="str">
        <f>INDEX(Product!$B:$B,MATCH($A789,Product!$A:$A,0))</f>
        <v>Miếng dán ép sẹo silicone (14cmx3.8cm)</v>
      </c>
      <c r="C789" s="37" t="str">
        <f>INDEX(Product!$D:$D,MATCH($A789,Product!$A:$A,0))</f>
        <v>Miếng dán trị sẹo</v>
      </c>
      <c r="D789" s="23" t="s">
        <v>2342</v>
      </c>
      <c r="E789" s="37" t="str">
        <f>INDEX('Attribute Definition'!$B:$B,MATCH($D789,'Attribute Definition'!$A:$A,0))</f>
        <v>Kích thước</v>
      </c>
      <c r="F789" s="38" t="s">
        <v>2657</v>
      </c>
      <c r="G789" s="39" t="str" cm="1">
        <f t="array" ref="G789">_xlfn.TEXTJOIN("; ",TRUE,_xlfn.UNIQUE(_xlfn._xlws.FILTER('Product Variant Attribute'!$F$2:$F$3000,('Product Variant Attribute'!$B$2:$B$3000=$A789)*('Product Variant Attribute'!$D$2:$D$3000=$D789),"")))</f>
        <v>14cmx3.8cm</v>
      </c>
      <c r="H789" s="39"/>
      <c r="I789" s="39"/>
      <c r="J789" s="39" t="str" cm="1">
        <f t="array" ref="J789">IF($I789="","",_xlfn.TEXTJOIN("; ",TRUE,_xlfn.UNIQUE(_xlfn._xlws.FILTER($A$2:$A$3000,($C$2:$C$3000=$C789)*($E$2:$E$3000=$E789)*($G$2:$G$3000&lt;&gt;$G789)*($G$2:$G$3000&lt;&gt;""),""))))</f>
        <v/>
      </c>
    </row>
    <row r="790" spans="1:10" x14ac:dyDescent="0.25">
      <c r="A790" s="23" t="s">
        <v>1561</v>
      </c>
      <c r="B790" s="37" t="str">
        <f>INDEX(Product!$B:$B,MATCH($A790,Product!$A:$A,0))</f>
        <v>Miếng dán ép sẹo silicone (14cmx3.8cm)</v>
      </c>
      <c r="C790" s="37" t="str">
        <f>INDEX(Product!$D:$D,MATCH($A790,Product!$A:$A,0))</f>
        <v>Miếng dán trị sẹo</v>
      </c>
      <c r="D790" s="23" t="s">
        <v>2367</v>
      </c>
      <c r="E790" s="37" t="str">
        <f>INDEX('Attribute Definition'!$B:$B,MATCH($D790,'Attribute Definition'!$A:$A,0))</f>
        <v>Chất liệu</v>
      </c>
      <c r="F790" s="38" t="s">
        <v>2657</v>
      </c>
      <c r="G790" s="39" t="str" cm="1">
        <f t="array" ref="G790">_xlfn.TEXTJOIN("; ",TRUE,_xlfn.UNIQUE(_xlfn._xlws.FILTER('Product Variant Attribute'!$F$2:$F$3000,('Product Variant Attribute'!$B$2:$B$3000=$A790)*('Product Variant Attribute'!$D$2:$D$3000=$D790),"")))</f>
        <v>Silicone</v>
      </c>
      <c r="H790" s="39"/>
      <c r="I790" s="39"/>
      <c r="J790" s="39" t="str" cm="1">
        <f t="array" ref="J790">IF($I790="","",_xlfn.TEXTJOIN("; ",TRUE,_xlfn.UNIQUE(_xlfn._xlws.FILTER($A$2:$A$3000,($C$2:$C$3000=$C790)*($E$2:$E$3000=$E790)*($G$2:$G$3000&lt;&gt;$G790)*($G$2:$G$3000&lt;&gt;""),""))))</f>
        <v/>
      </c>
    </row>
    <row r="791" spans="1:10" x14ac:dyDescent="0.25">
      <c r="A791" s="23" t="s">
        <v>1561</v>
      </c>
      <c r="B791" s="37" t="str">
        <f>INDEX(Product!$B:$B,MATCH($A791,Product!$A:$A,0))</f>
        <v>Miếng dán ép sẹo silicone (14cmx3.8cm)</v>
      </c>
      <c r="C791" s="37" t="str">
        <f>INDEX(Product!$D:$D,MATCH($A791,Product!$A:$A,0))</f>
        <v>Miếng dán trị sẹo</v>
      </c>
      <c r="D791" s="23" t="s">
        <v>2471</v>
      </c>
      <c r="E791" s="37" t="str">
        <f>INDEX('Attribute Definition'!$B:$B,MATCH($D791,'Attribute Definition'!$A:$A,0))</f>
        <v>Dạng sản phẩm</v>
      </c>
      <c r="F791" s="38" t="s">
        <v>2657</v>
      </c>
      <c r="G791" s="39" t="str" cm="1">
        <f t="array" ref="G791">_xlfn.TEXTJOIN("; ",TRUE,_xlfn.UNIQUE(_xlfn._xlws.FILTER('Product Variant Attribute'!$F$2:$F$3000,('Product Variant Attribute'!$B$2:$B$3000=$A791)*('Product Variant Attribute'!$D$2:$D$3000=$D791),"")))</f>
        <v>Miếng dán / gạc</v>
      </c>
      <c r="H791" s="39"/>
      <c r="I791" s="39"/>
      <c r="J791" s="39" t="str" cm="1">
        <f t="array" ref="J791">IF($I791="","",_xlfn.TEXTJOIN("; ",TRUE,_xlfn.UNIQUE(_xlfn._xlws.FILTER($A$2:$A$3000,($C$2:$C$3000=$C791)*($E$2:$E$3000=$E791)*($G$2:$G$3000&lt;&gt;$G791)*($G$2:$G$3000&lt;&gt;""),""))))</f>
        <v/>
      </c>
    </row>
    <row r="792" spans="1:10" x14ac:dyDescent="0.25">
      <c r="A792" s="23" t="s">
        <v>1563</v>
      </c>
      <c r="B792" s="37" t="str">
        <f>INDEX(Product!$B:$B,MATCH($A792,Product!$A:$A,0))</f>
        <v>[Yafho] Dây đai cố định ống mở khí quản (2.5cmx33cm / Xanh nhạt)</v>
      </c>
      <c r="C792" s="37" t="str">
        <f>INDEX(Product!$D:$D,MATCH($A792,Product!$A:$A,0))</f>
        <v>Phụ kiện mở khí quản</v>
      </c>
      <c r="D792" s="23" t="s">
        <v>2342</v>
      </c>
      <c r="E792" s="37" t="str">
        <f>INDEX('Attribute Definition'!$B:$B,MATCH($D792,'Attribute Definition'!$A:$A,0))</f>
        <v>Kích thước</v>
      </c>
      <c r="F792" s="38" t="s">
        <v>2657</v>
      </c>
      <c r="G792" s="39" t="str" cm="1">
        <f t="array" ref="G792">_xlfn.TEXTJOIN("; ",TRUE,_xlfn.UNIQUE(_xlfn._xlws.FILTER('Product Variant Attribute'!$F$2:$F$3000,('Product Variant Attribute'!$B$2:$B$3000=$A792)*('Product Variant Attribute'!$D$2:$D$3000=$D792),"")))</f>
        <v>2.5cmx33cm</v>
      </c>
      <c r="H792" s="39"/>
      <c r="I792" s="39"/>
      <c r="J792" s="39" t="str" cm="1">
        <f t="array" ref="J792">IF($I792="","",_xlfn.TEXTJOIN("; ",TRUE,_xlfn.UNIQUE(_xlfn._xlws.FILTER($A$2:$A$3000,($C$2:$C$3000=$C792)*($E$2:$E$3000=$E792)*($G$2:$G$3000&lt;&gt;$G792)*($G$2:$G$3000&lt;&gt;""),""))))</f>
        <v/>
      </c>
    </row>
    <row r="793" spans="1:10" x14ac:dyDescent="0.25">
      <c r="A793" s="23" t="s">
        <v>1563</v>
      </c>
      <c r="B793" s="37" t="str">
        <f>INDEX(Product!$B:$B,MATCH($A793,Product!$A:$A,0))</f>
        <v>[Yafho] Dây đai cố định ống mở khí quản (2.5cmx33cm / Xanh nhạt)</v>
      </c>
      <c r="C793" s="37" t="str">
        <f>INDEX(Product!$D:$D,MATCH($A793,Product!$A:$A,0))</f>
        <v>Phụ kiện mở khí quản</v>
      </c>
      <c r="D793" s="23" t="s">
        <v>2464</v>
      </c>
      <c r="E793" s="37" t="str">
        <f>INDEX('Attribute Definition'!$B:$B,MATCH($D793,'Attribute Definition'!$A:$A,0))</f>
        <v>Màu sắc</v>
      </c>
      <c r="F793" s="38" t="s">
        <v>2657</v>
      </c>
      <c r="G793" s="39" t="str" cm="1">
        <f t="array" ref="G793">_xlfn.TEXTJOIN("; ",TRUE,_xlfn.UNIQUE(_xlfn._xlws.FILTER('Product Variant Attribute'!$F$2:$F$3000,('Product Variant Attribute'!$B$2:$B$3000=$A793)*('Product Variant Attribute'!$D$2:$D$3000=$D793),"")))</f>
        <v>Xanh nhạt</v>
      </c>
      <c r="H793" s="39"/>
      <c r="I793" s="39"/>
      <c r="J793" s="39" t="str" cm="1">
        <f t="array" ref="J793">IF($I793="","",_xlfn.TEXTJOIN("; ",TRUE,_xlfn.UNIQUE(_xlfn._xlws.FILTER($A$2:$A$3000,($C$2:$C$3000=$C793)*($E$2:$E$3000=$E793)*($G$2:$G$3000&lt;&gt;$G793)*($G$2:$G$3000&lt;&gt;""),""))))</f>
        <v/>
      </c>
    </row>
    <row r="794" spans="1:10" x14ac:dyDescent="0.25">
      <c r="A794" s="23" t="s">
        <v>1563</v>
      </c>
      <c r="B794" s="37" t="str">
        <f>INDEX(Product!$B:$B,MATCH($A794,Product!$A:$A,0))</f>
        <v>[Yafho] Dây đai cố định ống mở khí quản (2.5cmx33cm / Xanh nhạt)</v>
      </c>
      <c r="C794" s="37" t="str">
        <f>INDEX(Product!$D:$D,MATCH($A794,Product!$A:$A,0))</f>
        <v>Phụ kiện mở khí quản</v>
      </c>
      <c r="D794" s="23" t="s">
        <v>2471</v>
      </c>
      <c r="E794" s="37" t="str">
        <f>INDEX('Attribute Definition'!$B:$B,MATCH($D794,'Attribute Definition'!$A:$A,0))</f>
        <v>Dạng sản phẩm</v>
      </c>
      <c r="F794" s="38" t="s">
        <v>2657</v>
      </c>
      <c r="G794" s="39" t="str" cm="1">
        <f t="array" ref="G794">_xlfn.TEXTJOIN("; ",TRUE,_xlfn.UNIQUE(_xlfn._xlws.FILTER('Product Variant Attribute'!$F$2:$F$3000,('Product Variant Attribute'!$B$2:$B$3000=$A794)*('Product Variant Attribute'!$D$2:$D$3000=$D794),"")))</f>
        <v>Ống / dây</v>
      </c>
      <c r="H794" s="39"/>
      <c r="I794" s="39"/>
      <c r="J794" s="39" t="str" cm="1">
        <f t="array" ref="J794">IF($I794="","",_xlfn.TEXTJOIN("; ",TRUE,_xlfn.UNIQUE(_xlfn._xlws.FILTER($A$2:$A$3000,($C$2:$C$3000=$C794)*($E$2:$E$3000=$E794)*($G$2:$G$3000&lt;&gt;$G794)*($G$2:$G$3000&lt;&gt;""),""))))</f>
        <v/>
      </c>
    </row>
    <row r="795" spans="1:10" x14ac:dyDescent="0.25">
      <c r="A795" s="23" t="s">
        <v>1565</v>
      </c>
      <c r="B795" s="37" t="str">
        <f>INDEX(Product!$B:$B,MATCH($A795,Product!$A:$A,0))</f>
        <v>[Yafho] Dây đai cố định ống mở khí quản (43cmx2.5cm)</v>
      </c>
      <c r="C795" s="37" t="str">
        <f>INDEX(Product!$D:$D,MATCH($A795,Product!$A:$A,0))</f>
        <v>Phụ kiện mở khí quản</v>
      </c>
      <c r="D795" s="23" t="s">
        <v>2342</v>
      </c>
      <c r="E795" s="37" t="str">
        <f>INDEX('Attribute Definition'!$B:$B,MATCH($D795,'Attribute Definition'!$A:$A,0))</f>
        <v>Kích thước</v>
      </c>
      <c r="F795" s="38" t="s">
        <v>2657</v>
      </c>
      <c r="G795" s="39" t="str" cm="1">
        <f t="array" ref="G795">_xlfn.TEXTJOIN("; ",TRUE,_xlfn.UNIQUE(_xlfn._xlws.FILTER('Product Variant Attribute'!$F$2:$F$3000,('Product Variant Attribute'!$B$2:$B$3000=$A795)*('Product Variant Attribute'!$D$2:$D$3000=$D795),"")))</f>
        <v>43cmx2.5cm</v>
      </c>
      <c r="H795" s="39"/>
      <c r="I795" s="39"/>
      <c r="J795" s="39" t="str" cm="1">
        <f t="array" ref="J795">IF($I795="","",_xlfn.TEXTJOIN("; ",TRUE,_xlfn.UNIQUE(_xlfn._xlws.FILTER($A$2:$A$3000,($C$2:$C$3000=$C795)*($E$2:$E$3000=$E795)*($G$2:$G$3000&lt;&gt;$G795)*($G$2:$G$3000&lt;&gt;""),""))))</f>
        <v/>
      </c>
    </row>
    <row r="796" spans="1:10" x14ac:dyDescent="0.25">
      <c r="A796" s="23" t="s">
        <v>1565</v>
      </c>
      <c r="B796" s="37" t="str">
        <f>INDEX(Product!$B:$B,MATCH($A796,Product!$A:$A,0))</f>
        <v>[Yafho] Dây đai cố định ống mở khí quản (43cmx2.5cm)</v>
      </c>
      <c r="C796" s="37" t="str">
        <f>INDEX(Product!$D:$D,MATCH($A796,Product!$A:$A,0))</f>
        <v>Phụ kiện mở khí quản</v>
      </c>
      <c r="D796" s="23" t="s">
        <v>2471</v>
      </c>
      <c r="E796" s="37" t="str">
        <f>INDEX('Attribute Definition'!$B:$B,MATCH($D796,'Attribute Definition'!$A:$A,0))</f>
        <v>Dạng sản phẩm</v>
      </c>
      <c r="F796" s="38" t="s">
        <v>2657</v>
      </c>
      <c r="G796" s="39" t="str" cm="1">
        <f t="array" ref="G796">_xlfn.TEXTJOIN("; ",TRUE,_xlfn.UNIQUE(_xlfn._xlws.FILTER('Product Variant Attribute'!$F$2:$F$3000,('Product Variant Attribute'!$B$2:$B$3000=$A796)*('Product Variant Attribute'!$D$2:$D$3000=$D796),"")))</f>
        <v>Ống / dây</v>
      </c>
      <c r="H796" s="39"/>
      <c r="I796" s="39"/>
      <c r="J796" s="39" t="str" cm="1">
        <f t="array" ref="J796">IF($I796="","",_xlfn.TEXTJOIN("; ",TRUE,_xlfn.UNIQUE(_xlfn._xlws.FILTER($A$2:$A$3000,($C$2:$C$3000=$C796)*($E$2:$E$3000=$E796)*($G$2:$G$3000&lt;&gt;$G796)*($G$2:$G$3000&lt;&gt;""),""))))</f>
        <v/>
      </c>
    </row>
    <row r="797" spans="1:10" x14ac:dyDescent="0.25">
      <c r="A797" s="23" t="s">
        <v>1567</v>
      </c>
      <c r="B797" s="37" t="str">
        <f>INDEX(Product!$B:$B,MATCH($A797,Product!$A:$A,0))</f>
        <v>[Yafho] Dây đai cố định ống mở khí quản (45cmx3.5cm)</v>
      </c>
      <c r="C797" s="37" t="str">
        <f>INDEX(Product!$D:$D,MATCH($A797,Product!$A:$A,0))</f>
        <v>Phụ kiện mở khí quản</v>
      </c>
      <c r="D797" s="23" t="s">
        <v>2342</v>
      </c>
      <c r="E797" s="37" t="str">
        <f>INDEX('Attribute Definition'!$B:$B,MATCH($D797,'Attribute Definition'!$A:$A,0))</f>
        <v>Kích thước</v>
      </c>
      <c r="F797" s="38" t="s">
        <v>2657</v>
      </c>
      <c r="G797" s="39" t="str" cm="1">
        <f t="array" ref="G797">_xlfn.TEXTJOIN("; ",TRUE,_xlfn.UNIQUE(_xlfn._xlws.FILTER('Product Variant Attribute'!$F$2:$F$3000,('Product Variant Attribute'!$B$2:$B$3000=$A797)*('Product Variant Attribute'!$D$2:$D$3000=$D797),"")))</f>
        <v>45cmx3.5cm</v>
      </c>
      <c r="H797" s="39"/>
      <c r="I797" s="39"/>
      <c r="J797" s="39" t="str" cm="1">
        <f t="array" ref="J797">IF($I797="","",_xlfn.TEXTJOIN("; ",TRUE,_xlfn.UNIQUE(_xlfn._xlws.FILTER($A$2:$A$3000,($C$2:$C$3000=$C797)*($E$2:$E$3000=$E797)*($G$2:$G$3000&lt;&gt;$G797)*($G$2:$G$3000&lt;&gt;""),""))))</f>
        <v/>
      </c>
    </row>
    <row r="798" spans="1:10" x14ac:dyDescent="0.25">
      <c r="A798" s="23" t="s">
        <v>1567</v>
      </c>
      <c r="B798" s="37" t="str">
        <f>INDEX(Product!$B:$B,MATCH($A798,Product!$A:$A,0))</f>
        <v>[Yafho] Dây đai cố định ống mở khí quản (45cmx3.5cm)</v>
      </c>
      <c r="C798" s="37" t="str">
        <f>INDEX(Product!$D:$D,MATCH($A798,Product!$A:$A,0))</f>
        <v>Phụ kiện mở khí quản</v>
      </c>
      <c r="D798" s="23" t="s">
        <v>2471</v>
      </c>
      <c r="E798" s="37" t="str">
        <f>INDEX('Attribute Definition'!$B:$B,MATCH($D798,'Attribute Definition'!$A:$A,0))</f>
        <v>Dạng sản phẩm</v>
      </c>
      <c r="F798" s="38" t="s">
        <v>2657</v>
      </c>
      <c r="G798" s="39" t="str" cm="1">
        <f t="array" ref="G798">_xlfn.TEXTJOIN("; ",TRUE,_xlfn.UNIQUE(_xlfn._xlws.FILTER('Product Variant Attribute'!$F$2:$F$3000,('Product Variant Attribute'!$B$2:$B$3000=$A798)*('Product Variant Attribute'!$D$2:$D$3000=$D798),"")))</f>
        <v>Ống / dây</v>
      </c>
      <c r="H798" s="39"/>
      <c r="I798" s="39"/>
      <c r="J798" s="39" t="str" cm="1">
        <f t="array" ref="J798">IF($I798="","",_xlfn.TEXTJOIN("; ",TRUE,_xlfn.UNIQUE(_xlfn._xlws.FILTER($A$2:$A$3000,($C$2:$C$3000=$C798)*($E$2:$E$3000=$E798)*($G$2:$G$3000&lt;&gt;$G798)*($G$2:$G$3000&lt;&gt;""),""))))</f>
        <v/>
      </c>
    </row>
    <row r="799" spans="1:10" x14ac:dyDescent="0.25">
      <c r="A799" s="23" t="s">
        <v>1569</v>
      </c>
      <c r="B799" s="37" t="str">
        <f>INDEX(Product!$B:$B,MATCH($A799,Product!$A:$A,0))</f>
        <v>[SungShim] Bơm tiêm insulin (1ml)</v>
      </c>
      <c r="C799" s="37" t="str">
        <f>INDEX(Product!$D:$D,MATCH($A799,Product!$A:$A,0))</f>
        <v>Bơm tiêm insulin</v>
      </c>
      <c r="D799" s="23" t="s">
        <v>2349</v>
      </c>
      <c r="E799" s="37" t="str">
        <f>INDEX('Attribute Definition'!$B:$B,MATCH($D799,'Attribute Definition'!$A:$A,0))</f>
        <v>Dung tích</v>
      </c>
      <c r="F799" s="38" t="s">
        <v>2657</v>
      </c>
      <c r="G799" s="39" t="str" cm="1">
        <f t="array" ref="G799">_xlfn.TEXTJOIN("; ",TRUE,_xlfn.UNIQUE(_xlfn._xlws.FILTER('Product Variant Attribute'!$F$2:$F$3000,('Product Variant Attribute'!$B$2:$B$3000=$A799)*('Product Variant Attribute'!$D$2:$D$3000=$D799),"")))</f>
        <v>1ml</v>
      </c>
      <c r="H799" s="39"/>
      <c r="I799" s="39" t="s">
        <v>2765</v>
      </c>
      <c r="J799" s="39" t="str" cm="1">
        <f t="array" ref="J799">IF($I799="","",_xlfn.TEXTJOIN("; ",TRUE,_xlfn.UNIQUE(_xlfn._xlws.FILTER($A$2:$A$3000,($C$2:$C$3000=$C799)*($E$2:$E$3000=$E799)*($G$2:$G$3000&lt;&gt;$G799)*($G$2:$G$3000&lt;&gt;""),""))))</f>
        <v>PRODUCT-00245</v>
      </c>
    </row>
    <row r="800" spans="1:10" x14ac:dyDescent="0.25">
      <c r="A800" s="23" t="s">
        <v>1569</v>
      </c>
      <c r="B800" s="37" t="str">
        <f>INDEX(Product!$B:$B,MATCH($A800,Product!$A:$A,0))</f>
        <v>[SungShim] Bơm tiêm insulin (1ml)</v>
      </c>
      <c r="C800" s="37" t="str">
        <f>INDEX(Product!$D:$D,MATCH($A800,Product!$A:$A,0))</f>
        <v>Bơm tiêm insulin</v>
      </c>
      <c r="D800" s="23" t="s">
        <v>2471</v>
      </c>
      <c r="E800" s="37" t="str">
        <f>INDEX('Attribute Definition'!$B:$B,MATCH($D800,'Attribute Definition'!$A:$A,0))</f>
        <v>Dạng sản phẩm</v>
      </c>
      <c r="F800" s="38" t="s">
        <v>2657</v>
      </c>
      <c r="G800" s="39" t="str" cm="1">
        <f t="array" ref="G800">_xlfn.TEXTJOIN("; ",TRUE,_xlfn.UNIQUE(_xlfn._xlws.FILTER('Product Variant Attribute'!$F$2:$F$3000,('Product Variant Attribute'!$B$2:$B$3000=$A800)*('Product Variant Attribute'!$D$2:$D$3000=$D800),"")))</f>
        <v>Bơm tiêm / bình chứa</v>
      </c>
      <c r="H800" s="39"/>
      <c r="I800" s="39"/>
      <c r="J800" s="39" t="str" cm="1">
        <f t="array" ref="J800">IF($I800="","",_xlfn.TEXTJOIN("; ",TRUE,_xlfn.UNIQUE(_xlfn._xlws.FILTER($A$2:$A$3000,($C$2:$C$3000=$C800)*($E$2:$E$3000=$E800)*($G$2:$G$3000&lt;&gt;$G800)*($G$2:$G$3000&lt;&gt;""),""))))</f>
        <v/>
      </c>
    </row>
    <row r="801" spans="1:10" x14ac:dyDescent="0.25">
      <c r="A801" s="23" t="s">
        <v>1571</v>
      </c>
      <c r="B801" s="37" t="str">
        <f>INDEX(Product!$B:$B,MATCH($A801,Product!$A:$A,0))</f>
        <v>[Young Chemical Vina] Băng keo cố định kim luồn không thấm nước không gạc - Adflex - IV (6.7cmx10cm)</v>
      </c>
      <c r="C801" s="37" t="str">
        <f>INDEX(Product!$D:$D,MATCH($A801,Product!$A:$A,0))</f>
        <v>Băng keo cố định kim luồn</v>
      </c>
      <c r="D801" s="23" t="s">
        <v>2342</v>
      </c>
      <c r="E801" s="37" t="str">
        <f>INDEX('Attribute Definition'!$B:$B,MATCH($D801,'Attribute Definition'!$A:$A,0))</f>
        <v>Kích thước</v>
      </c>
      <c r="F801" s="38" t="s">
        <v>2657</v>
      </c>
      <c r="G801" s="39" t="str" cm="1">
        <f t="array" ref="G801">_xlfn.TEXTJOIN("; ",TRUE,_xlfn.UNIQUE(_xlfn._xlws.FILTER('Product Variant Attribute'!$F$2:$F$3000,('Product Variant Attribute'!$B$2:$B$3000=$A801)*('Product Variant Attribute'!$D$2:$D$3000=$D801),"")))</f>
        <v>6.7cmx10cm</v>
      </c>
      <c r="H801" s="39"/>
      <c r="I801" s="39"/>
      <c r="J801" s="39" t="str" cm="1">
        <f t="array" ref="J801">IF($I801="","",_xlfn.TEXTJOIN("; ",TRUE,_xlfn.UNIQUE(_xlfn._xlws.FILTER($A$2:$A$3000,($C$2:$C$3000=$C801)*($E$2:$E$3000=$E801)*($G$2:$G$3000&lt;&gt;$G801)*($G$2:$G$3000&lt;&gt;""),""))))</f>
        <v/>
      </c>
    </row>
    <row r="802" spans="1:10" x14ac:dyDescent="0.25">
      <c r="A802" s="23" t="s">
        <v>1571</v>
      </c>
      <c r="B802" s="37" t="str">
        <f>INDEX(Product!$B:$B,MATCH($A802,Product!$A:$A,0))</f>
        <v>[Young Chemical Vina] Băng keo cố định kim luồn không thấm nước không gạc - Adflex - IV (6.7cmx10cm)</v>
      </c>
      <c r="C802" s="37" t="str">
        <f>INDEX(Product!$D:$D,MATCH($A802,Product!$A:$A,0))</f>
        <v>Băng keo cố định kim luồn</v>
      </c>
      <c r="D802" s="23" t="s">
        <v>2381</v>
      </c>
      <c r="E802" s="37" t="str">
        <f>INDEX('Attribute Definition'!$B:$B,MATCH($D802,'Attribute Definition'!$A:$A,0))</f>
        <v>Chống nước</v>
      </c>
      <c r="F802" s="38" t="s">
        <v>2657</v>
      </c>
      <c r="G802" s="39" t="str" cm="1">
        <f t="array" ref="G802">_xlfn.TEXTJOIN("; ",TRUE,_xlfn.UNIQUE(_xlfn._xlws.FILTER('Product Variant Attribute'!$F$2:$F$3000,('Product Variant Attribute'!$B$2:$B$3000=$A802)*('Product Variant Attribute'!$D$2:$D$3000=$D802),"")))</f>
        <v>Có</v>
      </c>
      <c r="H802" s="39"/>
      <c r="I802" s="39"/>
      <c r="J802" s="39" t="str" cm="1">
        <f t="array" ref="J802">IF($I802="","",_xlfn.TEXTJOIN("; ",TRUE,_xlfn.UNIQUE(_xlfn._xlws.FILTER($A$2:$A$3000,($C$2:$C$3000=$C802)*($E$2:$E$3000=$E802)*($G$2:$G$3000&lt;&gt;$G802)*($G$2:$G$3000&lt;&gt;""),""))))</f>
        <v/>
      </c>
    </row>
    <row r="803" spans="1:10" x14ac:dyDescent="0.25">
      <c r="A803" s="23" t="s">
        <v>1571</v>
      </c>
      <c r="B803" s="37" t="str">
        <f>INDEX(Product!$B:$B,MATCH($A803,Product!$A:$A,0))</f>
        <v>[Young Chemical Vina] Băng keo cố định kim luồn không thấm nước không gạc - Adflex - IV (6.7cmx10cm)</v>
      </c>
      <c r="C803" s="37" t="str">
        <f>INDEX(Product!$D:$D,MATCH($A803,Product!$A:$A,0))</f>
        <v>Băng keo cố định kim luồn</v>
      </c>
      <c r="D803" s="23" t="s">
        <v>2471</v>
      </c>
      <c r="E803" s="37" t="str">
        <f>INDEX('Attribute Definition'!$B:$B,MATCH($D803,'Attribute Definition'!$A:$A,0))</f>
        <v>Dạng sản phẩm</v>
      </c>
      <c r="F803" s="38" t="s">
        <v>2657</v>
      </c>
      <c r="G803" s="39" t="str" cm="1">
        <f t="array" ref="G803">_xlfn.TEXTJOIN("; ",TRUE,_xlfn.UNIQUE(_xlfn._xlws.FILTER('Product Variant Attribute'!$F$2:$F$3000,('Product Variant Attribute'!$B$2:$B$3000=$A803)*('Product Variant Attribute'!$D$2:$D$3000=$D803),"")))</f>
        <v>Miếng dán / gạc</v>
      </c>
      <c r="H803" s="39"/>
      <c r="I803" s="39"/>
      <c r="J803" s="39" t="str" cm="1">
        <f t="array" ref="J803">IF($I803="","",_xlfn.TEXTJOIN("; ",TRUE,_xlfn.UNIQUE(_xlfn._xlws.FILTER($A$2:$A$3000,($C$2:$C$3000=$C803)*($E$2:$E$3000=$E803)*($G$2:$G$3000&lt;&gt;$G803)*($G$2:$G$3000&lt;&gt;""),""))))</f>
        <v/>
      </c>
    </row>
    <row r="804" spans="1:10" ht="30" x14ac:dyDescent="0.25">
      <c r="A804" s="23" t="s">
        <v>1623</v>
      </c>
      <c r="B804" s="37" t="str">
        <f>INDEX(Product!$B:$B,MATCH($A804,Product!$A:$A,0))</f>
        <v>[CODY Health] Vớ y khoa giãn tĩnh mạch (Vớ đùi)</v>
      </c>
      <c r="C804" s="37" t="str">
        <f>INDEX(Product!$D:$D,MATCH($A804,Product!$A:$A,0))</f>
        <v>Vớ y khoa giãn tĩnh mạch</v>
      </c>
      <c r="D804" s="23" t="s">
        <v>2439</v>
      </c>
      <c r="E804" s="37" t="str">
        <f>INDEX('Attribute Definition'!$B:$B,MATCH($D804,'Attribute Definition'!$A:$A,0))</f>
        <v>Vị trí sử dụng trên cơ thể</v>
      </c>
      <c r="F804" s="38" t="s">
        <v>2657</v>
      </c>
      <c r="G804" s="39" t="str" cm="1">
        <f t="array" ref="G804">_xlfn.TEXTJOIN("; ",TRUE,_xlfn.UNIQUE(_xlfn._xlws.FILTER('Product Variant Attribute'!$F$2:$F$3000,('Product Variant Attribute'!$B$2:$B$3000=$A804)*('Product Variant Attribute'!$D$2:$D$3000=$D804),"")))</f>
        <v>Đùi</v>
      </c>
      <c r="H804" s="39"/>
      <c r="I804" s="39" t="s">
        <v>2720</v>
      </c>
      <c r="J804" s="39" t="str" cm="1">
        <f t="array" ref="J804">IF($I804="","",_xlfn.TEXTJOIN("; ",TRUE,_xlfn.UNIQUE(_xlfn._xlws.FILTER($A$2:$A$3000,($C$2:$C$3000=$C804)*($E$2:$E$3000=$E804)*($G$2:$G$3000&lt;&gt;$G804)*($G$2:$G$3000&lt;&gt;""),""))))</f>
        <v>PRODUCT-00055; PRODUCT-00056; PRODUCT-00063; PRODUCT-00298</v>
      </c>
    </row>
    <row r="805" spans="1:10" x14ac:dyDescent="0.25">
      <c r="A805" s="23" t="s">
        <v>1623</v>
      </c>
      <c r="B805" s="37" t="str">
        <f>INDEX(Product!$B:$B,MATCH($A805,Product!$A:$A,0))</f>
        <v>[CODY Health] Vớ y khoa giãn tĩnh mạch (Vớ đùi)</v>
      </c>
      <c r="C805" s="37" t="str">
        <f>INDEX(Product!$D:$D,MATCH($A805,Product!$A:$A,0))</f>
        <v>Vớ y khoa giãn tĩnh mạch</v>
      </c>
      <c r="D805" s="23" t="s">
        <v>2471</v>
      </c>
      <c r="E805" s="37" t="str">
        <f>INDEX('Attribute Definition'!$B:$B,MATCH($D805,'Attribute Definition'!$A:$A,0))</f>
        <v>Dạng sản phẩm</v>
      </c>
      <c r="F805" s="38" t="s">
        <v>2657</v>
      </c>
      <c r="G805" s="39" t="str" cm="1">
        <f t="array" ref="G805">_xlfn.TEXTJOIN("; ",TRUE,_xlfn.UNIQUE(_xlfn._xlws.FILTER('Product Variant Attribute'!$F$2:$F$3000,('Product Variant Attribute'!$B$2:$B$3000=$A805)*('Product Variant Attribute'!$D$2:$D$3000=$D805),"")))</f>
        <v>Vớ</v>
      </c>
      <c r="H805" s="39"/>
      <c r="I805" s="39"/>
      <c r="J805" s="39" t="str" cm="1">
        <f t="array" ref="J805">IF($I805="","",_xlfn.TEXTJOIN("; ",TRUE,_xlfn.UNIQUE(_xlfn._xlws.FILTER($A$2:$A$3000,($C$2:$C$3000=$C805)*($E$2:$E$3000=$E805)*($G$2:$G$3000&lt;&gt;$G805)*($G$2:$G$3000&lt;&gt;""),""))))</f>
        <v/>
      </c>
    </row>
    <row r="806" spans="1:10" ht="45" x14ac:dyDescent="0.25">
      <c r="A806" s="23" t="s">
        <v>1623</v>
      </c>
      <c r="B806" s="37" t="str">
        <f>INDEX(Product!$B:$B,MATCH($A806,Product!$A:$A,0))</f>
        <v>[CODY Health] Vớ y khoa giãn tĩnh mạch (Vớ đùi)</v>
      </c>
      <c r="C806" s="37" t="str">
        <f>INDEX(Product!$D:$D,MATCH($A806,Product!$A:$A,0))</f>
        <v>Vớ y khoa giãn tĩnh mạch</v>
      </c>
      <c r="D806" s="23" t="s">
        <v>2656</v>
      </c>
      <c r="E806" s="37" t="str">
        <f>INDEX('Attribute Definition'!$B:$B,MATCH($D806,'Attribute Definition'!$A:$A,0))</f>
        <v>Kích cỡ</v>
      </c>
      <c r="F806" s="38" t="s">
        <v>2485</v>
      </c>
      <c r="G806" s="39" t="str" cm="1">
        <f t="array" ref="G806">_xlfn.TEXTJOIN("; ",TRUE,_xlfn.UNIQUE(_xlfn._xlws.FILTER('Product Variant Attribute'!$F$2:$F$3000,('Product Variant Attribute'!$B$2:$B$3000=$A806)*('Product Variant Attribute'!$D$2:$D$3000=$D806),"")))</f>
        <v>S; M; L</v>
      </c>
      <c r="H806" s="39" t="s">
        <v>2671</v>
      </c>
      <c r="I806" s="39"/>
      <c r="J806" s="39" t="str" cm="1">
        <f t="array" ref="J806">IF($I806="","",_xlfn.TEXTJOIN("; ",TRUE,_xlfn.UNIQUE(_xlfn._xlws.FILTER($A$2:$A$3000,($C$2:$C$3000=$C806)*($E$2:$E$3000=$E806)*($G$2:$G$3000&lt;&gt;$G806)*($G$2:$G$3000&lt;&gt;""),""))))</f>
        <v/>
      </c>
    </row>
    <row r="807" spans="1:10" x14ac:dyDescent="0.25">
      <c r="A807" s="23" t="s">
        <v>1626</v>
      </c>
      <c r="B807" s="37" t="str">
        <f>INDEX(Product!$B:$B,MATCH($A807,Product!$A:$A,0))</f>
        <v>[Timelock] Găng tay robot phục hồi chức năng bàn tay (Bên phải)</v>
      </c>
      <c r="C807" s="37" t="str">
        <f>INDEX(Product!$D:$D,MATCH($A807,Product!$A:$A,0))</f>
        <v>Găng tay robot phục hồi chức năng</v>
      </c>
      <c r="D807" s="23" t="s">
        <v>2439</v>
      </c>
      <c r="E807" s="37" t="str">
        <f>INDEX('Attribute Definition'!$B:$B,MATCH($D807,'Attribute Definition'!$A:$A,0))</f>
        <v>Vị trí sử dụng trên cơ thể</v>
      </c>
      <c r="F807" s="38" t="s">
        <v>2657</v>
      </c>
      <c r="G807" s="39" t="str" cm="1">
        <f t="array" ref="G807">_xlfn.TEXTJOIN("; ",TRUE,_xlfn.UNIQUE(_xlfn._xlws.FILTER('Product Variant Attribute'!$F$2:$F$3000,('Product Variant Attribute'!$B$2:$B$3000=$A807)*('Product Variant Attribute'!$D$2:$D$3000=$D807),"")))</f>
        <v>Bàn tay</v>
      </c>
      <c r="H807" s="39"/>
      <c r="I807" s="39"/>
      <c r="J807" s="39" t="str" cm="1">
        <f t="array" ref="J807">IF($I807="","",_xlfn.TEXTJOIN("; ",TRUE,_xlfn.UNIQUE(_xlfn._xlws.FILTER($A$2:$A$3000,($C$2:$C$3000=$C807)*($E$2:$E$3000=$E807)*($G$2:$G$3000&lt;&gt;$G807)*($G$2:$G$3000&lt;&gt;""),""))))</f>
        <v/>
      </c>
    </row>
    <row r="808" spans="1:10" x14ac:dyDescent="0.25">
      <c r="A808" s="23" t="s">
        <v>1626</v>
      </c>
      <c r="B808" s="37" t="str">
        <f>INDEX(Product!$B:$B,MATCH($A808,Product!$A:$A,0))</f>
        <v>[Timelock] Găng tay robot phục hồi chức năng bàn tay (Bên phải)</v>
      </c>
      <c r="C808" s="37" t="str">
        <f>INDEX(Product!$D:$D,MATCH($A808,Product!$A:$A,0))</f>
        <v>Găng tay robot phục hồi chức năng</v>
      </c>
      <c r="D808" s="23" t="s">
        <v>2444</v>
      </c>
      <c r="E808" s="37" t="str">
        <f>INDEX('Attribute Definition'!$B:$B,MATCH($D808,'Attribute Definition'!$A:$A,0))</f>
        <v>Bên</v>
      </c>
      <c r="F808" s="38" t="s">
        <v>2657</v>
      </c>
      <c r="G808" s="39" t="str" cm="1">
        <f t="array" ref="G808">_xlfn.TEXTJOIN("; ",TRUE,_xlfn.UNIQUE(_xlfn._xlws.FILTER('Product Variant Attribute'!$F$2:$F$3000,('Product Variant Attribute'!$B$2:$B$3000=$A808)*('Product Variant Attribute'!$D$2:$D$3000=$D808),"")))</f>
        <v>Phải</v>
      </c>
      <c r="H808" s="39"/>
      <c r="I808" s="39" t="s">
        <v>2766</v>
      </c>
      <c r="J808" s="39" t="str" cm="1">
        <f t="array" ref="J808">IF($I808="","",_xlfn.TEXTJOIN("; ",TRUE,_xlfn.UNIQUE(_xlfn._xlws.FILTER($A$2:$A$3000,($C$2:$C$3000=$C808)*($E$2:$E$3000=$E808)*($G$2:$G$3000&lt;&gt;$G808)*($G$2:$G$3000&lt;&gt;""),""))))</f>
        <v>PRODUCT-00070</v>
      </c>
    </row>
    <row r="809" spans="1:10" x14ac:dyDescent="0.25">
      <c r="A809" s="23" t="s">
        <v>1626</v>
      </c>
      <c r="B809" s="37" t="str">
        <f>INDEX(Product!$B:$B,MATCH($A809,Product!$A:$A,0))</f>
        <v>[Timelock] Găng tay robot phục hồi chức năng bàn tay (Bên phải)</v>
      </c>
      <c r="C809" s="37" t="str">
        <f>INDEX(Product!$D:$D,MATCH($A809,Product!$A:$A,0))</f>
        <v>Găng tay robot phục hồi chức năng</v>
      </c>
      <c r="D809" s="23" t="s">
        <v>2471</v>
      </c>
      <c r="E809" s="37" t="str">
        <f>INDEX('Attribute Definition'!$B:$B,MATCH($D809,'Attribute Definition'!$A:$A,0))</f>
        <v>Dạng sản phẩm</v>
      </c>
      <c r="F809" s="38" t="s">
        <v>2657</v>
      </c>
      <c r="G809" s="39" t="str" cm="1">
        <f t="array" ref="G809">_xlfn.TEXTJOIN("; ",TRUE,_xlfn.UNIQUE(_xlfn._xlws.FILTER('Product Variant Attribute'!$F$2:$F$3000,('Product Variant Attribute'!$B$2:$B$3000=$A809)*('Product Variant Attribute'!$D$2:$D$3000=$D809),"")))</f>
        <v>Máy / thiết bị điện tử</v>
      </c>
      <c r="H809" s="39"/>
      <c r="I809" s="39"/>
      <c r="J809" s="39" t="str" cm="1">
        <f t="array" ref="J809">IF($I809="","",_xlfn.TEXTJOIN("; ",TRUE,_xlfn.UNIQUE(_xlfn._xlws.FILTER($A$2:$A$3000,($C$2:$C$3000=$C809)*($E$2:$E$3000=$E809)*($G$2:$G$3000&lt;&gt;$G809)*($G$2:$G$3000&lt;&gt;""),""))))</f>
        <v/>
      </c>
    </row>
    <row r="810" spans="1:10" ht="45" x14ac:dyDescent="0.25">
      <c r="A810" s="23" t="s">
        <v>1626</v>
      </c>
      <c r="B810" s="37" t="str">
        <f>INDEX(Product!$B:$B,MATCH($A810,Product!$A:$A,0))</f>
        <v>[Timelock] Găng tay robot phục hồi chức năng bàn tay (Bên phải)</v>
      </c>
      <c r="C810" s="37" t="str">
        <f>INDEX(Product!$D:$D,MATCH($A810,Product!$A:$A,0))</f>
        <v>Găng tay robot phục hồi chức năng</v>
      </c>
      <c r="D810" s="23" t="s">
        <v>2656</v>
      </c>
      <c r="E810" s="37" t="str">
        <f>INDEX('Attribute Definition'!$B:$B,MATCH($D810,'Attribute Definition'!$A:$A,0))</f>
        <v>Kích cỡ</v>
      </c>
      <c r="F810" s="38" t="s">
        <v>2485</v>
      </c>
      <c r="G810" s="39" t="str" cm="1">
        <f t="array" ref="G810">_xlfn.TEXTJOIN("; ",TRUE,_xlfn.UNIQUE(_xlfn._xlws.FILTER('Product Variant Attribute'!$F$2:$F$3000,('Product Variant Attribute'!$B$2:$B$3000=$A810)*('Product Variant Attribute'!$D$2:$D$3000=$D810),"")))</f>
        <v>M; L</v>
      </c>
      <c r="H810" s="39" t="s">
        <v>2677</v>
      </c>
      <c r="I810" s="39"/>
      <c r="J810" s="39" t="str" cm="1">
        <f t="array" ref="J810">IF($I810="","",_xlfn.TEXTJOIN("; ",TRUE,_xlfn.UNIQUE(_xlfn._xlws.FILTER($A$2:$A$3000,($C$2:$C$3000=$C810)*($E$2:$E$3000=$E810)*($G$2:$G$3000&lt;&gt;$G810)*($G$2:$G$3000&lt;&gt;""),""))))</f>
        <v/>
      </c>
    </row>
    <row r="811" spans="1:10" ht="45" x14ac:dyDescent="0.25">
      <c r="A811" s="23" t="s">
        <v>1628</v>
      </c>
      <c r="B811" s="37" t="str">
        <f>INDEX(Product!$B:$B,MATCH($A811,Product!$A:$A,0))</f>
        <v>[Venosan] Vớ y khoa hỗ trợ điều trị suy giãn tĩnh mạch - Venosan 6000 (Vớ gối)</v>
      </c>
      <c r="C811" s="37" t="str">
        <f>INDEX(Product!$D:$D,MATCH($A811,Product!$A:$A,0))</f>
        <v>Vớ y khoa giãn tĩnh mạch</v>
      </c>
      <c r="D811" s="23" t="s">
        <v>2439</v>
      </c>
      <c r="E811" s="37" t="str">
        <f>INDEX('Attribute Definition'!$B:$B,MATCH($D811,'Attribute Definition'!$A:$A,0))</f>
        <v>Vị trí sử dụng trên cơ thể</v>
      </c>
      <c r="F811" s="38" t="s">
        <v>2657</v>
      </c>
      <c r="G811" s="39" t="str" cm="1">
        <f t="array" ref="G811">_xlfn.TEXTJOIN("; ",TRUE,_xlfn.UNIQUE(_xlfn._xlws.FILTER('Product Variant Attribute'!$F$2:$F$3000,('Product Variant Attribute'!$B$2:$B$3000=$A811)*('Product Variant Attribute'!$D$2:$D$3000=$D811),"")))</f>
        <v>Gối (dưới gối)</v>
      </c>
      <c r="H811" s="39"/>
      <c r="I811" s="39" t="s">
        <v>2721</v>
      </c>
      <c r="J811" s="39" t="str" cm="1">
        <f t="array" ref="J811">IF($I811="","",_xlfn.TEXTJOIN("; ",TRUE,_xlfn.UNIQUE(_xlfn._xlws.FILTER($A$2:$A$3000,($C$2:$C$3000=$C811)*($E$2:$E$3000=$E811)*($G$2:$G$3000&lt;&gt;$G811)*($G$2:$G$3000&lt;&gt;""),""))))</f>
        <v>PRODUCT-00054; PRODUCT-00063; PRODUCT-00296; PRODUCT-00299</v>
      </c>
    </row>
    <row r="812" spans="1:10" x14ac:dyDescent="0.25">
      <c r="A812" s="23" t="s">
        <v>1628</v>
      </c>
      <c r="B812" s="37" t="str">
        <f>INDEX(Product!$B:$B,MATCH($A812,Product!$A:$A,0))</f>
        <v>[Venosan] Vớ y khoa hỗ trợ điều trị suy giãn tĩnh mạch - Venosan 6000 (Vớ gối)</v>
      </c>
      <c r="C812" s="37" t="str">
        <f>INDEX(Product!$D:$D,MATCH($A812,Product!$A:$A,0))</f>
        <v>Vớ y khoa giãn tĩnh mạch</v>
      </c>
      <c r="D812" s="23" t="s">
        <v>2471</v>
      </c>
      <c r="E812" s="37" t="str">
        <f>INDEX('Attribute Definition'!$B:$B,MATCH($D812,'Attribute Definition'!$A:$A,0))</f>
        <v>Dạng sản phẩm</v>
      </c>
      <c r="F812" s="38" t="s">
        <v>2657</v>
      </c>
      <c r="G812" s="39" t="str" cm="1">
        <f t="array" ref="G812">_xlfn.TEXTJOIN("; ",TRUE,_xlfn.UNIQUE(_xlfn._xlws.FILTER('Product Variant Attribute'!$F$2:$F$3000,('Product Variant Attribute'!$B$2:$B$3000=$A812)*('Product Variant Attribute'!$D$2:$D$3000=$D812),"")))</f>
        <v>Vớ</v>
      </c>
      <c r="H812" s="39"/>
      <c r="I812" s="39"/>
      <c r="J812" s="39" t="str" cm="1">
        <f t="array" ref="J812">IF($I812="","",_xlfn.TEXTJOIN("; ",TRUE,_xlfn.UNIQUE(_xlfn._xlws.FILTER($A$2:$A$3000,($C$2:$C$3000=$C812)*($E$2:$E$3000=$E812)*($G$2:$G$3000&lt;&gt;$G812)*($G$2:$G$3000&lt;&gt;""),""))))</f>
        <v/>
      </c>
    </row>
    <row r="813" spans="1:10" ht="30" x14ac:dyDescent="0.25">
      <c r="A813" s="23" t="s">
        <v>1630</v>
      </c>
      <c r="B813" s="37" t="str">
        <f>INDEX(Product!$B:$B,MATCH($A813,Product!$A:$A,0))</f>
        <v>[Venosan] Vớ y khoa hỗ trợ điều trị suy giãn tĩnh mạch - Venosan 6000 (Vớ đùi)</v>
      </c>
      <c r="C813" s="37" t="str">
        <f>INDEX(Product!$D:$D,MATCH($A813,Product!$A:$A,0))</f>
        <v>Vớ y khoa giãn tĩnh mạch</v>
      </c>
      <c r="D813" s="23" t="s">
        <v>2439</v>
      </c>
      <c r="E813" s="37" t="str">
        <f>INDEX('Attribute Definition'!$B:$B,MATCH($D813,'Attribute Definition'!$A:$A,0))</f>
        <v>Vị trí sử dụng trên cơ thể</v>
      </c>
      <c r="F813" s="38" t="s">
        <v>2657</v>
      </c>
      <c r="G813" s="39" t="str" cm="1">
        <f t="array" ref="G813">_xlfn.TEXTJOIN("; ",TRUE,_xlfn.UNIQUE(_xlfn._xlws.FILTER('Product Variant Attribute'!$F$2:$F$3000,('Product Variant Attribute'!$B$2:$B$3000=$A813)*('Product Variant Attribute'!$D$2:$D$3000=$D813),"")))</f>
        <v>Đùi</v>
      </c>
      <c r="H813" s="39"/>
      <c r="I813" s="39" t="s">
        <v>2720</v>
      </c>
      <c r="J813" s="39" t="str" cm="1">
        <f t="array" ref="J813">IF($I813="","",_xlfn.TEXTJOIN("; ",TRUE,_xlfn.UNIQUE(_xlfn._xlws.FILTER($A$2:$A$3000,($C$2:$C$3000=$C813)*($E$2:$E$3000=$E813)*($G$2:$G$3000&lt;&gt;$G813)*($G$2:$G$3000&lt;&gt;""),""))))</f>
        <v>PRODUCT-00055; PRODUCT-00056; PRODUCT-00063; PRODUCT-00298</v>
      </c>
    </row>
    <row r="814" spans="1:10" x14ac:dyDescent="0.25">
      <c r="A814" s="23" t="s">
        <v>1630</v>
      </c>
      <c r="B814" s="37" t="str">
        <f>INDEX(Product!$B:$B,MATCH($A814,Product!$A:$A,0))</f>
        <v>[Venosan] Vớ y khoa hỗ trợ điều trị suy giãn tĩnh mạch - Venosan 6000 (Vớ đùi)</v>
      </c>
      <c r="C814" s="37" t="str">
        <f>INDEX(Product!$D:$D,MATCH($A814,Product!$A:$A,0))</f>
        <v>Vớ y khoa giãn tĩnh mạch</v>
      </c>
      <c r="D814" s="23" t="s">
        <v>2471</v>
      </c>
      <c r="E814" s="37" t="str">
        <f>INDEX('Attribute Definition'!$B:$B,MATCH($D814,'Attribute Definition'!$A:$A,0))</f>
        <v>Dạng sản phẩm</v>
      </c>
      <c r="F814" s="38" t="s">
        <v>2657</v>
      </c>
      <c r="G814" s="39" t="str" cm="1">
        <f t="array" ref="G814">_xlfn.TEXTJOIN("; ",TRUE,_xlfn.UNIQUE(_xlfn._xlws.FILTER('Product Variant Attribute'!$F$2:$F$3000,('Product Variant Attribute'!$B$2:$B$3000=$A814)*('Product Variant Attribute'!$D$2:$D$3000=$D814),"")))</f>
        <v>Vớ</v>
      </c>
      <c r="H814" s="39"/>
      <c r="I814" s="39"/>
      <c r="J814" s="39" t="str" cm="1">
        <f t="array" ref="J814">IF($I814="","",_xlfn.TEXTJOIN("; ",TRUE,_xlfn.UNIQUE(_xlfn._xlws.FILTER($A$2:$A$3000,($C$2:$C$3000=$C814)*($E$2:$E$3000=$E814)*($G$2:$G$3000&lt;&gt;$G814)*($G$2:$G$3000&lt;&gt;""),""))))</f>
        <v/>
      </c>
    </row>
    <row r="815" spans="1:10" x14ac:dyDescent="0.25">
      <c r="A815" s="23" t="s">
        <v>1633</v>
      </c>
      <c r="B815" s="37" t="str">
        <f>INDEX(Product!$B:$B,MATCH($A815,Product!$A:$A,0))</f>
        <v>[Hollister] Vòng bảo vệ da chống loét hậu môn nhân tạo (Mẫu 7806)</v>
      </c>
      <c r="C815" s="37" t="str">
        <f>INDEX(Product!$D:$D,MATCH($A815,Product!$A:$A,0))</f>
        <v>Phụ kiện hậu môn nhân tạo</v>
      </c>
      <c r="D815" s="23" t="s">
        <v>2471</v>
      </c>
      <c r="E815" s="37" t="str">
        <f>INDEX('Attribute Definition'!$B:$B,MATCH($D815,'Attribute Definition'!$A:$A,0))</f>
        <v>Dạng sản phẩm</v>
      </c>
      <c r="F815" s="38" t="s">
        <v>2657</v>
      </c>
      <c r="G815" s="39" t="str" cm="1">
        <f t="array" ref="G815">_xlfn.TEXTJOIN("; ",TRUE,_xlfn.UNIQUE(_xlfn._xlws.FILTER('Product Variant Attribute'!$F$2:$F$3000,('Product Variant Attribute'!$B$2:$B$3000=$A815)*('Product Variant Attribute'!$D$2:$D$3000=$D815),"")))</f>
        <v>Dụng cụ / phụ kiện</v>
      </c>
      <c r="H815" s="39"/>
      <c r="I815" s="39"/>
      <c r="J815" s="39" t="str" cm="1">
        <f t="array" ref="J815">IF($I815="","",_xlfn.TEXTJOIN("; ",TRUE,_xlfn.UNIQUE(_xlfn._xlws.FILTER($A$2:$A$3000,($C$2:$C$3000=$C815)*($E$2:$E$3000=$E815)*($G$2:$G$3000&lt;&gt;$G815)*($G$2:$G$3000&lt;&gt;""),""))))</f>
        <v/>
      </c>
    </row>
  </sheetData>
  <autoFilter ref="A1:F815" xr:uid="{F4348824-D16B-483D-BFF3-5E118FA35F2F}"/>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E1BF1-1E31-4EBF-A83C-6E64630219C2}">
  <dimension ref="A1:F1225"/>
  <sheetViews>
    <sheetView workbookViewId="0">
      <pane ySplit="1" topLeftCell="A1013" activePane="bottomLeft" state="frozen"/>
      <selection pane="bottomLeft" activeCell="E638" sqref="E638"/>
    </sheetView>
  </sheetViews>
  <sheetFormatPr defaultRowHeight="15" x14ac:dyDescent="0.25"/>
  <cols>
    <col min="1" max="1" width="22.85546875" customWidth="1"/>
    <col min="2" max="2" width="18.140625" customWidth="1"/>
    <col min="3" max="3" width="72.42578125" customWidth="1"/>
    <col min="4" max="4" width="16.140625" customWidth="1"/>
    <col min="5" max="5" width="36.140625" customWidth="1"/>
    <col min="6" max="6" width="43.85546875" customWidth="1"/>
  </cols>
  <sheetData>
    <row r="1" spans="1:6" ht="30" customHeight="1" x14ac:dyDescent="0.25">
      <c r="A1" s="30" t="s">
        <v>821</v>
      </c>
      <c r="B1" s="30" t="s">
        <v>811</v>
      </c>
      <c r="C1" s="30" t="s">
        <v>122</v>
      </c>
      <c r="D1" s="30" t="s">
        <v>2335</v>
      </c>
      <c r="E1" s="30" t="s">
        <v>2336</v>
      </c>
      <c r="F1" s="30" t="s">
        <v>2476</v>
      </c>
    </row>
    <row r="2" spans="1:6" x14ac:dyDescent="0.25">
      <c r="A2" t="s">
        <v>1636</v>
      </c>
      <c r="B2" s="18" t="str">
        <f>INDEX('Product Variant'!$B:$B,MATCH($A2,'Product Variant'!$A:$A,0))</f>
        <v>PRODUCT-00001</v>
      </c>
      <c r="C2" s="18" t="str">
        <f>INDEX(Product!$B:$B,MATCH($B2,Product!$A:$A,0))</f>
        <v>[Greetmed] Phao chống loét cao su</v>
      </c>
      <c r="D2" t="s">
        <v>2367</v>
      </c>
      <c r="E2" s="18" t="str">
        <f>INDEX('Attribute Definition'!$B:$B,MATCH($D2,'Attribute Definition'!$A:$A,0))</f>
        <v>Chất liệu</v>
      </c>
      <c r="F2" s="34" t="s">
        <v>2477</v>
      </c>
    </row>
    <row r="3" spans="1:6" x14ac:dyDescent="0.25">
      <c r="A3" t="s">
        <v>1636</v>
      </c>
      <c r="B3" s="18" t="str">
        <f>INDEX('Product Variant'!$B:$B,MATCH($A3,'Product Variant'!$A:$A,0))</f>
        <v>PRODUCT-00001</v>
      </c>
      <c r="C3" s="18" t="str">
        <f>INDEX(Product!$B:$B,MATCH($B3,Product!$A:$A,0))</f>
        <v>[Greetmed] Phao chống loét cao su</v>
      </c>
      <c r="D3" t="s">
        <v>2471</v>
      </c>
      <c r="E3" s="18" t="str">
        <f>INDEX('Attribute Definition'!$B:$B,MATCH($D3,'Attribute Definition'!$A:$A,0))</f>
        <v>Dạng sản phẩm</v>
      </c>
      <c r="F3" s="34" t="s">
        <v>2478</v>
      </c>
    </row>
    <row r="4" spans="1:6" x14ac:dyDescent="0.25">
      <c r="A4" t="s">
        <v>1637</v>
      </c>
      <c r="B4" s="18" t="str">
        <f>INDEX('Product Variant'!$B:$B,MATCH($A4,'Product Variant'!$A:$A,0))</f>
        <v>PRODUCT-00002</v>
      </c>
      <c r="C4" s="18" t="str">
        <f>INDEX(Product!$B:$B,MATCH($B4,Product!$A:$A,0))</f>
        <v>[iMedicare] Đệm hơi chống lở loét - iAM-8P</v>
      </c>
      <c r="D4" t="s">
        <v>2471</v>
      </c>
      <c r="E4" s="18" t="str">
        <f>INDEX('Attribute Definition'!$B:$B,MATCH($D4,'Attribute Definition'!$A:$A,0))</f>
        <v>Dạng sản phẩm</v>
      </c>
      <c r="F4" s="34" t="s">
        <v>2478</v>
      </c>
    </row>
    <row r="5" spans="1:6" x14ac:dyDescent="0.25">
      <c r="A5" t="s">
        <v>1638</v>
      </c>
      <c r="B5" s="18" t="str">
        <f>INDEX('Product Variant'!$B:$B,MATCH($A5,'Product Variant'!$A:$A,0))</f>
        <v>PRODUCT-00003</v>
      </c>
      <c r="C5" s="18" t="str">
        <f>INDEX(Product!$B:$B,MATCH($B5,Product!$A:$A,0))</f>
        <v>[Lucass] Đệm hơi chống lở loét - LC-389</v>
      </c>
      <c r="D5" t="s">
        <v>2471</v>
      </c>
      <c r="E5" s="18" t="str">
        <f>INDEX('Attribute Definition'!$B:$B,MATCH($D5,'Attribute Definition'!$A:$A,0))</f>
        <v>Dạng sản phẩm</v>
      </c>
      <c r="F5" s="34" t="s">
        <v>2478</v>
      </c>
    </row>
    <row r="6" spans="1:6" x14ac:dyDescent="0.25">
      <c r="A6" t="s">
        <v>1639</v>
      </c>
      <c r="B6" s="18" t="str">
        <f>INDEX('Product Variant'!$B:$B,MATCH($A6,'Product Variant'!$A:$A,0))</f>
        <v>PRODUCT-00004</v>
      </c>
      <c r="C6" s="18" t="str">
        <f>INDEX(Product!$B:$B,MATCH($B6,Product!$A:$A,0))</f>
        <v>[Rionet] Máy trợ thính có dây đeo - HA-20DX</v>
      </c>
      <c r="D6" t="s">
        <v>2429</v>
      </c>
      <c r="E6" s="18" t="str">
        <f>INDEX('Attribute Definition'!$B:$B,MATCH($D6,'Attribute Definition'!$A:$A,0))</f>
        <v>Kết nối</v>
      </c>
      <c r="F6" s="34" t="s">
        <v>2479</v>
      </c>
    </row>
    <row r="7" spans="1:6" x14ac:dyDescent="0.25">
      <c r="A7" t="s">
        <v>1639</v>
      </c>
      <c r="B7" s="18" t="str">
        <f>INDEX('Product Variant'!$B:$B,MATCH($A7,'Product Variant'!$A:$A,0))</f>
        <v>PRODUCT-00004</v>
      </c>
      <c r="C7" s="18" t="str">
        <f>INDEX(Product!$B:$B,MATCH($B7,Product!$A:$A,0))</f>
        <v>[Rionet] Máy trợ thính có dây đeo - HA-20DX</v>
      </c>
      <c r="D7" t="s">
        <v>2434</v>
      </c>
      <c r="E7" s="18" t="str">
        <f>INDEX('Attribute Definition'!$B:$B,MATCH($D7,'Attribute Definition'!$A:$A,0))</f>
        <v>Nguồn điện</v>
      </c>
      <c r="F7" s="34" t="s">
        <v>2480</v>
      </c>
    </row>
    <row r="8" spans="1:6" x14ac:dyDescent="0.25">
      <c r="A8" t="s">
        <v>1639</v>
      </c>
      <c r="B8" s="18" t="str">
        <f>INDEX('Product Variant'!$B:$B,MATCH($A8,'Product Variant'!$A:$A,0))</f>
        <v>PRODUCT-00004</v>
      </c>
      <c r="C8" s="18" t="str">
        <f>INDEX(Product!$B:$B,MATCH($B8,Product!$A:$A,0))</f>
        <v>[Rionet] Máy trợ thính có dây đeo - HA-20DX</v>
      </c>
      <c r="D8" t="s">
        <v>2471</v>
      </c>
      <c r="E8" s="18" t="str">
        <f>INDEX('Attribute Definition'!$B:$B,MATCH($D8,'Attribute Definition'!$A:$A,0))</f>
        <v>Dạng sản phẩm</v>
      </c>
      <c r="F8" s="34" t="s">
        <v>2481</v>
      </c>
    </row>
    <row r="9" spans="1:6" x14ac:dyDescent="0.25">
      <c r="A9" t="s">
        <v>1640</v>
      </c>
      <c r="B9" s="18" t="str">
        <f>INDEX('Product Variant'!$B:$B,MATCH($A9,'Product Variant'!$A:$A,0))</f>
        <v>PRODUCT-00005</v>
      </c>
      <c r="C9" s="18" t="str">
        <f>INDEX(Product!$B:$B,MATCH($B9,Product!$A:$A,0))</f>
        <v>[Rionet] Máy trợ thính không dây - HB-23P</v>
      </c>
      <c r="D9" t="s">
        <v>2429</v>
      </c>
      <c r="E9" s="18" t="str">
        <f>INDEX('Attribute Definition'!$B:$B,MATCH($D9,'Attribute Definition'!$A:$A,0))</f>
        <v>Kết nối</v>
      </c>
      <c r="F9" s="34" t="s">
        <v>2482</v>
      </c>
    </row>
    <row r="10" spans="1:6" x14ac:dyDescent="0.25">
      <c r="A10" t="s">
        <v>1640</v>
      </c>
      <c r="B10" s="18" t="str">
        <f>INDEX('Product Variant'!$B:$B,MATCH($A10,'Product Variant'!$A:$A,0))</f>
        <v>PRODUCT-00005</v>
      </c>
      <c r="C10" s="18" t="str">
        <f>INDEX(Product!$B:$B,MATCH($B10,Product!$A:$A,0))</f>
        <v>[Rionet] Máy trợ thính không dây - HB-23P</v>
      </c>
      <c r="D10" t="s">
        <v>2471</v>
      </c>
      <c r="E10" s="18" t="str">
        <f>INDEX('Attribute Definition'!$B:$B,MATCH($D10,'Attribute Definition'!$A:$A,0))</f>
        <v>Dạng sản phẩm</v>
      </c>
      <c r="F10" s="34" t="s">
        <v>2481</v>
      </c>
    </row>
    <row r="11" spans="1:6" x14ac:dyDescent="0.25">
      <c r="A11" t="s">
        <v>1641</v>
      </c>
      <c r="B11" s="18" t="str">
        <f>INDEX('Product Variant'!$B:$B,MATCH($A11,'Product Variant'!$A:$A,0))</f>
        <v>PRODUCT-00006</v>
      </c>
      <c r="C11" s="18" t="str">
        <f>INDEX(Product!$B:$B,MATCH($B11,Product!$A:$A,0))</f>
        <v>[Rionet] Máy trợ thính không dây thông minh - HM-06</v>
      </c>
      <c r="D11" t="s">
        <v>2429</v>
      </c>
      <c r="E11" s="18" t="str">
        <f>INDEX('Attribute Definition'!$B:$B,MATCH($D11,'Attribute Definition'!$A:$A,0))</f>
        <v>Kết nối</v>
      </c>
      <c r="F11" s="34" t="s">
        <v>2482</v>
      </c>
    </row>
    <row r="12" spans="1:6" x14ac:dyDescent="0.25">
      <c r="A12" t="s">
        <v>1641</v>
      </c>
      <c r="B12" s="18" t="str">
        <f>INDEX('Product Variant'!$B:$B,MATCH($A12,'Product Variant'!$A:$A,0))</f>
        <v>PRODUCT-00006</v>
      </c>
      <c r="C12" s="18" t="str">
        <f>INDEX(Product!$B:$B,MATCH($B12,Product!$A:$A,0))</f>
        <v>[Rionet] Máy trợ thính không dây thông minh - HM-06</v>
      </c>
      <c r="D12" t="s">
        <v>2471</v>
      </c>
      <c r="E12" s="18" t="str">
        <f>INDEX('Attribute Definition'!$B:$B,MATCH($D12,'Attribute Definition'!$A:$A,0))</f>
        <v>Dạng sản phẩm</v>
      </c>
      <c r="F12" s="34" t="s">
        <v>2481</v>
      </c>
    </row>
    <row r="13" spans="1:6" x14ac:dyDescent="0.25">
      <c r="A13" t="s">
        <v>1642</v>
      </c>
      <c r="B13" s="18" t="str">
        <f>INDEX('Product Variant'!$B:$B,MATCH($A13,'Product Variant'!$A:$A,0))</f>
        <v>PRODUCT-00007</v>
      </c>
      <c r="C13" s="18" t="str">
        <f>INDEX(Product!$B:$B,MATCH($B13,Product!$A:$A,0))</f>
        <v>[WaterJet] Máy tăm nước - Cordless Maxi</v>
      </c>
      <c r="D13" t="s">
        <v>2434</v>
      </c>
      <c r="E13" s="18" t="str">
        <f>INDEX('Attribute Definition'!$B:$B,MATCH($D13,'Attribute Definition'!$A:$A,0))</f>
        <v>Nguồn điện</v>
      </c>
      <c r="F13" s="34" t="s">
        <v>2483</v>
      </c>
    </row>
    <row r="14" spans="1:6" x14ac:dyDescent="0.25">
      <c r="A14" t="s">
        <v>1642</v>
      </c>
      <c r="B14" s="18" t="str">
        <f>INDEX('Product Variant'!$B:$B,MATCH($A14,'Product Variant'!$A:$A,0))</f>
        <v>PRODUCT-00007</v>
      </c>
      <c r="C14" s="18" t="str">
        <f>INDEX(Product!$B:$B,MATCH($B14,Product!$A:$A,0))</f>
        <v>[WaterJet] Máy tăm nước - Cordless Maxi</v>
      </c>
      <c r="D14" t="s">
        <v>2471</v>
      </c>
      <c r="E14" s="18" t="str">
        <f>INDEX('Attribute Definition'!$B:$B,MATCH($D14,'Attribute Definition'!$A:$A,0))</f>
        <v>Dạng sản phẩm</v>
      </c>
      <c r="F14" s="34" t="s">
        <v>2481</v>
      </c>
    </row>
    <row r="15" spans="1:6" x14ac:dyDescent="0.25">
      <c r="A15" t="s">
        <v>1643</v>
      </c>
      <c r="B15" s="18" t="str">
        <f>INDEX('Product Variant'!$B:$B,MATCH($A15,'Product Variant'!$A:$A,0))</f>
        <v>PRODUCT-00008</v>
      </c>
      <c r="C15" s="18" t="str">
        <f>INDEX(Product!$B:$B,MATCH($B15,Product!$A:$A,0))</f>
        <v>[Young Chemical Vina] Miếng dán mụn - Somaderm Spot S (32 miếng)</v>
      </c>
      <c r="D15" t="s">
        <v>2362</v>
      </c>
      <c r="E15" s="18" t="str">
        <f>INDEX('Attribute Definition'!$B:$B,MATCH($D15,'Attribute Definition'!$A:$A,0))</f>
        <v>Số miếng / hộp</v>
      </c>
      <c r="F15" s="34" t="s">
        <v>833</v>
      </c>
    </row>
    <row r="16" spans="1:6" x14ac:dyDescent="0.25">
      <c r="A16" t="s">
        <v>1643</v>
      </c>
      <c r="B16" s="18" t="str">
        <f>INDEX('Product Variant'!$B:$B,MATCH($A16,'Product Variant'!$A:$A,0))</f>
        <v>PRODUCT-00008</v>
      </c>
      <c r="C16" s="18" t="str">
        <f>INDEX(Product!$B:$B,MATCH($B16,Product!$A:$A,0))</f>
        <v>[Young Chemical Vina] Miếng dán mụn - Somaderm Spot S (32 miếng)</v>
      </c>
      <c r="D16" t="s">
        <v>2367</v>
      </c>
      <c r="E16" s="18" t="str">
        <f>INDEX('Attribute Definition'!$B:$B,MATCH($D16,'Attribute Definition'!$A:$A,0))</f>
        <v>Chất liệu</v>
      </c>
      <c r="F16" s="34" t="s">
        <v>2484</v>
      </c>
    </row>
    <row r="17" spans="1:6" x14ac:dyDescent="0.25">
      <c r="A17" t="s">
        <v>1643</v>
      </c>
      <c r="B17" s="18" t="str">
        <f>INDEX('Product Variant'!$B:$B,MATCH($A17,'Product Variant'!$A:$A,0))</f>
        <v>PRODUCT-00008</v>
      </c>
      <c r="C17" s="18" t="str">
        <f>INDEX(Product!$B:$B,MATCH($B17,Product!$A:$A,0))</f>
        <v>[Young Chemical Vina] Miếng dán mụn - Somaderm Spot S (32 miếng)</v>
      </c>
      <c r="D17" t="s">
        <v>2381</v>
      </c>
      <c r="E17" s="18" t="str">
        <f>INDEX('Attribute Definition'!$B:$B,MATCH($D17,'Attribute Definition'!$A:$A,0))</f>
        <v>Chống nước</v>
      </c>
      <c r="F17" s="34" t="s">
        <v>2485</v>
      </c>
    </row>
    <row r="18" spans="1:6" x14ac:dyDescent="0.25">
      <c r="A18" t="s">
        <v>1643</v>
      </c>
      <c r="B18" s="18" t="str">
        <f>INDEX('Product Variant'!$B:$B,MATCH($A18,'Product Variant'!$A:$A,0))</f>
        <v>PRODUCT-00008</v>
      </c>
      <c r="C18" s="18" t="str">
        <f>INDEX(Product!$B:$B,MATCH($B18,Product!$A:$A,0))</f>
        <v>[Young Chemical Vina] Miếng dán mụn - Somaderm Spot S (32 miếng)</v>
      </c>
      <c r="D18" t="s">
        <v>2471</v>
      </c>
      <c r="E18" s="18" t="str">
        <f>INDEX('Attribute Definition'!$B:$B,MATCH($D18,'Attribute Definition'!$A:$A,0))</f>
        <v>Dạng sản phẩm</v>
      </c>
      <c r="F18" s="34" t="s">
        <v>2486</v>
      </c>
    </row>
    <row r="19" spans="1:6" x14ac:dyDescent="0.25">
      <c r="A19" t="s">
        <v>1644</v>
      </c>
      <c r="B19" s="18" t="str">
        <f>INDEX('Product Variant'!$B:$B,MATCH($A19,'Product Variant'!$A:$A,0))</f>
        <v>PRODUCT-00250</v>
      </c>
      <c r="C19" s="18" t="str">
        <f>INDEX(Product!$B:$B,MATCH($B19,Product!$A:$A,0))</f>
        <v>[Young Chemical Vina] Miếng dán mụn - Somaderm Spot (24 miếng)</v>
      </c>
      <c r="D19" t="s">
        <v>2362</v>
      </c>
      <c r="E19" s="18" t="str">
        <f>INDEX('Attribute Definition'!$B:$B,MATCH($D19,'Attribute Definition'!$A:$A,0))</f>
        <v>Số miếng / hộp</v>
      </c>
      <c r="F19" s="34" t="s">
        <v>835</v>
      </c>
    </row>
    <row r="20" spans="1:6" x14ac:dyDescent="0.25">
      <c r="A20" t="s">
        <v>1644</v>
      </c>
      <c r="B20" s="18" t="str">
        <f>INDEX('Product Variant'!$B:$B,MATCH($A20,'Product Variant'!$A:$A,0))</f>
        <v>PRODUCT-00250</v>
      </c>
      <c r="C20" s="18" t="str">
        <f>INDEX(Product!$B:$B,MATCH($B20,Product!$A:$A,0))</f>
        <v>[Young Chemical Vina] Miếng dán mụn - Somaderm Spot (24 miếng)</v>
      </c>
      <c r="D20" t="s">
        <v>2367</v>
      </c>
      <c r="E20" s="18" t="str">
        <f>INDEX('Attribute Definition'!$B:$B,MATCH($D20,'Attribute Definition'!$A:$A,0))</f>
        <v>Chất liệu</v>
      </c>
      <c r="F20" s="34" t="s">
        <v>2484</v>
      </c>
    </row>
    <row r="21" spans="1:6" x14ac:dyDescent="0.25">
      <c r="A21" t="s">
        <v>1644</v>
      </c>
      <c r="B21" s="18" t="str">
        <f>INDEX('Product Variant'!$B:$B,MATCH($A21,'Product Variant'!$A:$A,0))</f>
        <v>PRODUCT-00250</v>
      </c>
      <c r="C21" s="18" t="str">
        <f>INDEX(Product!$B:$B,MATCH($B21,Product!$A:$A,0))</f>
        <v>[Young Chemical Vina] Miếng dán mụn - Somaderm Spot (24 miếng)</v>
      </c>
      <c r="D21" t="s">
        <v>2381</v>
      </c>
      <c r="E21" s="18" t="str">
        <f>INDEX('Attribute Definition'!$B:$B,MATCH($D21,'Attribute Definition'!$A:$A,0))</f>
        <v>Chống nước</v>
      </c>
      <c r="F21" s="34" t="s">
        <v>2485</v>
      </c>
    </row>
    <row r="22" spans="1:6" x14ac:dyDescent="0.25">
      <c r="A22" t="s">
        <v>1644</v>
      </c>
      <c r="B22" s="18" t="str">
        <f>INDEX('Product Variant'!$B:$B,MATCH($A22,'Product Variant'!$A:$A,0))</f>
        <v>PRODUCT-00250</v>
      </c>
      <c r="C22" s="18" t="str">
        <f>INDEX(Product!$B:$B,MATCH($B22,Product!$A:$A,0))</f>
        <v>[Young Chemical Vina] Miếng dán mụn - Somaderm Spot (24 miếng)</v>
      </c>
      <c r="D22" t="s">
        <v>2471</v>
      </c>
      <c r="E22" s="18" t="str">
        <f>INDEX('Attribute Definition'!$B:$B,MATCH($D22,'Attribute Definition'!$A:$A,0))</f>
        <v>Dạng sản phẩm</v>
      </c>
      <c r="F22" s="34" t="s">
        <v>2486</v>
      </c>
    </row>
    <row r="23" spans="1:6" x14ac:dyDescent="0.25">
      <c r="A23" t="s">
        <v>1645</v>
      </c>
      <c r="B23" s="18" t="str">
        <f>INDEX('Product Variant'!$B:$B,MATCH($A23,'Product Variant'!$A:$A,0))</f>
        <v>PRODUCT-00251</v>
      </c>
      <c r="C23" s="18" t="str">
        <f>INDEX(Product!$B:$B,MATCH($B23,Product!$A:$A,0))</f>
        <v>[Young Chemical Vina] Miếng dán mụn - Somaderm Spot (18 miếng)</v>
      </c>
      <c r="D23" t="s">
        <v>2362</v>
      </c>
      <c r="E23" s="18" t="str">
        <f>INDEX('Attribute Definition'!$B:$B,MATCH($D23,'Attribute Definition'!$A:$A,0))</f>
        <v>Số miếng / hộp</v>
      </c>
      <c r="F23" s="34" t="s">
        <v>837</v>
      </c>
    </row>
    <row r="24" spans="1:6" x14ac:dyDescent="0.25">
      <c r="A24" t="s">
        <v>1645</v>
      </c>
      <c r="B24" s="18" t="str">
        <f>INDEX('Product Variant'!$B:$B,MATCH($A24,'Product Variant'!$A:$A,0))</f>
        <v>PRODUCT-00251</v>
      </c>
      <c r="C24" s="18" t="str">
        <f>INDEX(Product!$B:$B,MATCH($B24,Product!$A:$A,0))</f>
        <v>[Young Chemical Vina] Miếng dán mụn - Somaderm Spot (18 miếng)</v>
      </c>
      <c r="D24" t="s">
        <v>2367</v>
      </c>
      <c r="E24" s="18" t="str">
        <f>INDEX('Attribute Definition'!$B:$B,MATCH($D24,'Attribute Definition'!$A:$A,0))</f>
        <v>Chất liệu</v>
      </c>
      <c r="F24" s="34" t="s">
        <v>2484</v>
      </c>
    </row>
    <row r="25" spans="1:6" x14ac:dyDescent="0.25">
      <c r="A25" t="s">
        <v>1645</v>
      </c>
      <c r="B25" s="18" t="str">
        <f>INDEX('Product Variant'!$B:$B,MATCH($A25,'Product Variant'!$A:$A,0))</f>
        <v>PRODUCT-00251</v>
      </c>
      <c r="C25" s="18" t="str">
        <f>INDEX(Product!$B:$B,MATCH($B25,Product!$A:$A,0))</f>
        <v>[Young Chemical Vina] Miếng dán mụn - Somaderm Spot (18 miếng)</v>
      </c>
      <c r="D25" t="s">
        <v>2381</v>
      </c>
      <c r="E25" s="18" t="str">
        <f>INDEX('Attribute Definition'!$B:$B,MATCH($D25,'Attribute Definition'!$A:$A,0))</f>
        <v>Chống nước</v>
      </c>
      <c r="F25" s="34" t="s">
        <v>2485</v>
      </c>
    </row>
    <row r="26" spans="1:6" x14ac:dyDescent="0.25">
      <c r="A26" t="s">
        <v>1645</v>
      </c>
      <c r="B26" s="18" t="str">
        <f>INDEX('Product Variant'!$B:$B,MATCH($A26,'Product Variant'!$A:$A,0))</f>
        <v>PRODUCT-00251</v>
      </c>
      <c r="C26" s="18" t="str">
        <f>INDEX(Product!$B:$B,MATCH($B26,Product!$A:$A,0))</f>
        <v>[Young Chemical Vina] Miếng dán mụn - Somaderm Spot (18 miếng)</v>
      </c>
      <c r="D26" t="s">
        <v>2471</v>
      </c>
      <c r="E26" s="18" t="str">
        <f>INDEX('Attribute Definition'!$B:$B,MATCH($D26,'Attribute Definition'!$A:$A,0))</f>
        <v>Dạng sản phẩm</v>
      </c>
      <c r="F26" s="34" t="s">
        <v>2486</v>
      </c>
    </row>
    <row r="27" spans="1:6" x14ac:dyDescent="0.25">
      <c r="A27" t="s">
        <v>1646</v>
      </c>
      <c r="B27" s="18" t="str">
        <f>INDEX('Product Variant'!$B:$B,MATCH($A27,'Product Variant'!$A:$A,0))</f>
        <v>PRODUCT-00009</v>
      </c>
      <c r="C27" s="18" t="str">
        <f>INDEX(Product!$B:$B,MATCH($B27,Product!$A:$A,0))</f>
        <v>[Young Chemical Vina] Miếng dán mụn - Somaderm-Thin (Ø10mm)</v>
      </c>
      <c r="D27" t="s">
        <v>2342</v>
      </c>
      <c r="E27" s="18" t="str">
        <f>INDEX('Attribute Definition'!$B:$B,MATCH($D27,'Attribute Definition'!$A:$A,0))</f>
        <v>Kích thước</v>
      </c>
      <c r="F27" s="34" t="s">
        <v>2487</v>
      </c>
    </row>
    <row r="28" spans="1:6" x14ac:dyDescent="0.25">
      <c r="A28" t="s">
        <v>1646</v>
      </c>
      <c r="B28" s="18" t="str">
        <f>INDEX('Product Variant'!$B:$B,MATCH($A28,'Product Variant'!$A:$A,0))</f>
        <v>PRODUCT-00009</v>
      </c>
      <c r="C28" s="18" t="str">
        <f>INDEX(Product!$B:$B,MATCH($B28,Product!$A:$A,0))</f>
        <v>[Young Chemical Vina] Miếng dán mụn - Somaderm-Thin (Ø10mm)</v>
      </c>
      <c r="D28" t="s">
        <v>2367</v>
      </c>
      <c r="E28" s="18" t="str">
        <f>INDEX('Attribute Definition'!$B:$B,MATCH($D28,'Attribute Definition'!$A:$A,0))</f>
        <v>Chất liệu</v>
      </c>
      <c r="F28" s="34" t="s">
        <v>2484</v>
      </c>
    </row>
    <row r="29" spans="1:6" x14ac:dyDescent="0.25">
      <c r="A29" t="s">
        <v>1646</v>
      </c>
      <c r="B29" s="18" t="str">
        <f>INDEX('Product Variant'!$B:$B,MATCH($A29,'Product Variant'!$A:$A,0))</f>
        <v>PRODUCT-00009</v>
      </c>
      <c r="C29" s="18" t="str">
        <f>INDEX(Product!$B:$B,MATCH($B29,Product!$A:$A,0))</f>
        <v>[Young Chemical Vina] Miếng dán mụn - Somaderm-Thin (Ø10mm)</v>
      </c>
      <c r="D29" t="s">
        <v>2471</v>
      </c>
      <c r="E29" s="18" t="str">
        <f>INDEX('Attribute Definition'!$B:$B,MATCH($D29,'Attribute Definition'!$A:$A,0))</f>
        <v>Dạng sản phẩm</v>
      </c>
      <c r="F29" s="34" t="s">
        <v>2486</v>
      </c>
    </row>
    <row r="30" spans="1:6" x14ac:dyDescent="0.25">
      <c r="A30" t="s">
        <v>1647</v>
      </c>
      <c r="B30" s="18" t="str">
        <f>INDEX('Product Variant'!$B:$B,MATCH($A30,'Product Variant'!$A:$A,0))</f>
        <v>PRODUCT-00010</v>
      </c>
      <c r="C30" s="18" t="str">
        <f>INDEX(Product!$B:$B,MATCH($B30,Product!$A:$A,0))</f>
        <v>Mặt nạ xông hơi mắt ngải cứu - Mugwort Steam Eyes Mask</v>
      </c>
      <c r="D30" t="s">
        <v>2367</v>
      </c>
      <c r="E30" s="18" t="str">
        <f>INDEX('Attribute Definition'!$B:$B,MATCH($D30,'Attribute Definition'!$A:$A,0))</f>
        <v>Chất liệu</v>
      </c>
      <c r="F30" s="34" t="s">
        <v>2488</v>
      </c>
    </row>
    <row r="31" spans="1:6" x14ac:dyDescent="0.25">
      <c r="A31" t="s">
        <v>1647</v>
      </c>
      <c r="B31" s="18" t="str">
        <f>INDEX('Product Variant'!$B:$B,MATCH($A31,'Product Variant'!$A:$A,0))</f>
        <v>PRODUCT-00010</v>
      </c>
      <c r="C31" s="18" t="str">
        <f>INDEX(Product!$B:$B,MATCH($B31,Product!$A:$A,0))</f>
        <v>Mặt nạ xông hơi mắt ngải cứu - Mugwort Steam Eyes Mask</v>
      </c>
      <c r="D31" t="s">
        <v>2439</v>
      </c>
      <c r="E31" s="18" t="str">
        <f>INDEX('Attribute Definition'!$B:$B,MATCH($D31,'Attribute Definition'!$A:$A,0))</f>
        <v>Vị trí sử dụng trên cơ thể</v>
      </c>
      <c r="F31" s="34" t="s">
        <v>2489</v>
      </c>
    </row>
    <row r="32" spans="1:6" x14ac:dyDescent="0.25">
      <c r="A32" t="s">
        <v>1647</v>
      </c>
      <c r="B32" s="18" t="str">
        <f>INDEX('Product Variant'!$B:$B,MATCH($A32,'Product Variant'!$A:$A,0))</f>
        <v>PRODUCT-00010</v>
      </c>
      <c r="C32" s="18" t="str">
        <f>INDEX(Product!$B:$B,MATCH($B32,Product!$A:$A,0))</f>
        <v>Mặt nạ xông hơi mắt ngải cứu - Mugwort Steam Eyes Mask</v>
      </c>
      <c r="D32" t="s">
        <v>2471</v>
      </c>
      <c r="E32" s="18" t="str">
        <f>INDEX('Attribute Definition'!$B:$B,MATCH($D32,'Attribute Definition'!$A:$A,0))</f>
        <v>Dạng sản phẩm</v>
      </c>
      <c r="F32" s="34" t="s">
        <v>2486</v>
      </c>
    </row>
    <row r="33" spans="1:6" x14ac:dyDescent="0.25">
      <c r="A33" t="s">
        <v>1648</v>
      </c>
      <c r="B33" s="18" t="str">
        <f>INDEX('Product Variant'!$B:$B,MATCH($A33,'Product Variant'!$A:$A,0))</f>
        <v>PRODUCT-00011</v>
      </c>
      <c r="C33" s="18" t="str">
        <f>INDEX(Product!$B:$B,MATCH($B33,Product!$A:$A,0))</f>
        <v>[3M™] Bộ gạc xốp phủ vết thương điều trị áp lực âm VAC kèm chức năng rửa - Veraflo™</v>
      </c>
      <c r="D33" t="s">
        <v>2471</v>
      </c>
      <c r="E33" s="18" t="str">
        <f>INDEX('Attribute Definition'!$B:$B,MATCH($D33,'Attribute Definition'!$A:$A,0))</f>
        <v>Dạng sản phẩm</v>
      </c>
      <c r="F33" s="34" t="s">
        <v>2490</v>
      </c>
    </row>
    <row r="34" spans="1:6" x14ac:dyDescent="0.25">
      <c r="A34" t="s">
        <v>1649</v>
      </c>
      <c r="B34" s="18" t="str">
        <f>INDEX('Product Variant'!$B:$B,MATCH($A34,'Product Variant'!$A:$A,0))</f>
        <v>PRODUCT-00012</v>
      </c>
      <c r="C34" s="18" t="str">
        <f>INDEX(Product!$B:$B,MATCH($B34,Product!$A:$A,0))</f>
        <v>[3M™] Miếng dán vết thương thay chỉ khâu - STERI-STRIP™ (3mmx75mm)</v>
      </c>
      <c r="D34" t="s">
        <v>2342</v>
      </c>
      <c r="E34" s="18" t="str">
        <f>INDEX('Attribute Definition'!$B:$B,MATCH($D34,'Attribute Definition'!$A:$A,0))</f>
        <v>Kích thước</v>
      </c>
      <c r="F34" s="34" t="s">
        <v>2491</v>
      </c>
    </row>
    <row r="35" spans="1:6" x14ac:dyDescent="0.25">
      <c r="A35" t="s">
        <v>1649</v>
      </c>
      <c r="B35" s="18" t="str">
        <f>INDEX('Product Variant'!$B:$B,MATCH($A35,'Product Variant'!$A:$A,0))</f>
        <v>PRODUCT-00012</v>
      </c>
      <c r="C35" s="18" t="str">
        <f>INDEX(Product!$B:$B,MATCH($B35,Product!$A:$A,0))</f>
        <v>[3M™] Miếng dán vết thương thay chỉ khâu - STERI-STRIP™ (3mmx75mm)</v>
      </c>
      <c r="D35" t="s">
        <v>2471</v>
      </c>
      <c r="E35" s="18" t="str">
        <f>INDEX('Attribute Definition'!$B:$B,MATCH($D35,'Attribute Definition'!$A:$A,0))</f>
        <v>Dạng sản phẩm</v>
      </c>
      <c r="F35" s="34" t="s">
        <v>2486</v>
      </c>
    </row>
    <row r="36" spans="1:6" x14ac:dyDescent="0.25">
      <c r="A36" t="s">
        <v>1650</v>
      </c>
      <c r="B36" s="18" t="str">
        <f>INDEX('Product Variant'!$B:$B,MATCH($A36,'Product Variant'!$A:$A,0))</f>
        <v>PRODUCT-00252</v>
      </c>
      <c r="C36" s="18" t="str">
        <f>INDEX(Product!$B:$B,MATCH($B36,Product!$A:$A,0))</f>
        <v>[3M™] Miếng dán vết thương thay chỉ khâu - STERI-STRIP™ (6mmx100mm)</v>
      </c>
      <c r="D36" t="s">
        <v>2342</v>
      </c>
      <c r="E36" s="18" t="str">
        <f>INDEX('Attribute Definition'!$B:$B,MATCH($D36,'Attribute Definition'!$A:$A,0))</f>
        <v>Kích thước</v>
      </c>
      <c r="F36" s="34" t="s">
        <v>2622</v>
      </c>
    </row>
    <row r="37" spans="1:6" x14ac:dyDescent="0.25">
      <c r="A37" t="s">
        <v>1650</v>
      </c>
      <c r="B37" s="18" t="str">
        <f>INDEX('Product Variant'!$B:$B,MATCH($A37,'Product Variant'!$A:$A,0))</f>
        <v>PRODUCT-00252</v>
      </c>
      <c r="C37" s="18" t="str">
        <f>INDEX(Product!$B:$B,MATCH($B37,Product!$A:$A,0))</f>
        <v>[3M™] Miếng dán vết thương thay chỉ khâu - STERI-STRIP™ (6mmx100mm)</v>
      </c>
      <c r="D37" t="s">
        <v>2471</v>
      </c>
      <c r="E37" s="18" t="str">
        <f>INDEX('Attribute Definition'!$B:$B,MATCH($D37,'Attribute Definition'!$A:$A,0))</f>
        <v>Dạng sản phẩm</v>
      </c>
      <c r="F37" s="34" t="s">
        <v>2486</v>
      </c>
    </row>
    <row r="38" spans="1:6" x14ac:dyDescent="0.25">
      <c r="A38" t="s">
        <v>1651</v>
      </c>
      <c r="B38" s="18" t="str">
        <f>INDEX('Product Variant'!$B:$B,MATCH($A38,'Product Variant'!$A:$A,0))</f>
        <v>PRODUCT-00253</v>
      </c>
      <c r="C38" s="18" t="str">
        <f>INDEX(Product!$B:$B,MATCH($B38,Product!$A:$A,0))</f>
        <v>[3M™] Miếng dán vết thương thay chỉ khâu - STERI-STRIP™ (12mmx100mm)</v>
      </c>
      <c r="D38" t="s">
        <v>2342</v>
      </c>
      <c r="E38" s="18" t="str">
        <f>INDEX('Attribute Definition'!$B:$B,MATCH($D38,'Attribute Definition'!$A:$A,0))</f>
        <v>Kích thước</v>
      </c>
      <c r="F38" s="34" t="s">
        <v>2623</v>
      </c>
    </row>
    <row r="39" spans="1:6" x14ac:dyDescent="0.25">
      <c r="A39" t="s">
        <v>1651</v>
      </c>
      <c r="B39" s="18" t="str">
        <f>INDEX('Product Variant'!$B:$B,MATCH($A39,'Product Variant'!$A:$A,0))</f>
        <v>PRODUCT-00253</v>
      </c>
      <c r="C39" s="18" t="str">
        <f>INDEX(Product!$B:$B,MATCH($B39,Product!$A:$A,0))</f>
        <v>[3M™] Miếng dán vết thương thay chỉ khâu - STERI-STRIP™ (12mmx100mm)</v>
      </c>
      <c r="D39" t="s">
        <v>2471</v>
      </c>
      <c r="E39" s="18" t="str">
        <f>INDEX('Attribute Definition'!$B:$B,MATCH($D39,'Attribute Definition'!$A:$A,0))</f>
        <v>Dạng sản phẩm</v>
      </c>
      <c r="F39" s="34" t="s">
        <v>2486</v>
      </c>
    </row>
    <row r="40" spans="1:6" x14ac:dyDescent="0.25">
      <c r="A40" t="s">
        <v>1652</v>
      </c>
      <c r="B40" s="18" t="str">
        <f>INDEX('Product Variant'!$B:$B,MATCH($A40,'Product Variant'!$A:$A,0))</f>
        <v>PRODUCT-00013</v>
      </c>
      <c r="C40" s="18" t="str">
        <f>INDEX(Product!$B:$B,MATCH($B40,Product!$A:$A,0))</f>
        <v>[3M™] Xịt bảo vệ chống hăm loét da - Cavilon (28ml)</v>
      </c>
      <c r="D40" t="s">
        <v>2349</v>
      </c>
      <c r="E40" s="18" t="str">
        <f>INDEX('Attribute Definition'!$B:$B,MATCH($D40,'Attribute Definition'!$A:$A,0))</f>
        <v>Dung tích</v>
      </c>
      <c r="F40" s="34" t="s">
        <v>2492</v>
      </c>
    </row>
    <row r="41" spans="1:6" x14ac:dyDescent="0.25">
      <c r="A41" t="s">
        <v>1652</v>
      </c>
      <c r="B41" s="18" t="str">
        <f>INDEX('Product Variant'!$B:$B,MATCH($A41,'Product Variant'!$A:$A,0))</f>
        <v>PRODUCT-00013</v>
      </c>
      <c r="C41" s="18" t="str">
        <f>INDEX(Product!$B:$B,MATCH($B41,Product!$A:$A,0))</f>
        <v>[3M™] Xịt bảo vệ chống hăm loét da - Cavilon (28ml)</v>
      </c>
      <c r="D41" t="s">
        <v>2471</v>
      </c>
      <c r="E41" s="18" t="str">
        <f>INDEX('Attribute Definition'!$B:$B,MATCH($D41,'Attribute Definition'!$A:$A,0))</f>
        <v>Dạng sản phẩm</v>
      </c>
      <c r="F41" s="34" t="s">
        <v>2493</v>
      </c>
    </row>
    <row r="42" spans="1:6" x14ac:dyDescent="0.25">
      <c r="A42" t="s">
        <v>1653</v>
      </c>
      <c r="B42" s="18" t="str">
        <f>INDEX('Product Variant'!$B:$B,MATCH($A42,'Product Variant'!$A:$A,0))</f>
        <v>PRODUCT-00014</v>
      </c>
      <c r="C42" s="18" t="str">
        <f>INDEX(Product!$B:$B,MATCH($B42,Product!$A:$A,0))</f>
        <v>[ConvaTec] Băng dán vết thương - DuoDerm Extra Thin (10cmx10cm)</v>
      </c>
      <c r="D42" t="s">
        <v>2342</v>
      </c>
      <c r="E42" s="18" t="str">
        <f>INDEX('Attribute Definition'!$B:$B,MATCH($D42,'Attribute Definition'!$A:$A,0))</f>
        <v>Kích thước</v>
      </c>
      <c r="F42" s="34" t="s">
        <v>2494</v>
      </c>
    </row>
    <row r="43" spans="1:6" x14ac:dyDescent="0.25">
      <c r="A43" t="s">
        <v>1653</v>
      </c>
      <c r="B43" s="18" t="str">
        <f>INDEX('Product Variant'!$B:$B,MATCH($A43,'Product Variant'!$A:$A,0))</f>
        <v>PRODUCT-00014</v>
      </c>
      <c r="C43" s="18" t="str">
        <f>INDEX(Product!$B:$B,MATCH($B43,Product!$A:$A,0))</f>
        <v>[ConvaTec] Băng dán vết thương - DuoDerm Extra Thin (10cmx10cm)</v>
      </c>
      <c r="D43" t="s">
        <v>2367</v>
      </c>
      <c r="E43" s="18" t="str">
        <f>INDEX('Attribute Definition'!$B:$B,MATCH($D43,'Attribute Definition'!$A:$A,0))</f>
        <v>Chất liệu</v>
      </c>
      <c r="F43" s="34" t="s">
        <v>2484</v>
      </c>
    </row>
    <row r="44" spans="1:6" x14ac:dyDescent="0.25">
      <c r="A44" t="s">
        <v>1653</v>
      </c>
      <c r="B44" s="18" t="str">
        <f>INDEX('Product Variant'!$B:$B,MATCH($A44,'Product Variant'!$A:$A,0))</f>
        <v>PRODUCT-00014</v>
      </c>
      <c r="C44" s="18" t="str">
        <f>INDEX(Product!$B:$B,MATCH($B44,Product!$A:$A,0))</f>
        <v>[ConvaTec] Băng dán vết thương - DuoDerm Extra Thin (10cmx10cm)</v>
      </c>
      <c r="D44" t="s">
        <v>2381</v>
      </c>
      <c r="E44" s="18" t="str">
        <f>INDEX('Attribute Definition'!$B:$B,MATCH($D44,'Attribute Definition'!$A:$A,0))</f>
        <v>Chống nước</v>
      </c>
      <c r="F44" s="34" t="s">
        <v>2485</v>
      </c>
    </row>
    <row r="45" spans="1:6" x14ac:dyDescent="0.25">
      <c r="A45" t="s">
        <v>1653</v>
      </c>
      <c r="B45" s="18" t="str">
        <f>INDEX('Product Variant'!$B:$B,MATCH($A45,'Product Variant'!$A:$A,0))</f>
        <v>PRODUCT-00014</v>
      </c>
      <c r="C45" s="18" t="str">
        <f>INDEX(Product!$B:$B,MATCH($B45,Product!$A:$A,0))</f>
        <v>[ConvaTec] Băng dán vết thương - DuoDerm Extra Thin (10cmx10cm)</v>
      </c>
      <c r="D45" t="s">
        <v>2471</v>
      </c>
      <c r="E45" s="18" t="str">
        <f>INDEX('Attribute Definition'!$B:$B,MATCH($D45,'Attribute Definition'!$A:$A,0))</f>
        <v>Dạng sản phẩm</v>
      </c>
      <c r="F45" s="34" t="s">
        <v>2486</v>
      </c>
    </row>
    <row r="46" spans="1:6" x14ac:dyDescent="0.25">
      <c r="A46" t="s">
        <v>1654</v>
      </c>
      <c r="B46" s="18" t="str">
        <f>INDEX('Product Variant'!$B:$B,MATCH($A46,'Product Variant'!$A:$A,0))</f>
        <v>PRODUCT-00254</v>
      </c>
      <c r="C46" s="18" t="str">
        <f>INDEX(Product!$B:$B,MATCH($B46,Product!$A:$A,0))</f>
        <v>[ConvaTec] Băng dán vết thương - DuoDerm Extra Thin (5cmx20cm)</v>
      </c>
      <c r="D46" t="s">
        <v>2342</v>
      </c>
      <c r="E46" s="18" t="str">
        <f>INDEX('Attribute Definition'!$B:$B,MATCH($D46,'Attribute Definition'!$A:$A,0))</f>
        <v>Kích thước</v>
      </c>
      <c r="F46" s="34" t="s">
        <v>2624</v>
      </c>
    </row>
    <row r="47" spans="1:6" x14ac:dyDescent="0.25">
      <c r="A47" t="s">
        <v>1654</v>
      </c>
      <c r="B47" s="18" t="str">
        <f>INDEX('Product Variant'!$B:$B,MATCH($A47,'Product Variant'!$A:$A,0))</f>
        <v>PRODUCT-00254</v>
      </c>
      <c r="C47" s="18" t="str">
        <f>INDEX(Product!$B:$B,MATCH($B47,Product!$A:$A,0))</f>
        <v>[ConvaTec] Băng dán vết thương - DuoDerm Extra Thin (5cmx20cm)</v>
      </c>
      <c r="D47" t="s">
        <v>2367</v>
      </c>
      <c r="E47" s="18" t="str">
        <f>INDEX('Attribute Definition'!$B:$B,MATCH($D47,'Attribute Definition'!$A:$A,0))</f>
        <v>Chất liệu</v>
      </c>
      <c r="F47" s="34" t="s">
        <v>2484</v>
      </c>
    </row>
    <row r="48" spans="1:6" x14ac:dyDescent="0.25">
      <c r="A48" t="s">
        <v>1654</v>
      </c>
      <c r="B48" s="18" t="str">
        <f>INDEX('Product Variant'!$B:$B,MATCH($A48,'Product Variant'!$A:$A,0))</f>
        <v>PRODUCT-00254</v>
      </c>
      <c r="C48" s="18" t="str">
        <f>INDEX(Product!$B:$B,MATCH($B48,Product!$A:$A,0))</f>
        <v>[ConvaTec] Băng dán vết thương - DuoDerm Extra Thin (5cmx20cm)</v>
      </c>
      <c r="D48" t="s">
        <v>2381</v>
      </c>
      <c r="E48" s="18" t="str">
        <f>INDEX('Attribute Definition'!$B:$B,MATCH($D48,'Attribute Definition'!$A:$A,0))</f>
        <v>Chống nước</v>
      </c>
      <c r="F48" s="34" t="s">
        <v>2485</v>
      </c>
    </row>
    <row r="49" spans="1:6" x14ac:dyDescent="0.25">
      <c r="A49" t="s">
        <v>1654</v>
      </c>
      <c r="B49" s="18" t="str">
        <f>INDEX('Product Variant'!$B:$B,MATCH($A49,'Product Variant'!$A:$A,0))</f>
        <v>PRODUCT-00254</v>
      </c>
      <c r="C49" s="18" t="str">
        <f>INDEX(Product!$B:$B,MATCH($B49,Product!$A:$A,0))</f>
        <v>[ConvaTec] Băng dán vết thương - DuoDerm Extra Thin (5cmx20cm)</v>
      </c>
      <c r="D49" t="s">
        <v>2471</v>
      </c>
      <c r="E49" s="18" t="str">
        <f>INDEX('Attribute Definition'!$B:$B,MATCH($D49,'Attribute Definition'!$A:$A,0))</f>
        <v>Dạng sản phẩm</v>
      </c>
      <c r="F49" s="34" t="s">
        <v>2486</v>
      </c>
    </row>
    <row r="50" spans="1:6" x14ac:dyDescent="0.25">
      <c r="A50" t="s">
        <v>1655</v>
      </c>
      <c r="B50" s="18" t="str">
        <f>INDEX('Product Variant'!$B:$B,MATCH($A50,'Product Variant'!$A:$A,0))</f>
        <v>PRODUCT-00255</v>
      </c>
      <c r="C50" s="18" t="str">
        <f>INDEX(Product!$B:$B,MATCH($B50,Product!$A:$A,0))</f>
        <v>[ConvaTec] Băng dán vết thương - DuoDerm Extra Thin (5cmx10cm)</v>
      </c>
      <c r="D50" t="s">
        <v>2342</v>
      </c>
      <c r="E50" s="18" t="str">
        <f>INDEX('Attribute Definition'!$B:$B,MATCH($D50,'Attribute Definition'!$A:$A,0))</f>
        <v>Kích thước</v>
      </c>
      <c r="F50" s="34" t="s">
        <v>2625</v>
      </c>
    </row>
    <row r="51" spans="1:6" x14ac:dyDescent="0.25">
      <c r="A51" t="s">
        <v>1655</v>
      </c>
      <c r="B51" s="18" t="str">
        <f>INDEX('Product Variant'!$B:$B,MATCH($A51,'Product Variant'!$A:$A,0))</f>
        <v>PRODUCT-00255</v>
      </c>
      <c r="C51" s="18" t="str">
        <f>INDEX(Product!$B:$B,MATCH($B51,Product!$A:$A,0))</f>
        <v>[ConvaTec] Băng dán vết thương - DuoDerm Extra Thin (5cmx10cm)</v>
      </c>
      <c r="D51" t="s">
        <v>2367</v>
      </c>
      <c r="E51" s="18" t="str">
        <f>INDEX('Attribute Definition'!$B:$B,MATCH($D51,'Attribute Definition'!$A:$A,0))</f>
        <v>Chất liệu</v>
      </c>
      <c r="F51" s="34" t="s">
        <v>2484</v>
      </c>
    </row>
    <row r="52" spans="1:6" x14ac:dyDescent="0.25">
      <c r="A52" t="s">
        <v>1655</v>
      </c>
      <c r="B52" s="18" t="str">
        <f>INDEX('Product Variant'!$B:$B,MATCH($A52,'Product Variant'!$A:$A,0))</f>
        <v>PRODUCT-00255</v>
      </c>
      <c r="C52" s="18" t="str">
        <f>INDEX(Product!$B:$B,MATCH($B52,Product!$A:$A,0))</f>
        <v>[ConvaTec] Băng dán vết thương - DuoDerm Extra Thin (5cmx10cm)</v>
      </c>
      <c r="D52" t="s">
        <v>2381</v>
      </c>
      <c r="E52" s="18" t="str">
        <f>INDEX('Attribute Definition'!$B:$B,MATCH($D52,'Attribute Definition'!$A:$A,0))</f>
        <v>Chống nước</v>
      </c>
      <c r="F52" s="34" t="s">
        <v>2485</v>
      </c>
    </row>
    <row r="53" spans="1:6" x14ac:dyDescent="0.25">
      <c r="A53" t="s">
        <v>1655</v>
      </c>
      <c r="B53" s="18" t="str">
        <f>INDEX('Product Variant'!$B:$B,MATCH($A53,'Product Variant'!$A:$A,0))</f>
        <v>PRODUCT-00255</v>
      </c>
      <c r="C53" s="18" t="str">
        <f>INDEX(Product!$B:$B,MATCH($B53,Product!$A:$A,0))</f>
        <v>[ConvaTec] Băng dán vết thương - DuoDerm Extra Thin (5cmx10cm)</v>
      </c>
      <c r="D53" t="s">
        <v>2471</v>
      </c>
      <c r="E53" s="18" t="str">
        <f>INDEX('Attribute Definition'!$B:$B,MATCH($D53,'Attribute Definition'!$A:$A,0))</f>
        <v>Dạng sản phẩm</v>
      </c>
      <c r="F53" s="34" t="s">
        <v>2486</v>
      </c>
    </row>
    <row r="54" spans="1:6" x14ac:dyDescent="0.25">
      <c r="A54" t="s">
        <v>1656</v>
      </c>
      <c r="B54" s="18" t="str">
        <f>INDEX('Product Variant'!$B:$B,MATCH($A54,'Product Variant'!$A:$A,0))</f>
        <v>PRODUCT-00015</v>
      </c>
      <c r="C54" s="18" t="str">
        <f>INDEX(Product!$B:$B,MATCH($B54,Product!$A:$A,0))</f>
        <v>[Dr.Muller Pharma] Gel bôi vết thương hở - Okuskin (10g)</v>
      </c>
      <c r="D54" t="s">
        <v>2356</v>
      </c>
      <c r="E54" s="18" t="str">
        <f>INDEX('Attribute Definition'!$B:$B,MATCH($D54,'Attribute Definition'!$A:$A,0))</f>
        <v>Khối lượng tịnh</v>
      </c>
      <c r="F54" s="34" t="s">
        <v>2495</v>
      </c>
    </row>
    <row r="55" spans="1:6" x14ac:dyDescent="0.25">
      <c r="A55" t="s">
        <v>1656</v>
      </c>
      <c r="B55" s="18" t="str">
        <f>INDEX('Product Variant'!$B:$B,MATCH($A55,'Product Variant'!$A:$A,0))</f>
        <v>PRODUCT-00015</v>
      </c>
      <c r="C55" s="18" t="str">
        <f>INDEX(Product!$B:$B,MATCH($B55,Product!$A:$A,0))</f>
        <v>[Dr.Muller Pharma] Gel bôi vết thương hở - Okuskin (10g)</v>
      </c>
      <c r="D55" t="s">
        <v>2471</v>
      </c>
      <c r="E55" s="18" t="str">
        <f>INDEX('Attribute Definition'!$B:$B,MATCH($D55,'Attribute Definition'!$A:$A,0))</f>
        <v>Dạng sản phẩm</v>
      </c>
      <c r="F55" s="34" t="s">
        <v>2496</v>
      </c>
    </row>
    <row r="56" spans="1:6" x14ac:dyDescent="0.25">
      <c r="A56" t="s">
        <v>1657</v>
      </c>
      <c r="B56" s="18" t="str">
        <f>INDEX('Product Variant'!$B:$B,MATCH($A56,'Product Variant'!$A:$A,0))</f>
        <v>PRODUCT-00256</v>
      </c>
      <c r="C56" s="18" t="str">
        <f>INDEX(Product!$B:$B,MATCH($B56,Product!$A:$A,0))</f>
        <v>[Dr.Muller Pharma] Gel bôi vết thương hở - Okuskin (30g)</v>
      </c>
      <c r="D56" t="s">
        <v>2356</v>
      </c>
      <c r="E56" s="18" t="str">
        <f>INDEX('Attribute Definition'!$B:$B,MATCH($D56,'Attribute Definition'!$A:$A,0))</f>
        <v>Khối lượng tịnh</v>
      </c>
      <c r="F56" s="34" t="s">
        <v>2626</v>
      </c>
    </row>
    <row r="57" spans="1:6" x14ac:dyDescent="0.25">
      <c r="A57" t="s">
        <v>1657</v>
      </c>
      <c r="B57" s="18" t="str">
        <f>INDEX('Product Variant'!$B:$B,MATCH($A57,'Product Variant'!$A:$A,0))</f>
        <v>PRODUCT-00256</v>
      </c>
      <c r="C57" s="18" t="str">
        <f>INDEX(Product!$B:$B,MATCH($B57,Product!$A:$A,0))</f>
        <v>[Dr.Muller Pharma] Gel bôi vết thương hở - Okuskin (30g)</v>
      </c>
      <c r="D57" t="s">
        <v>2471</v>
      </c>
      <c r="E57" s="18" t="str">
        <f>INDEX('Attribute Definition'!$B:$B,MATCH($D57,'Attribute Definition'!$A:$A,0))</f>
        <v>Dạng sản phẩm</v>
      </c>
      <c r="F57" s="34" t="s">
        <v>2496</v>
      </c>
    </row>
    <row r="58" spans="1:6" x14ac:dyDescent="0.25">
      <c r="A58" t="s">
        <v>1658</v>
      </c>
      <c r="B58" s="18" t="str">
        <f>INDEX('Product Variant'!$B:$B,MATCH($A58,'Product Variant'!$A:$A,0))</f>
        <v>PRODUCT-00016</v>
      </c>
      <c r="C58" s="18" t="str">
        <f>INDEX(Product!$B:$B,MATCH($B58,Product!$A:$A,0))</f>
        <v>[ICM] Dung dịch sát khuẩn rửa vết thương - Berbemed (150ml)</v>
      </c>
      <c r="D58" t="s">
        <v>2349</v>
      </c>
      <c r="E58" s="18" t="str">
        <f>INDEX('Attribute Definition'!$B:$B,MATCH($D58,'Attribute Definition'!$A:$A,0))</f>
        <v>Dung tích</v>
      </c>
      <c r="F58" s="34" t="s">
        <v>2497</v>
      </c>
    </row>
    <row r="59" spans="1:6" x14ac:dyDescent="0.25">
      <c r="A59" t="s">
        <v>1658</v>
      </c>
      <c r="B59" s="18" t="str">
        <f>INDEX('Product Variant'!$B:$B,MATCH($A59,'Product Variant'!$A:$A,0))</f>
        <v>PRODUCT-00016</v>
      </c>
      <c r="C59" s="18" t="str">
        <f>INDEX(Product!$B:$B,MATCH($B59,Product!$A:$A,0))</f>
        <v>[ICM] Dung dịch sát khuẩn rửa vết thương - Berbemed (150ml)</v>
      </c>
      <c r="D59" t="s">
        <v>2386</v>
      </c>
      <c r="E59" s="18" t="str">
        <f>INDEX('Attribute Definition'!$B:$B,MATCH($D59,'Attribute Definition'!$A:$A,0))</f>
        <v>Thành phần kháng khuẩn</v>
      </c>
      <c r="F59" s="34" t="s">
        <v>2498</v>
      </c>
    </row>
    <row r="60" spans="1:6" x14ac:dyDescent="0.25">
      <c r="A60" t="s">
        <v>1658</v>
      </c>
      <c r="B60" s="18" t="str">
        <f>INDEX('Product Variant'!$B:$B,MATCH($A60,'Product Variant'!$A:$A,0))</f>
        <v>PRODUCT-00016</v>
      </c>
      <c r="C60" s="18" t="str">
        <f>INDEX(Product!$B:$B,MATCH($B60,Product!$A:$A,0))</f>
        <v>[ICM] Dung dịch sát khuẩn rửa vết thương - Berbemed (150ml)</v>
      </c>
      <c r="D60" t="s">
        <v>2471</v>
      </c>
      <c r="E60" s="18" t="str">
        <f>INDEX('Attribute Definition'!$B:$B,MATCH($D60,'Attribute Definition'!$A:$A,0))</f>
        <v>Dạng sản phẩm</v>
      </c>
      <c r="F60" s="34" t="s">
        <v>2499</v>
      </c>
    </row>
    <row r="61" spans="1:6" x14ac:dyDescent="0.25">
      <c r="A61" t="s">
        <v>1659</v>
      </c>
      <c r="B61" s="18" t="str">
        <f>INDEX('Product Variant'!$B:$B,MATCH($A61,'Product Variant'!$A:$A,0))</f>
        <v>PRODUCT-00017</v>
      </c>
      <c r="C61" s="18" t="str">
        <f>INDEX(Product!$B:$B,MATCH($B61,Product!$A:$A,0))</f>
        <v>[Mepro] Bông tẩm cồn sát trùng - Alcohol Swab</v>
      </c>
      <c r="D61" t="s">
        <v>2386</v>
      </c>
      <c r="E61" s="18" t="str">
        <f>INDEX('Attribute Definition'!$B:$B,MATCH($D61,'Attribute Definition'!$A:$A,0))</f>
        <v>Thành phần kháng khuẩn</v>
      </c>
      <c r="F61" s="34" t="s">
        <v>2500</v>
      </c>
    </row>
    <row r="62" spans="1:6" x14ac:dyDescent="0.25">
      <c r="A62" t="s">
        <v>1659</v>
      </c>
      <c r="B62" s="18" t="str">
        <f>INDEX('Product Variant'!$B:$B,MATCH($A62,'Product Variant'!$A:$A,0))</f>
        <v>PRODUCT-00017</v>
      </c>
      <c r="C62" s="18" t="str">
        <f>INDEX(Product!$B:$B,MATCH($B62,Product!$A:$A,0))</f>
        <v>[Mepro] Bông tẩm cồn sát trùng - Alcohol Swab</v>
      </c>
      <c r="D62" t="s">
        <v>2471</v>
      </c>
      <c r="E62" s="18" t="str">
        <f>INDEX('Attribute Definition'!$B:$B,MATCH($D62,'Attribute Definition'!$A:$A,0))</f>
        <v>Dạng sản phẩm</v>
      </c>
      <c r="F62" s="34" t="s">
        <v>2486</v>
      </c>
    </row>
    <row r="63" spans="1:6" x14ac:dyDescent="0.25">
      <c r="A63" t="s">
        <v>1660</v>
      </c>
      <c r="B63" s="18" t="str">
        <f>INDEX('Product Variant'!$B:$B,MATCH($A63,'Product Variant'!$A:$A,0))</f>
        <v>PRODUCT-00018</v>
      </c>
      <c r="C63" s="18" t="str">
        <f>INDEX(Product!$B:$B,MATCH($B63,Product!$A:$A,0))</f>
        <v>[SeaSight] Gạc xốp hút dịch chống loét có viền dính silicone (18.5cmx24cm)</v>
      </c>
      <c r="D63" t="s">
        <v>2342</v>
      </c>
      <c r="E63" s="18" t="str">
        <f>INDEX('Attribute Definition'!$B:$B,MATCH($D63,'Attribute Definition'!$A:$A,0))</f>
        <v>Kích thước</v>
      </c>
      <c r="F63" s="34" t="s">
        <v>2501</v>
      </c>
    </row>
    <row r="64" spans="1:6" x14ac:dyDescent="0.25">
      <c r="A64" t="s">
        <v>1660</v>
      </c>
      <c r="B64" s="18" t="str">
        <f>INDEX('Product Variant'!$B:$B,MATCH($A64,'Product Variant'!$A:$A,0))</f>
        <v>PRODUCT-00018</v>
      </c>
      <c r="C64" s="18" t="str">
        <f>INDEX(Product!$B:$B,MATCH($B64,Product!$A:$A,0))</f>
        <v>[SeaSight] Gạc xốp hút dịch chống loét có viền dính silicone (18.5cmx24cm)</v>
      </c>
      <c r="D64" t="s">
        <v>2367</v>
      </c>
      <c r="E64" s="18" t="str">
        <f>INDEX('Attribute Definition'!$B:$B,MATCH($D64,'Attribute Definition'!$A:$A,0))</f>
        <v>Chất liệu</v>
      </c>
      <c r="F64" s="34" t="s">
        <v>2502</v>
      </c>
    </row>
    <row r="65" spans="1:6" x14ac:dyDescent="0.25">
      <c r="A65" t="s">
        <v>1660</v>
      </c>
      <c r="B65" s="18" t="str">
        <f>INDEX('Product Variant'!$B:$B,MATCH($A65,'Product Variant'!$A:$A,0))</f>
        <v>PRODUCT-00018</v>
      </c>
      <c r="C65" s="18" t="str">
        <f>INDEX(Product!$B:$B,MATCH($B65,Product!$A:$A,0))</f>
        <v>[SeaSight] Gạc xốp hút dịch chống loét có viền dính silicone (18.5cmx24cm)</v>
      </c>
      <c r="D65" t="s">
        <v>2391</v>
      </c>
      <c r="E65" s="18" t="str">
        <f>INDEX('Attribute Definition'!$B:$B,MATCH($D65,'Attribute Definition'!$A:$A,0))</f>
        <v>Kiểu viền</v>
      </c>
      <c r="F65" s="34" t="s">
        <v>2503</v>
      </c>
    </row>
    <row r="66" spans="1:6" x14ac:dyDescent="0.25">
      <c r="A66" t="s">
        <v>1660</v>
      </c>
      <c r="B66" s="18" t="str">
        <f>INDEX('Product Variant'!$B:$B,MATCH($A66,'Product Variant'!$A:$A,0))</f>
        <v>PRODUCT-00018</v>
      </c>
      <c r="C66" s="18" t="str">
        <f>INDEX(Product!$B:$B,MATCH($B66,Product!$A:$A,0))</f>
        <v>[SeaSight] Gạc xốp hút dịch chống loét có viền dính silicone (18.5cmx24cm)</v>
      </c>
      <c r="D66" t="s">
        <v>2471</v>
      </c>
      <c r="E66" s="18" t="str">
        <f>INDEX('Attribute Definition'!$B:$B,MATCH($D66,'Attribute Definition'!$A:$A,0))</f>
        <v>Dạng sản phẩm</v>
      </c>
      <c r="F66" s="34" t="s">
        <v>2486</v>
      </c>
    </row>
    <row r="67" spans="1:6" x14ac:dyDescent="0.25">
      <c r="A67" t="s">
        <v>1661</v>
      </c>
      <c r="B67" s="18" t="str">
        <f>INDEX('Product Variant'!$B:$B,MATCH($A67,'Product Variant'!$A:$A,0))</f>
        <v>PRODUCT-00019</v>
      </c>
      <c r="C67" s="18" t="str">
        <f>INDEX(Product!$B:$B,MATCH($B67,Product!$A:$A,0))</f>
        <v>[SeaSight] Miếng dán vết thương thay chỉ khâu (3mmx75mm)</v>
      </c>
      <c r="D67" t="s">
        <v>2342</v>
      </c>
      <c r="E67" s="18" t="str">
        <f>INDEX('Attribute Definition'!$B:$B,MATCH($D67,'Attribute Definition'!$A:$A,0))</f>
        <v>Kích thước</v>
      </c>
      <c r="F67" s="34" t="s">
        <v>2491</v>
      </c>
    </row>
    <row r="68" spans="1:6" x14ac:dyDescent="0.25">
      <c r="A68" t="s">
        <v>1661</v>
      </c>
      <c r="B68" s="18" t="str">
        <f>INDEX('Product Variant'!$B:$B,MATCH($A68,'Product Variant'!$A:$A,0))</f>
        <v>PRODUCT-00019</v>
      </c>
      <c r="C68" s="18" t="str">
        <f>INDEX(Product!$B:$B,MATCH($B68,Product!$A:$A,0))</f>
        <v>[SeaSight] Miếng dán vết thương thay chỉ khâu (3mmx75mm)</v>
      </c>
      <c r="D68" t="s">
        <v>2471</v>
      </c>
      <c r="E68" s="18" t="str">
        <f>INDEX('Attribute Definition'!$B:$B,MATCH($D68,'Attribute Definition'!$A:$A,0))</f>
        <v>Dạng sản phẩm</v>
      </c>
      <c r="F68" s="34" t="s">
        <v>2486</v>
      </c>
    </row>
    <row r="69" spans="1:6" x14ac:dyDescent="0.25">
      <c r="A69" t="s">
        <v>1662</v>
      </c>
      <c r="B69" s="18" t="str">
        <f>INDEX('Product Variant'!$B:$B,MATCH($A69,'Product Variant'!$A:$A,0))</f>
        <v>PRODUCT-00257</v>
      </c>
      <c r="C69" s="18" t="str">
        <f>INDEX(Product!$B:$B,MATCH($B69,Product!$A:$A,0))</f>
        <v>[SeaSight] Miếng dán vết thương thay chỉ khâu (6mmx38mm)</v>
      </c>
      <c r="D69" t="s">
        <v>2342</v>
      </c>
      <c r="E69" s="18" t="str">
        <f>INDEX('Attribute Definition'!$B:$B,MATCH($D69,'Attribute Definition'!$A:$A,0))</f>
        <v>Kích thước</v>
      </c>
      <c r="F69" s="34" t="s">
        <v>2627</v>
      </c>
    </row>
    <row r="70" spans="1:6" x14ac:dyDescent="0.25">
      <c r="A70" t="s">
        <v>1662</v>
      </c>
      <c r="B70" s="18" t="str">
        <f>INDEX('Product Variant'!$B:$B,MATCH($A70,'Product Variant'!$A:$A,0))</f>
        <v>PRODUCT-00257</v>
      </c>
      <c r="C70" s="18" t="str">
        <f>INDEX(Product!$B:$B,MATCH($B70,Product!$A:$A,0))</f>
        <v>[SeaSight] Miếng dán vết thương thay chỉ khâu (6mmx38mm)</v>
      </c>
      <c r="D70" t="s">
        <v>2471</v>
      </c>
      <c r="E70" s="18" t="str">
        <f>INDEX('Attribute Definition'!$B:$B,MATCH($D70,'Attribute Definition'!$A:$A,0))</f>
        <v>Dạng sản phẩm</v>
      </c>
      <c r="F70" s="34" t="s">
        <v>2486</v>
      </c>
    </row>
    <row r="71" spans="1:6" x14ac:dyDescent="0.25">
      <c r="A71" t="s">
        <v>1663</v>
      </c>
      <c r="B71" s="18" t="str">
        <f>INDEX('Product Variant'!$B:$B,MATCH($A71,'Product Variant'!$A:$A,0))</f>
        <v>PRODUCT-00258</v>
      </c>
      <c r="C71" s="18" t="str">
        <f>INDEX(Product!$B:$B,MATCH($B71,Product!$A:$A,0))</f>
        <v>[SeaSight] Miếng dán vết thương thay chỉ khâu (6mmx100mm)</v>
      </c>
      <c r="D71" t="s">
        <v>2342</v>
      </c>
      <c r="E71" s="18" t="str">
        <f>INDEX('Attribute Definition'!$B:$B,MATCH($D71,'Attribute Definition'!$A:$A,0))</f>
        <v>Kích thước</v>
      </c>
      <c r="F71" s="34" t="s">
        <v>2622</v>
      </c>
    </row>
    <row r="72" spans="1:6" x14ac:dyDescent="0.25">
      <c r="A72" t="s">
        <v>1663</v>
      </c>
      <c r="B72" s="18" t="str">
        <f>INDEX('Product Variant'!$B:$B,MATCH($A72,'Product Variant'!$A:$A,0))</f>
        <v>PRODUCT-00258</v>
      </c>
      <c r="C72" s="18" t="str">
        <f>INDEX(Product!$B:$B,MATCH($B72,Product!$A:$A,0))</f>
        <v>[SeaSight] Miếng dán vết thương thay chỉ khâu (6mmx100mm)</v>
      </c>
      <c r="D72" t="s">
        <v>2471</v>
      </c>
      <c r="E72" s="18" t="str">
        <f>INDEX('Attribute Definition'!$B:$B,MATCH($D72,'Attribute Definition'!$A:$A,0))</f>
        <v>Dạng sản phẩm</v>
      </c>
      <c r="F72" s="34" t="s">
        <v>2486</v>
      </c>
    </row>
    <row r="73" spans="1:6" x14ac:dyDescent="0.25">
      <c r="A73" t="s">
        <v>1664</v>
      </c>
      <c r="B73" s="18" t="str">
        <f>INDEX('Product Variant'!$B:$B,MATCH($A73,'Product Variant'!$A:$A,0))</f>
        <v>PRODUCT-00259</v>
      </c>
      <c r="C73" s="18" t="str">
        <f>INDEX(Product!$B:$B,MATCH($B73,Product!$A:$A,0))</f>
        <v>[SeaSight] Miếng dán vết thương thay chỉ khâu (12mmx100mm)</v>
      </c>
      <c r="D73" t="s">
        <v>2342</v>
      </c>
      <c r="E73" s="18" t="str">
        <f>INDEX('Attribute Definition'!$B:$B,MATCH($D73,'Attribute Definition'!$A:$A,0))</f>
        <v>Kích thước</v>
      </c>
      <c r="F73" s="34" t="s">
        <v>2623</v>
      </c>
    </row>
    <row r="74" spans="1:6" x14ac:dyDescent="0.25">
      <c r="A74" t="s">
        <v>1664</v>
      </c>
      <c r="B74" s="18" t="str">
        <f>INDEX('Product Variant'!$B:$B,MATCH($A74,'Product Variant'!$A:$A,0))</f>
        <v>PRODUCT-00259</v>
      </c>
      <c r="C74" s="18" t="str">
        <f>INDEX(Product!$B:$B,MATCH($B74,Product!$A:$A,0))</f>
        <v>[SeaSight] Miếng dán vết thương thay chỉ khâu (12mmx100mm)</v>
      </c>
      <c r="D74" t="s">
        <v>2471</v>
      </c>
      <c r="E74" s="18" t="str">
        <f>INDEX('Attribute Definition'!$B:$B,MATCH($D74,'Attribute Definition'!$A:$A,0))</f>
        <v>Dạng sản phẩm</v>
      </c>
      <c r="F74" s="34" t="s">
        <v>2486</v>
      </c>
    </row>
    <row r="75" spans="1:6" x14ac:dyDescent="0.25">
      <c r="A75" t="s">
        <v>1665</v>
      </c>
      <c r="B75" s="18" t="str">
        <f>INDEX('Product Variant'!$B:$B,MATCH($A75,'Product Variant'!$A:$A,0))</f>
        <v>PRODUCT-00020</v>
      </c>
      <c r="C75" s="18" t="str">
        <f>INDEX(Product!$B:$B,MATCH($B75,Product!$A:$A,0))</f>
        <v>[Tanaphar] Bông tẩm cồn tiệt trùng - Alcohol Swab</v>
      </c>
      <c r="D75" t="s">
        <v>2374</v>
      </c>
      <c r="E75" s="18" t="str">
        <f>INDEX('Attribute Definition'!$B:$B,MATCH($D75,'Attribute Definition'!$A:$A,0))</f>
        <v>Vô trùng</v>
      </c>
      <c r="F75" s="34" t="s">
        <v>2485</v>
      </c>
    </row>
    <row r="76" spans="1:6" x14ac:dyDescent="0.25">
      <c r="A76" t="s">
        <v>1665</v>
      </c>
      <c r="B76" s="18" t="str">
        <f>INDEX('Product Variant'!$B:$B,MATCH($A76,'Product Variant'!$A:$A,0))</f>
        <v>PRODUCT-00020</v>
      </c>
      <c r="C76" s="18" t="str">
        <f>INDEX(Product!$B:$B,MATCH($B76,Product!$A:$A,0))</f>
        <v>[Tanaphar] Bông tẩm cồn tiệt trùng - Alcohol Swab</v>
      </c>
      <c r="D76" t="s">
        <v>2386</v>
      </c>
      <c r="E76" s="18" t="str">
        <f>INDEX('Attribute Definition'!$B:$B,MATCH($D76,'Attribute Definition'!$A:$A,0))</f>
        <v>Thành phần kháng khuẩn</v>
      </c>
      <c r="F76" s="34" t="s">
        <v>2500</v>
      </c>
    </row>
    <row r="77" spans="1:6" x14ac:dyDescent="0.25">
      <c r="A77" t="s">
        <v>1665</v>
      </c>
      <c r="B77" s="18" t="str">
        <f>INDEX('Product Variant'!$B:$B,MATCH($A77,'Product Variant'!$A:$A,0))</f>
        <v>PRODUCT-00020</v>
      </c>
      <c r="C77" s="18" t="str">
        <f>INDEX(Product!$B:$B,MATCH($B77,Product!$A:$A,0))</f>
        <v>[Tanaphar] Bông tẩm cồn tiệt trùng - Alcohol Swab</v>
      </c>
      <c r="D77" t="s">
        <v>2471</v>
      </c>
      <c r="E77" s="18" t="str">
        <f>INDEX('Attribute Definition'!$B:$B,MATCH($D77,'Attribute Definition'!$A:$A,0))</f>
        <v>Dạng sản phẩm</v>
      </c>
      <c r="F77" s="34" t="s">
        <v>2486</v>
      </c>
    </row>
    <row r="78" spans="1:6" x14ac:dyDescent="0.25">
      <c r="A78" t="s">
        <v>1666</v>
      </c>
      <c r="B78" s="18" t="str">
        <f>INDEX('Product Variant'!$B:$B,MATCH($A78,'Product Variant'!$A:$A,0))</f>
        <v>PRODUCT-00021</v>
      </c>
      <c r="C78" s="18" t="str">
        <f>INDEX(Product!$B:$B,MATCH($B78,Product!$A:$A,0))</f>
        <v>[Terrapharm] Dung dịch kháng khuẩn rửa vết thương - Dizigone (300ml)</v>
      </c>
      <c r="D78" t="s">
        <v>2349</v>
      </c>
      <c r="E78" s="18" t="str">
        <f>INDEX('Attribute Definition'!$B:$B,MATCH($D78,'Attribute Definition'!$A:$A,0))</f>
        <v>Dung tích</v>
      </c>
      <c r="F78" s="34" t="s">
        <v>2504</v>
      </c>
    </row>
    <row r="79" spans="1:6" x14ac:dyDescent="0.25">
      <c r="A79" t="s">
        <v>1666</v>
      </c>
      <c r="B79" s="18" t="str">
        <f>INDEX('Product Variant'!$B:$B,MATCH($A79,'Product Variant'!$A:$A,0))</f>
        <v>PRODUCT-00021</v>
      </c>
      <c r="C79" s="18" t="str">
        <f>INDEX(Product!$B:$B,MATCH($B79,Product!$A:$A,0))</f>
        <v>[Terrapharm] Dung dịch kháng khuẩn rửa vết thương - Dizigone (300ml)</v>
      </c>
      <c r="D79" t="s">
        <v>2386</v>
      </c>
      <c r="E79" s="18" t="str">
        <f>INDEX('Attribute Definition'!$B:$B,MATCH($D79,'Attribute Definition'!$A:$A,0))</f>
        <v>Thành phần kháng khuẩn</v>
      </c>
      <c r="F79" s="34" t="s">
        <v>2505</v>
      </c>
    </row>
    <row r="80" spans="1:6" x14ac:dyDescent="0.25">
      <c r="A80" t="s">
        <v>1666</v>
      </c>
      <c r="B80" s="18" t="str">
        <f>INDEX('Product Variant'!$B:$B,MATCH($A80,'Product Variant'!$A:$A,0))</f>
        <v>PRODUCT-00021</v>
      </c>
      <c r="C80" s="18" t="str">
        <f>INDEX(Product!$B:$B,MATCH($B80,Product!$A:$A,0))</f>
        <v>[Terrapharm] Dung dịch kháng khuẩn rửa vết thương - Dizigone (300ml)</v>
      </c>
      <c r="D80" t="s">
        <v>2471</v>
      </c>
      <c r="E80" s="18" t="str">
        <f>INDEX('Attribute Definition'!$B:$B,MATCH($D80,'Attribute Definition'!$A:$A,0))</f>
        <v>Dạng sản phẩm</v>
      </c>
      <c r="F80" s="34" t="s">
        <v>2499</v>
      </c>
    </row>
    <row r="81" spans="1:6" x14ac:dyDescent="0.25">
      <c r="A81" t="s">
        <v>1667</v>
      </c>
      <c r="B81" s="18" t="str">
        <f>INDEX('Product Variant'!$B:$B,MATCH($A81,'Product Variant'!$A:$A,0))</f>
        <v>PRODUCT-00022</v>
      </c>
      <c r="C81" s="18" t="str">
        <f>INDEX(Product!$B:$B,MATCH($B81,Product!$A:$A,0))</f>
        <v>[Terrapharm] Xịt kháng khuẩn - Dizigone Spray (100ml)</v>
      </c>
      <c r="D81" t="s">
        <v>2349</v>
      </c>
      <c r="E81" s="18" t="str">
        <f>INDEX('Attribute Definition'!$B:$B,MATCH($D81,'Attribute Definition'!$A:$A,0))</f>
        <v>Dung tích</v>
      </c>
      <c r="F81" s="34" t="s">
        <v>2506</v>
      </c>
    </row>
    <row r="82" spans="1:6" x14ac:dyDescent="0.25">
      <c r="A82" t="s">
        <v>1667</v>
      </c>
      <c r="B82" s="18" t="str">
        <f>INDEX('Product Variant'!$B:$B,MATCH($A82,'Product Variant'!$A:$A,0))</f>
        <v>PRODUCT-00022</v>
      </c>
      <c r="C82" s="18" t="str">
        <f>INDEX(Product!$B:$B,MATCH($B82,Product!$A:$A,0))</f>
        <v>[Terrapharm] Xịt kháng khuẩn - Dizigone Spray (100ml)</v>
      </c>
      <c r="D82" t="s">
        <v>2386</v>
      </c>
      <c r="E82" s="18" t="str">
        <f>INDEX('Attribute Definition'!$B:$B,MATCH($D82,'Attribute Definition'!$A:$A,0))</f>
        <v>Thành phần kháng khuẩn</v>
      </c>
      <c r="F82" s="34" t="s">
        <v>2505</v>
      </c>
    </row>
    <row r="83" spans="1:6" x14ac:dyDescent="0.25">
      <c r="A83" t="s">
        <v>1667</v>
      </c>
      <c r="B83" s="18" t="str">
        <f>INDEX('Product Variant'!$B:$B,MATCH($A83,'Product Variant'!$A:$A,0))</f>
        <v>PRODUCT-00022</v>
      </c>
      <c r="C83" s="18" t="str">
        <f>INDEX(Product!$B:$B,MATCH($B83,Product!$A:$A,0))</f>
        <v>[Terrapharm] Xịt kháng khuẩn - Dizigone Spray (100ml)</v>
      </c>
      <c r="D83" t="s">
        <v>2471</v>
      </c>
      <c r="E83" s="18" t="str">
        <f>INDEX('Attribute Definition'!$B:$B,MATCH($D83,'Attribute Definition'!$A:$A,0))</f>
        <v>Dạng sản phẩm</v>
      </c>
      <c r="F83" s="34" t="s">
        <v>2493</v>
      </c>
    </row>
    <row r="84" spans="1:6" x14ac:dyDescent="0.25">
      <c r="A84" t="s">
        <v>1668</v>
      </c>
      <c r="B84" s="18" t="str">
        <f>INDEX('Product Variant'!$B:$B,MATCH($A84,'Product Variant'!$A:$A,0))</f>
        <v>PRODUCT-00023</v>
      </c>
      <c r="C84" s="18" t="str">
        <f>INDEX(Product!$B:$B,MATCH($B84,Product!$A:$A,0))</f>
        <v>[Urgo] Gạc lưới chống dính - UrgoTul (10cmx10cm)</v>
      </c>
      <c r="D84" t="s">
        <v>2342</v>
      </c>
      <c r="E84" s="18" t="str">
        <f>INDEX('Attribute Definition'!$B:$B,MATCH($D84,'Attribute Definition'!$A:$A,0))</f>
        <v>Kích thước</v>
      </c>
      <c r="F84" s="34" t="s">
        <v>2494</v>
      </c>
    </row>
    <row r="85" spans="1:6" x14ac:dyDescent="0.25">
      <c r="A85" t="s">
        <v>1668</v>
      </c>
      <c r="B85" s="18" t="str">
        <f>INDEX('Product Variant'!$B:$B,MATCH($A85,'Product Variant'!$A:$A,0))</f>
        <v>PRODUCT-00023</v>
      </c>
      <c r="C85" s="18" t="str">
        <f>INDEX(Product!$B:$B,MATCH($B85,Product!$A:$A,0))</f>
        <v>[Urgo] Gạc lưới chống dính - UrgoTul (10cmx10cm)</v>
      </c>
      <c r="D85" t="s">
        <v>2471</v>
      </c>
      <c r="E85" s="18" t="str">
        <f>INDEX('Attribute Definition'!$B:$B,MATCH($D85,'Attribute Definition'!$A:$A,0))</f>
        <v>Dạng sản phẩm</v>
      </c>
      <c r="F85" s="34" t="s">
        <v>2486</v>
      </c>
    </row>
    <row r="86" spans="1:6" x14ac:dyDescent="0.25">
      <c r="A86" t="s">
        <v>1669</v>
      </c>
      <c r="B86" s="18" t="str">
        <f>INDEX('Product Variant'!$B:$B,MATCH($A86,'Product Variant'!$A:$A,0))</f>
        <v>PRODUCT-00260</v>
      </c>
      <c r="C86" s="18" t="str">
        <f>INDEX(Product!$B:$B,MATCH($B86,Product!$A:$A,0))</f>
        <v>[Urgo] Gạc lưới chống dính - UrgoTul (15cmx20cm)</v>
      </c>
      <c r="D86" t="s">
        <v>2342</v>
      </c>
      <c r="E86" s="18" t="str">
        <f>INDEX('Attribute Definition'!$B:$B,MATCH($D86,'Attribute Definition'!$A:$A,0))</f>
        <v>Kích thước</v>
      </c>
      <c r="F86" s="34" t="s">
        <v>2628</v>
      </c>
    </row>
    <row r="87" spans="1:6" x14ac:dyDescent="0.25">
      <c r="A87" t="s">
        <v>1669</v>
      </c>
      <c r="B87" s="18" t="str">
        <f>INDEX('Product Variant'!$B:$B,MATCH($A87,'Product Variant'!$A:$A,0))</f>
        <v>PRODUCT-00260</v>
      </c>
      <c r="C87" s="18" t="str">
        <f>INDEX(Product!$B:$B,MATCH($B87,Product!$A:$A,0))</f>
        <v>[Urgo] Gạc lưới chống dính - UrgoTul (15cmx20cm)</v>
      </c>
      <c r="D87" t="s">
        <v>2471</v>
      </c>
      <c r="E87" s="18" t="str">
        <f>INDEX('Attribute Definition'!$B:$B,MATCH($D87,'Attribute Definition'!$A:$A,0))</f>
        <v>Dạng sản phẩm</v>
      </c>
      <c r="F87" s="34" t="s">
        <v>2486</v>
      </c>
    </row>
    <row r="88" spans="1:6" x14ac:dyDescent="0.25">
      <c r="A88" t="s">
        <v>1670</v>
      </c>
      <c r="B88" s="18" t="str">
        <f>INDEX('Product Variant'!$B:$B,MATCH($A88,'Product Variant'!$A:$A,0))</f>
        <v>PRODUCT-00261</v>
      </c>
      <c r="C88" s="18" t="str">
        <f>INDEX(Product!$B:$B,MATCH($B88,Product!$A:$A,0))</f>
        <v>[Urgo] Gạc lưới chống dính - UrgoTul (5cmx5cm)</v>
      </c>
      <c r="D88" t="s">
        <v>2342</v>
      </c>
      <c r="E88" s="18" t="str">
        <f>INDEX('Attribute Definition'!$B:$B,MATCH($D88,'Attribute Definition'!$A:$A,0))</f>
        <v>Kích thước</v>
      </c>
      <c r="F88" s="34" t="s">
        <v>2629</v>
      </c>
    </row>
    <row r="89" spans="1:6" x14ac:dyDescent="0.25">
      <c r="A89" t="s">
        <v>1670</v>
      </c>
      <c r="B89" s="18" t="str">
        <f>INDEX('Product Variant'!$B:$B,MATCH($A89,'Product Variant'!$A:$A,0))</f>
        <v>PRODUCT-00261</v>
      </c>
      <c r="C89" s="18" t="str">
        <f>INDEX(Product!$B:$B,MATCH($B89,Product!$A:$A,0))</f>
        <v>[Urgo] Gạc lưới chống dính - UrgoTul (5cmx5cm)</v>
      </c>
      <c r="D89" t="s">
        <v>2471</v>
      </c>
      <c r="E89" s="18" t="str">
        <f>INDEX('Attribute Definition'!$B:$B,MATCH($D89,'Attribute Definition'!$A:$A,0))</f>
        <v>Dạng sản phẩm</v>
      </c>
      <c r="F89" s="34" t="s">
        <v>2486</v>
      </c>
    </row>
    <row r="90" spans="1:6" x14ac:dyDescent="0.25">
      <c r="A90" t="s">
        <v>1671</v>
      </c>
      <c r="B90" s="18" t="str">
        <f>INDEX('Product Variant'!$B:$B,MATCH($A90,'Product Variant'!$A:$A,0))</f>
        <v>PRODUCT-00024</v>
      </c>
      <c r="C90" s="18" t="str">
        <f>INDEX(Product!$B:$B,MATCH($B90,Product!$A:$A,0))</f>
        <v>[Urgo] Gạc lưới tẩm bạc chống dính - UrgoTul Ag/Silver (10cmx12cm)</v>
      </c>
      <c r="D90" t="s">
        <v>2342</v>
      </c>
      <c r="E90" s="18" t="str">
        <f>INDEX('Attribute Definition'!$B:$B,MATCH($D90,'Attribute Definition'!$A:$A,0))</f>
        <v>Kích thước</v>
      </c>
      <c r="F90" s="34" t="s">
        <v>2507</v>
      </c>
    </row>
    <row r="91" spans="1:6" x14ac:dyDescent="0.25">
      <c r="A91" t="s">
        <v>1671</v>
      </c>
      <c r="B91" s="18" t="str">
        <f>INDEX('Product Variant'!$B:$B,MATCH($A91,'Product Variant'!$A:$A,0))</f>
        <v>PRODUCT-00024</v>
      </c>
      <c r="C91" s="18" t="str">
        <f>INDEX(Product!$B:$B,MATCH($B91,Product!$A:$A,0))</f>
        <v>[Urgo] Gạc lưới tẩm bạc chống dính - UrgoTul Ag/Silver (10cmx12cm)</v>
      </c>
      <c r="D91" t="s">
        <v>2386</v>
      </c>
      <c r="E91" s="18" t="str">
        <f>INDEX('Attribute Definition'!$B:$B,MATCH($D91,'Attribute Definition'!$A:$A,0))</f>
        <v>Thành phần kháng khuẩn</v>
      </c>
      <c r="F91" s="34" t="s">
        <v>2508</v>
      </c>
    </row>
    <row r="92" spans="1:6" x14ac:dyDescent="0.25">
      <c r="A92" t="s">
        <v>1671</v>
      </c>
      <c r="B92" s="18" t="str">
        <f>INDEX('Product Variant'!$B:$B,MATCH($A92,'Product Variant'!$A:$A,0))</f>
        <v>PRODUCT-00024</v>
      </c>
      <c r="C92" s="18" t="str">
        <f>INDEX(Product!$B:$B,MATCH($B92,Product!$A:$A,0))</f>
        <v>[Urgo] Gạc lưới tẩm bạc chống dính - UrgoTul Ag/Silver (10cmx12cm)</v>
      </c>
      <c r="D92" t="s">
        <v>2471</v>
      </c>
      <c r="E92" s="18" t="str">
        <f>INDEX('Attribute Definition'!$B:$B,MATCH($D92,'Attribute Definition'!$A:$A,0))</f>
        <v>Dạng sản phẩm</v>
      </c>
      <c r="F92" s="34" t="s">
        <v>2486</v>
      </c>
    </row>
    <row r="93" spans="1:6" x14ac:dyDescent="0.25">
      <c r="A93" t="s">
        <v>1672</v>
      </c>
      <c r="B93" s="18" t="str">
        <f>INDEX('Product Variant'!$B:$B,MATCH($A93,'Product Variant'!$A:$A,0))</f>
        <v>PRODUCT-00262</v>
      </c>
      <c r="C93" s="18" t="str">
        <f>INDEX(Product!$B:$B,MATCH($B93,Product!$A:$A,0))</f>
        <v>[Urgo] Gạc lưới tẩm bạc chống dính - UrgoTul Ag/Silver (15cmx20cm)</v>
      </c>
      <c r="D93" t="s">
        <v>2342</v>
      </c>
      <c r="E93" s="18" t="str">
        <f>INDEX('Attribute Definition'!$B:$B,MATCH($D93,'Attribute Definition'!$A:$A,0))</f>
        <v>Kích thước</v>
      </c>
      <c r="F93" s="34" t="s">
        <v>2628</v>
      </c>
    </row>
    <row r="94" spans="1:6" x14ac:dyDescent="0.25">
      <c r="A94" t="s">
        <v>1672</v>
      </c>
      <c r="B94" s="18" t="str">
        <f>INDEX('Product Variant'!$B:$B,MATCH($A94,'Product Variant'!$A:$A,0))</f>
        <v>PRODUCT-00262</v>
      </c>
      <c r="C94" s="18" t="str">
        <f>INDEX(Product!$B:$B,MATCH($B94,Product!$A:$A,0))</f>
        <v>[Urgo] Gạc lưới tẩm bạc chống dính - UrgoTul Ag/Silver (15cmx20cm)</v>
      </c>
      <c r="D94" t="s">
        <v>2386</v>
      </c>
      <c r="E94" s="18" t="str">
        <f>INDEX('Attribute Definition'!$B:$B,MATCH($D94,'Attribute Definition'!$A:$A,0))</f>
        <v>Thành phần kháng khuẩn</v>
      </c>
      <c r="F94" s="34" t="s">
        <v>2508</v>
      </c>
    </row>
    <row r="95" spans="1:6" x14ac:dyDescent="0.25">
      <c r="A95" t="s">
        <v>1672</v>
      </c>
      <c r="B95" s="18" t="str">
        <f>INDEX('Product Variant'!$B:$B,MATCH($A95,'Product Variant'!$A:$A,0))</f>
        <v>PRODUCT-00262</v>
      </c>
      <c r="C95" s="18" t="str">
        <f>INDEX(Product!$B:$B,MATCH($B95,Product!$A:$A,0))</f>
        <v>[Urgo] Gạc lưới tẩm bạc chống dính - UrgoTul Ag/Silver (15cmx20cm)</v>
      </c>
      <c r="D95" t="s">
        <v>2471</v>
      </c>
      <c r="E95" s="18" t="str">
        <f>INDEX('Attribute Definition'!$B:$B,MATCH($D95,'Attribute Definition'!$A:$A,0))</f>
        <v>Dạng sản phẩm</v>
      </c>
      <c r="F95" s="34" t="s">
        <v>2486</v>
      </c>
    </row>
    <row r="96" spans="1:6" x14ac:dyDescent="0.25">
      <c r="A96" t="s">
        <v>1673</v>
      </c>
      <c r="B96" s="18" t="str">
        <f>INDEX('Product Variant'!$B:$B,MATCH($A96,'Product Variant'!$A:$A,0))</f>
        <v>PRODUCT-00263</v>
      </c>
      <c r="C96" s="18" t="str">
        <f>INDEX(Product!$B:$B,MATCH($B96,Product!$A:$A,0))</f>
        <v>[Urgo] Gạc lưới tẩm bạc chống dính - UrgoTul Ag/Silver (5cmx5cm)</v>
      </c>
      <c r="D96" t="s">
        <v>2342</v>
      </c>
      <c r="E96" s="18" t="str">
        <f>INDEX('Attribute Definition'!$B:$B,MATCH($D96,'Attribute Definition'!$A:$A,0))</f>
        <v>Kích thước</v>
      </c>
      <c r="F96" s="34" t="s">
        <v>2629</v>
      </c>
    </row>
    <row r="97" spans="1:6" x14ac:dyDescent="0.25">
      <c r="A97" t="s">
        <v>1673</v>
      </c>
      <c r="B97" s="18" t="str">
        <f>INDEX('Product Variant'!$B:$B,MATCH($A97,'Product Variant'!$A:$A,0))</f>
        <v>PRODUCT-00263</v>
      </c>
      <c r="C97" s="18" t="str">
        <f>INDEX(Product!$B:$B,MATCH($B97,Product!$A:$A,0))</f>
        <v>[Urgo] Gạc lưới tẩm bạc chống dính - UrgoTul Ag/Silver (5cmx5cm)</v>
      </c>
      <c r="D97" t="s">
        <v>2386</v>
      </c>
      <c r="E97" s="18" t="str">
        <f>INDEX('Attribute Definition'!$B:$B,MATCH($D97,'Attribute Definition'!$A:$A,0))</f>
        <v>Thành phần kháng khuẩn</v>
      </c>
      <c r="F97" s="34" t="s">
        <v>2508</v>
      </c>
    </row>
    <row r="98" spans="1:6" x14ac:dyDescent="0.25">
      <c r="A98" t="s">
        <v>1673</v>
      </c>
      <c r="B98" s="18" t="str">
        <f>INDEX('Product Variant'!$B:$B,MATCH($A98,'Product Variant'!$A:$A,0))</f>
        <v>PRODUCT-00263</v>
      </c>
      <c r="C98" s="18" t="str">
        <f>INDEX(Product!$B:$B,MATCH($B98,Product!$A:$A,0))</f>
        <v>[Urgo] Gạc lưới tẩm bạc chống dính - UrgoTul Ag/Silver (5cmx5cm)</v>
      </c>
      <c r="D98" t="s">
        <v>2471</v>
      </c>
      <c r="E98" s="18" t="str">
        <f>INDEX('Attribute Definition'!$B:$B,MATCH($D98,'Attribute Definition'!$A:$A,0))</f>
        <v>Dạng sản phẩm</v>
      </c>
      <c r="F98" s="34" t="s">
        <v>2486</v>
      </c>
    </row>
    <row r="99" spans="1:6" x14ac:dyDescent="0.25">
      <c r="A99" t="s">
        <v>1674</v>
      </c>
      <c r="B99" s="18" t="str">
        <f>INDEX('Product Variant'!$B:$B,MATCH($A99,'Product Variant'!$A:$A,0))</f>
        <v>PRODUCT-00025</v>
      </c>
      <c r="C99" s="18" t="str">
        <f>INDEX(Product!$B:$B,MATCH($B99,Product!$A:$A,0))</f>
        <v>[VH Pharma] Gel trị vết thương hở - Healit (5g)</v>
      </c>
      <c r="D99" t="s">
        <v>2356</v>
      </c>
      <c r="E99" s="18" t="str">
        <f>INDEX('Attribute Definition'!$B:$B,MATCH($D99,'Attribute Definition'!$A:$A,0))</f>
        <v>Khối lượng tịnh</v>
      </c>
      <c r="F99" s="34" t="s">
        <v>2509</v>
      </c>
    </row>
    <row r="100" spans="1:6" x14ac:dyDescent="0.25">
      <c r="A100" t="s">
        <v>1674</v>
      </c>
      <c r="B100" s="18" t="str">
        <f>INDEX('Product Variant'!$B:$B,MATCH($A100,'Product Variant'!$A:$A,0))</f>
        <v>PRODUCT-00025</v>
      </c>
      <c r="C100" s="18" t="str">
        <f>INDEX(Product!$B:$B,MATCH($B100,Product!$A:$A,0))</f>
        <v>[VH Pharma] Gel trị vết thương hở - Healit (5g)</v>
      </c>
      <c r="D100" t="s">
        <v>2471</v>
      </c>
      <c r="E100" s="18" t="str">
        <f>INDEX('Attribute Definition'!$B:$B,MATCH($D100,'Attribute Definition'!$A:$A,0))</f>
        <v>Dạng sản phẩm</v>
      </c>
      <c r="F100" s="34" t="s">
        <v>2496</v>
      </c>
    </row>
    <row r="101" spans="1:6" x14ac:dyDescent="0.25">
      <c r="A101" t="s">
        <v>1675</v>
      </c>
      <c r="B101" s="18" t="str">
        <f>INDEX('Product Variant'!$B:$B,MATCH($A101,'Product Variant'!$A:$A,0))</f>
        <v>PRODUCT-00026</v>
      </c>
      <c r="C101" s="18" t="str">
        <f>INDEX(Product!$B:$B,MATCH($B101,Product!$A:$A,0))</f>
        <v>[Wonbiogen] Băng dán vết thương Hydrocolloid - Renoderm (10cmx10cm)</v>
      </c>
      <c r="D101" t="s">
        <v>2342</v>
      </c>
      <c r="E101" s="18" t="str">
        <f>INDEX('Attribute Definition'!$B:$B,MATCH($D101,'Attribute Definition'!$A:$A,0))</f>
        <v>Kích thước</v>
      </c>
      <c r="F101" s="34" t="s">
        <v>2494</v>
      </c>
    </row>
    <row r="102" spans="1:6" x14ac:dyDescent="0.25">
      <c r="A102" t="s">
        <v>1675</v>
      </c>
      <c r="B102" s="18" t="str">
        <f>INDEX('Product Variant'!$B:$B,MATCH($A102,'Product Variant'!$A:$A,0))</f>
        <v>PRODUCT-00026</v>
      </c>
      <c r="C102" s="18" t="str">
        <f>INDEX(Product!$B:$B,MATCH($B102,Product!$A:$A,0))</f>
        <v>[Wonbiogen] Băng dán vết thương Hydrocolloid - Renoderm (10cmx10cm)</v>
      </c>
      <c r="D102" t="s">
        <v>2367</v>
      </c>
      <c r="E102" s="18" t="str">
        <f>INDEX('Attribute Definition'!$B:$B,MATCH($D102,'Attribute Definition'!$A:$A,0))</f>
        <v>Chất liệu</v>
      </c>
      <c r="F102" s="34" t="s">
        <v>2484</v>
      </c>
    </row>
    <row r="103" spans="1:6" x14ac:dyDescent="0.25">
      <c r="A103" t="s">
        <v>1675</v>
      </c>
      <c r="B103" s="18" t="str">
        <f>INDEX('Product Variant'!$B:$B,MATCH($A103,'Product Variant'!$A:$A,0))</f>
        <v>PRODUCT-00026</v>
      </c>
      <c r="C103" s="18" t="str">
        <f>INDEX(Product!$B:$B,MATCH($B103,Product!$A:$A,0))</f>
        <v>[Wonbiogen] Băng dán vết thương Hydrocolloid - Renoderm (10cmx10cm)</v>
      </c>
      <c r="D103" t="s">
        <v>2381</v>
      </c>
      <c r="E103" s="18" t="str">
        <f>INDEX('Attribute Definition'!$B:$B,MATCH($D103,'Attribute Definition'!$A:$A,0))</f>
        <v>Chống nước</v>
      </c>
      <c r="F103" s="34" t="s">
        <v>2485</v>
      </c>
    </row>
    <row r="104" spans="1:6" x14ac:dyDescent="0.25">
      <c r="A104" t="s">
        <v>1675</v>
      </c>
      <c r="B104" s="18" t="str">
        <f>INDEX('Product Variant'!$B:$B,MATCH($A104,'Product Variant'!$A:$A,0))</f>
        <v>PRODUCT-00026</v>
      </c>
      <c r="C104" s="18" t="str">
        <f>INDEX(Product!$B:$B,MATCH($B104,Product!$A:$A,0))</f>
        <v>[Wonbiogen] Băng dán vết thương Hydrocolloid - Renoderm (10cmx10cm)</v>
      </c>
      <c r="D104" t="s">
        <v>2471</v>
      </c>
      <c r="E104" s="18" t="str">
        <f>INDEX('Attribute Definition'!$B:$B,MATCH($D104,'Attribute Definition'!$A:$A,0))</f>
        <v>Dạng sản phẩm</v>
      </c>
      <c r="F104" s="34" t="s">
        <v>2486</v>
      </c>
    </row>
    <row r="105" spans="1:6" x14ac:dyDescent="0.25">
      <c r="A105" t="s">
        <v>1676</v>
      </c>
      <c r="B105" s="18" t="str">
        <f>INDEX('Product Variant'!$B:$B,MATCH($A105,'Product Variant'!$A:$A,0))</f>
        <v>PRODUCT-00027</v>
      </c>
      <c r="C105" s="18" t="str">
        <f>INDEX(Product!$B:$B,MATCH($B105,Product!$A:$A,0))</f>
        <v>[Wonbiogen] Băng gạc xốp không dính vết thương - Therasorb Algi Plus Adhesive (7.5cmx7.5cm)</v>
      </c>
      <c r="D105" t="s">
        <v>2342</v>
      </c>
      <c r="E105" s="18" t="str">
        <f>INDEX('Attribute Definition'!$B:$B,MATCH($D105,'Attribute Definition'!$A:$A,0))</f>
        <v>Kích thước</v>
      </c>
      <c r="F105" s="34" t="s">
        <v>2510</v>
      </c>
    </row>
    <row r="106" spans="1:6" x14ac:dyDescent="0.25">
      <c r="A106" t="s">
        <v>1676</v>
      </c>
      <c r="B106" s="18" t="str">
        <f>INDEX('Product Variant'!$B:$B,MATCH($A106,'Product Variant'!$A:$A,0))</f>
        <v>PRODUCT-00027</v>
      </c>
      <c r="C106" s="18" t="str">
        <f>INDEX(Product!$B:$B,MATCH($B106,Product!$A:$A,0))</f>
        <v>[Wonbiogen] Băng gạc xốp không dính vết thương - Therasorb Algi Plus Adhesive (7.5cmx7.5cm)</v>
      </c>
      <c r="D106" t="s">
        <v>2367</v>
      </c>
      <c r="E106" s="18" t="str">
        <f>INDEX('Attribute Definition'!$B:$B,MATCH($D106,'Attribute Definition'!$A:$A,0))</f>
        <v>Chất liệu</v>
      </c>
      <c r="F106" s="34" t="s">
        <v>2511</v>
      </c>
    </row>
    <row r="107" spans="1:6" x14ac:dyDescent="0.25">
      <c r="A107" t="s">
        <v>1676</v>
      </c>
      <c r="B107" s="18" t="str">
        <f>INDEX('Product Variant'!$B:$B,MATCH($A107,'Product Variant'!$A:$A,0))</f>
        <v>PRODUCT-00027</v>
      </c>
      <c r="C107" s="18" t="str">
        <f>INDEX(Product!$B:$B,MATCH($B107,Product!$A:$A,0))</f>
        <v>[Wonbiogen] Băng gạc xốp không dính vết thương - Therasorb Algi Plus Adhesive (7.5cmx7.5cm)</v>
      </c>
      <c r="D107" t="s">
        <v>2391</v>
      </c>
      <c r="E107" s="18" t="str">
        <f>INDEX('Attribute Definition'!$B:$B,MATCH($D107,'Attribute Definition'!$A:$A,0))</f>
        <v>Kiểu viền</v>
      </c>
      <c r="F107" s="34" t="s">
        <v>2512</v>
      </c>
    </row>
    <row r="108" spans="1:6" x14ac:dyDescent="0.25">
      <c r="A108" t="s">
        <v>1676</v>
      </c>
      <c r="B108" s="18" t="str">
        <f>INDEX('Product Variant'!$B:$B,MATCH($A108,'Product Variant'!$A:$A,0))</f>
        <v>PRODUCT-00027</v>
      </c>
      <c r="C108" s="18" t="str">
        <f>INDEX(Product!$B:$B,MATCH($B108,Product!$A:$A,0))</f>
        <v>[Wonbiogen] Băng gạc xốp không dính vết thương - Therasorb Algi Plus Adhesive (7.5cmx7.5cm)</v>
      </c>
      <c r="D108" t="s">
        <v>2471</v>
      </c>
      <c r="E108" s="18" t="str">
        <f>INDEX('Attribute Definition'!$B:$B,MATCH($D108,'Attribute Definition'!$A:$A,0))</f>
        <v>Dạng sản phẩm</v>
      </c>
      <c r="F108" s="34" t="s">
        <v>2486</v>
      </c>
    </row>
    <row r="109" spans="1:6" x14ac:dyDescent="0.25">
      <c r="A109" t="s">
        <v>1677</v>
      </c>
      <c r="B109" s="18" t="str">
        <f>INDEX('Product Variant'!$B:$B,MATCH($A109,'Product Variant'!$A:$A,0))</f>
        <v>PRODUCT-00264</v>
      </c>
      <c r="C109" s="18" t="str">
        <f>INDEX(Product!$B:$B,MATCH($B109,Product!$A:$A,0))</f>
        <v>[Wonbiogen] Băng gạc xốp không dính vết thương - Therasorb Algi Plus Adhesive (9cmx15cm)</v>
      </c>
      <c r="D109" t="s">
        <v>2342</v>
      </c>
      <c r="E109" s="18" t="str">
        <f>INDEX('Attribute Definition'!$B:$B,MATCH($D109,'Attribute Definition'!$A:$A,0))</f>
        <v>Kích thước</v>
      </c>
      <c r="F109" s="34" t="s">
        <v>2630</v>
      </c>
    </row>
    <row r="110" spans="1:6" x14ac:dyDescent="0.25">
      <c r="A110" t="s">
        <v>1677</v>
      </c>
      <c r="B110" s="18" t="str">
        <f>INDEX('Product Variant'!$B:$B,MATCH($A110,'Product Variant'!$A:$A,0))</f>
        <v>PRODUCT-00264</v>
      </c>
      <c r="C110" s="18" t="str">
        <f>INDEX(Product!$B:$B,MATCH($B110,Product!$A:$A,0))</f>
        <v>[Wonbiogen] Băng gạc xốp không dính vết thương - Therasorb Algi Plus Adhesive (9cmx15cm)</v>
      </c>
      <c r="D110" t="s">
        <v>2367</v>
      </c>
      <c r="E110" s="18" t="str">
        <f>INDEX('Attribute Definition'!$B:$B,MATCH($D110,'Attribute Definition'!$A:$A,0))</f>
        <v>Chất liệu</v>
      </c>
      <c r="F110" s="34" t="s">
        <v>2511</v>
      </c>
    </row>
    <row r="111" spans="1:6" x14ac:dyDescent="0.25">
      <c r="A111" t="s">
        <v>1677</v>
      </c>
      <c r="B111" s="18" t="str">
        <f>INDEX('Product Variant'!$B:$B,MATCH($A111,'Product Variant'!$A:$A,0))</f>
        <v>PRODUCT-00264</v>
      </c>
      <c r="C111" s="18" t="str">
        <f>INDEX(Product!$B:$B,MATCH($B111,Product!$A:$A,0))</f>
        <v>[Wonbiogen] Băng gạc xốp không dính vết thương - Therasorb Algi Plus Adhesive (9cmx15cm)</v>
      </c>
      <c r="D111" t="s">
        <v>2391</v>
      </c>
      <c r="E111" s="18" t="str">
        <f>INDEX('Attribute Definition'!$B:$B,MATCH($D111,'Attribute Definition'!$A:$A,0))</f>
        <v>Kiểu viền</v>
      </c>
      <c r="F111" s="34" t="s">
        <v>2512</v>
      </c>
    </row>
    <row r="112" spans="1:6" x14ac:dyDescent="0.25">
      <c r="A112" t="s">
        <v>1677</v>
      </c>
      <c r="B112" s="18" t="str">
        <f>INDEX('Product Variant'!$B:$B,MATCH($A112,'Product Variant'!$A:$A,0))</f>
        <v>PRODUCT-00264</v>
      </c>
      <c r="C112" s="18" t="str">
        <f>INDEX(Product!$B:$B,MATCH($B112,Product!$A:$A,0))</f>
        <v>[Wonbiogen] Băng gạc xốp không dính vết thương - Therasorb Algi Plus Adhesive (9cmx15cm)</v>
      </c>
      <c r="D112" t="s">
        <v>2471</v>
      </c>
      <c r="E112" s="18" t="str">
        <f>INDEX('Attribute Definition'!$B:$B,MATCH($D112,'Attribute Definition'!$A:$A,0))</f>
        <v>Dạng sản phẩm</v>
      </c>
      <c r="F112" s="34" t="s">
        <v>2486</v>
      </c>
    </row>
    <row r="113" spans="1:6" x14ac:dyDescent="0.25">
      <c r="A113" t="s">
        <v>1678</v>
      </c>
      <c r="B113" s="18" t="str">
        <f>INDEX('Product Variant'!$B:$B,MATCH($A113,'Product Variant'!$A:$A,0))</f>
        <v>PRODUCT-00265</v>
      </c>
      <c r="C113" s="18" t="str">
        <f>INDEX(Product!$B:$B,MATCH($B113,Product!$A:$A,0))</f>
        <v>[Wonbiogen] Băng gạc xốp không dính vết thương - Therasorb Algi Plus Adhesive (9cmx20cm)</v>
      </c>
      <c r="D113" t="s">
        <v>2342</v>
      </c>
      <c r="E113" s="18" t="str">
        <f>INDEX('Attribute Definition'!$B:$B,MATCH($D113,'Attribute Definition'!$A:$A,0))</f>
        <v>Kích thước</v>
      </c>
      <c r="F113" s="34" t="s">
        <v>2631</v>
      </c>
    </row>
    <row r="114" spans="1:6" x14ac:dyDescent="0.25">
      <c r="A114" t="s">
        <v>1678</v>
      </c>
      <c r="B114" s="18" t="str">
        <f>INDEX('Product Variant'!$B:$B,MATCH($A114,'Product Variant'!$A:$A,0))</f>
        <v>PRODUCT-00265</v>
      </c>
      <c r="C114" s="18" t="str">
        <f>INDEX(Product!$B:$B,MATCH($B114,Product!$A:$A,0))</f>
        <v>[Wonbiogen] Băng gạc xốp không dính vết thương - Therasorb Algi Plus Adhesive (9cmx20cm)</v>
      </c>
      <c r="D114" t="s">
        <v>2367</v>
      </c>
      <c r="E114" s="18" t="str">
        <f>INDEX('Attribute Definition'!$B:$B,MATCH($D114,'Attribute Definition'!$A:$A,0))</f>
        <v>Chất liệu</v>
      </c>
      <c r="F114" s="34" t="s">
        <v>2511</v>
      </c>
    </row>
    <row r="115" spans="1:6" x14ac:dyDescent="0.25">
      <c r="A115" t="s">
        <v>1678</v>
      </c>
      <c r="B115" s="18" t="str">
        <f>INDEX('Product Variant'!$B:$B,MATCH($A115,'Product Variant'!$A:$A,0))</f>
        <v>PRODUCT-00265</v>
      </c>
      <c r="C115" s="18" t="str">
        <f>INDEX(Product!$B:$B,MATCH($B115,Product!$A:$A,0))</f>
        <v>[Wonbiogen] Băng gạc xốp không dính vết thương - Therasorb Algi Plus Adhesive (9cmx20cm)</v>
      </c>
      <c r="D115" t="s">
        <v>2391</v>
      </c>
      <c r="E115" s="18" t="str">
        <f>INDEX('Attribute Definition'!$B:$B,MATCH($D115,'Attribute Definition'!$A:$A,0))</f>
        <v>Kiểu viền</v>
      </c>
      <c r="F115" s="34" t="s">
        <v>2512</v>
      </c>
    </row>
    <row r="116" spans="1:6" x14ac:dyDescent="0.25">
      <c r="A116" t="s">
        <v>1678</v>
      </c>
      <c r="B116" s="18" t="str">
        <f>INDEX('Product Variant'!$B:$B,MATCH($A116,'Product Variant'!$A:$A,0))</f>
        <v>PRODUCT-00265</v>
      </c>
      <c r="C116" s="18" t="str">
        <f>INDEX(Product!$B:$B,MATCH($B116,Product!$A:$A,0))</f>
        <v>[Wonbiogen] Băng gạc xốp không dính vết thương - Therasorb Algi Plus Adhesive (9cmx20cm)</v>
      </c>
      <c r="D116" t="s">
        <v>2471</v>
      </c>
      <c r="E116" s="18" t="str">
        <f>INDEX('Attribute Definition'!$B:$B,MATCH($D116,'Attribute Definition'!$A:$A,0))</f>
        <v>Dạng sản phẩm</v>
      </c>
      <c r="F116" s="34" t="s">
        <v>2486</v>
      </c>
    </row>
    <row r="117" spans="1:6" x14ac:dyDescent="0.25">
      <c r="A117" t="s">
        <v>1679</v>
      </c>
      <c r="B117" s="18" t="str">
        <f>INDEX('Product Variant'!$B:$B,MATCH($A117,'Product Variant'!$A:$A,0))</f>
        <v>PRODUCT-00028</v>
      </c>
      <c r="C117" s="18" t="str">
        <f>INDEX(Product!$B:$B,MATCH($B117,Product!$A:$A,0))</f>
        <v>[Wonbiogen] Gạc xốp siêu thấm hút dịch tiết vết thương - Therasorb Algi Plus Hydrophilic (10cmx10cmx0.5cm)</v>
      </c>
      <c r="D117" t="s">
        <v>2342</v>
      </c>
      <c r="E117" s="18" t="str">
        <f>INDEX('Attribute Definition'!$B:$B,MATCH($D117,'Attribute Definition'!$A:$A,0))</f>
        <v>Kích thước</v>
      </c>
      <c r="F117" s="34" t="s">
        <v>2513</v>
      </c>
    </row>
    <row r="118" spans="1:6" x14ac:dyDescent="0.25">
      <c r="A118" t="s">
        <v>1679</v>
      </c>
      <c r="B118" s="18" t="str">
        <f>INDEX('Product Variant'!$B:$B,MATCH($A118,'Product Variant'!$A:$A,0))</f>
        <v>PRODUCT-00028</v>
      </c>
      <c r="C118" s="18" t="str">
        <f>INDEX(Product!$B:$B,MATCH($B118,Product!$A:$A,0))</f>
        <v>[Wonbiogen] Gạc xốp siêu thấm hút dịch tiết vết thương - Therasorb Algi Plus Hydrophilic (10cmx10cmx0.5cm)</v>
      </c>
      <c r="D118" t="s">
        <v>2367</v>
      </c>
      <c r="E118" s="18" t="str">
        <f>INDEX('Attribute Definition'!$B:$B,MATCH($D118,'Attribute Definition'!$A:$A,0))</f>
        <v>Chất liệu</v>
      </c>
      <c r="F118" s="34" t="s">
        <v>2511</v>
      </c>
    </row>
    <row r="119" spans="1:6" x14ac:dyDescent="0.25">
      <c r="A119" t="s">
        <v>1679</v>
      </c>
      <c r="B119" s="18" t="str">
        <f>INDEX('Product Variant'!$B:$B,MATCH($A119,'Product Variant'!$A:$A,0))</f>
        <v>PRODUCT-00028</v>
      </c>
      <c r="C119" s="18" t="str">
        <f>INDEX(Product!$B:$B,MATCH($B119,Product!$A:$A,0))</f>
        <v>[Wonbiogen] Gạc xốp siêu thấm hút dịch tiết vết thương - Therasorb Algi Plus Hydrophilic (10cmx10cmx0.5cm)</v>
      </c>
      <c r="D119" t="s">
        <v>2391</v>
      </c>
      <c r="E119" s="18" t="str">
        <f>INDEX('Attribute Definition'!$B:$B,MATCH($D119,'Attribute Definition'!$A:$A,0))</f>
        <v>Kiểu viền</v>
      </c>
      <c r="F119" s="34" t="s">
        <v>2514</v>
      </c>
    </row>
    <row r="120" spans="1:6" x14ac:dyDescent="0.25">
      <c r="A120" t="s">
        <v>1679</v>
      </c>
      <c r="B120" s="18" t="str">
        <f>INDEX('Product Variant'!$B:$B,MATCH($A120,'Product Variant'!$A:$A,0))</f>
        <v>PRODUCT-00028</v>
      </c>
      <c r="C120" s="18" t="str">
        <f>INDEX(Product!$B:$B,MATCH($B120,Product!$A:$A,0))</f>
        <v>[Wonbiogen] Gạc xốp siêu thấm hút dịch tiết vết thương - Therasorb Algi Plus Hydrophilic (10cmx10cmx0.5cm)</v>
      </c>
      <c r="D120" t="s">
        <v>2471</v>
      </c>
      <c r="E120" s="18" t="str">
        <f>INDEX('Attribute Definition'!$B:$B,MATCH($D120,'Attribute Definition'!$A:$A,0))</f>
        <v>Dạng sản phẩm</v>
      </c>
      <c r="F120" s="34" t="s">
        <v>2486</v>
      </c>
    </row>
    <row r="121" spans="1:6" x14ac:dyDescent="0.25">
      <c r="A121" t="s">
        <v>1680</v>
      </c>
      <c r="B121" s="18" t="str">
        <f>INDEX('Product Variant'!$B:$B,MATCH($A121,'Product Variant'!$A:$A,0))</f>
        <v>PRODUCT-00266</v>
      </c>
      <c r="C121" s="18" t="str">
        <f>INDEX(Product!$B:$B,MATCH($B121,Product!$A:$A,0))</f>
        <v>[Wonbiogen] Gạc xốp siêu thấm hút dịch tiết vết thương - Therasorb Algi Plus Hydrophilic (20cmx20cmx0.5cm)</v>
      </c>
      <c r="D121" t="s">
        <v>2342</v>
      </c>
      <c r="E121" s="18" t="str">
        <f>INDEX('Attribute Definition'!$B:$B,MATCH($D121,'Attribute Definition'!$A:$A,0))</f>
        <v>Kích thước</v>
      </c>
      <c r="F121" s="34" t="s">
        <v>2632</v>
      </c>
    </row>
    <row r="122" spans="1:6" x14ac:dyDescent="0.25">
      <c r="A122" t="s">
        <v>1680</v>
      </c>
      <c r="B122" s="18" t="str">
        <f>INDEX('Product Variant'!$B:$B,MATCH($A122,'Product Variant'!$A:$A,0))</f>
        <v>PRODUCT-00266</v>
      </c>
      <c r="C122" s="18" t="str">
        <f>INDEX(Product!$B:$B,MATCH($B122,Product!$A:$A,0))</f>
        <v>[Wonbiogen] Gạc xốp siêu thấm hút dịch tiết vết thương - Therasorb Algi Plus Hydrophilic (20cmx20cmx0.5cm)</v>
      </c>
      <c r="D122" t="s">
        <v>2367</v>
      </c>
      <c r="E122" s="18" t="str">
        <f>INDEX('Attribute Definition'!$B:$B,MATCH($D122,'Attribute Definition'!$A:$A,0))</f>
        <v>Chất liệu</v>
      </c>
      <c r="F122" s="34" t="s">
        <v>2511</v>
      </c>
    </row>
    <row r="123" spans="1:6" x14ac:dyDescent="0.25">
      <c r="A123" t="s">
        <v>1680</v>
      </c>
      <c r="B123" s="18" t="str">
        <f>INDEX('Product Variant'!$B:$B,MATCH($A123,'Product Variant'!$A:$A,0))</f>
        <v>PRODUCT-00266</v>
      </c>
      <c r="C123" s="18" t="str">
        <f>INDEX(Product!$B:$B,MATCH($B123,Product!$A:$A,0))</f>
        <v>[Wonbiogen] Gạc xốp siêu thấm hút dịch tiết vết thương - Therasorb Algi Plus Hydrophilic (20cmx20cmx0.5cm)</v>
      </c>
      <c r="D123" t="s">
        <v>2391</v>
      </c>
      <c r="E123" s="18" t="str">
        <f>INDEX('Attribute Definition'!$B:$B,MATCH($D123,'Attribute Definition'!$A:$A,0))</f>
        <v>Kiểu viền</v>
      </c>
      <c r="F123" s="34" t="s">
        <v>2514</v>
      </c>
    </row>
    <row r="124" spans="1:6" x14ac:dyDescent="0.25">
      <c r="A124" t="s">
        <v>1680</v>
      </c>
      <c r="B124" s="18" t="str">
        <f>INDEX('Product Variant'!$B:$B,MATCH($A124,'Product Variant'!$A:$A,0))</f>
        <v>PRODUCT-00266</v>
      </c>
      <c r="C124" s="18" t="str">
        <f>INDEX(Product!$B:$B,MATCH($B124,Product!$A:$A,0))</f>
        <v>[Wonbiogen] Gạc xốp siêu thấm hút dịch tiết vết thương - Therasorb Algi Plus Hydrophilic (20cmx20cmx0.5cm)</v>
      </c>
      <c r="D124" t="s">
        <v>2471</v>
      </c>
      <c r="E124" s="18" t="str">
        <f>INDEX('Attribute Definition'!$B:$B,MATCH($D124,'Attribute Definition'!$A:$A,0))</f>
        <v>Dạng sản phẩm</v>
      </c>
      <c r="F124" s="34" t="s">
        <v>2486</v>
      </c>
    </row>
    <row r="125" spans="1:6" x14ac:dyDescent="0.25">
      <c r="A125" t="s">
        <v>1681</v>
      </c>
      <c r="B125" s="18" t="str">
        <f>INDEX('Product Variant'!$B:$B,MATCH($A125,'Product Variant'!$A:$A,0))</f>
        <v>PRODUCT-00267</v>
      </c>
      <c r="C125" s="18" t="str">
        <f>INDEX(Product!$B:$B,MATCH($B125,Product!$A:$A,0))</f>
        <v>[Wonbiogen] Gạc xốp siêu thấm hút dịch tiết vết thương - Therasorb Algi Plus Hydrophilic (35cmx50cmx0.5cm)</v>
      </c>
      <c r="D125" t="s">
        <v>2342</v>
      </c>
      <c r="E125" s="18" t="str">
        <f>INDEX('Attribute Definition'!$B:$B,MATCH($D125,'Attribute Definition'!$A:$A,0))</f>
        <v>Kích thước</v>
      </c>
      <c r="F125" s="34" t="s">
        <v>2633</v>
      </c>
    </row>
    <row r="126" spans="1:6" x14ac:dyDescent="0.25">
      <c r="A126" t="s">
        <v>1681</v>
      </c>
      <c r="B126" s="18" t="str">
        <f>INDEX('Product Variant'!$B:$B,MATCH($A126,'Product Variant'!$A:$A,0))</f>
        <v>PRODUCT-00267</v>
      </c>
      <c r="C126" s="18" t="str">
        <f>INDEX(Product!$B:$B,MATCH($B126,Product!$A:$A,0))</f>
        <v>[Wonbiogen] Gạc xốp siêu thấm hút dịch tiết vết thương - Therasorb Algi Plus Hydrophilic (35cmx50cmx0.5cm)</v>
      </c>
      <c r="D126" t="s">
        <v>2367</v>
      </c>
      <c r="E126" s="18" t="str">
        <f>INDEX('Attribute Definition'!$B:$B,MATCH($D126,'Attribute Definition'!$A:$A,0))</f>
        <v>Chất liệu</v>
      </c>
      <c r="F126" s="34" t="s">
        <v>2511</v>
      </c>
    </row>
    <row r="127" spans="1:6" x14ac:dyDescent="0.25">
      <c r="A127" t="s">
        <v>1681</v>
      </c>
      <c r="B127" s="18" t="str">
        <f>INDEX('Product Variant'!$B:$B,MATCH($A127,'Product Variant'!$A:$A,0))</f>
        <v>PRODUCT-00267</v>
      </c>
      <c r="C127" s="18" t="str">
        <f>INDEX(Product!$B:$B,MATCH($B127,Product!$A:$A,0))</f>
        <v>[Wonbiogen] Gạc xốp siêu thấm hút dịch tiết vết thương - Therasorb Algi Plus Hydrophilic (35cmx50cmx0.5cm)</v>
      </c>
      <c r="D127" t="s">
        <v>2391</v>
      </c>
      <c r="E127" s="18" t="str">
        <f>INDEX('Attribute Definition'!$B:$B,MATCH($D127,'Attribute Definition'!$A:$A,0))</f>
        <v>Kiểu viền</v>
      </c>
      <c r="F127" s="34" t="s">
        <v>2514</v>
      </c>
    </row>
    <row r="128" spans="1:6" x14ac:dyDescent="0.25">
      <c r="A128" t="s">
        <v>1681</v>
      </c>
      <c r="B128" s="18" t="str">
        <f>INDEX('Product Variant'!$B:$B,MATCH($A128,'Product Variant'!$A:$A,0))</f>
        <v>PRODUCT-00267</v>
      </c>
      <c r="C128" s="18" t="str">
        <f>INDEX(Product!$B:$B,MATCH($B128,Product!$A:$A,0))</f>
        <v>[Wonbiogen] Gạc xốp siêu thấm hút dịch tiết vết thương - Therasorb Algi Plus Hydrophilic (35cmx50cmx0.5cm)</v>
      </c>
      <c r="D128" t="s">
        <v>2471</v>
      </c>
      <c r="E128" s="18" t="str">
        <f>INDEX('Attribute Definition'!$B:$B,MATCH($D128,'Attribute Definition'!$A:$A,0))</f>
        <v>Dạng sản phẩm</v>
      </c>
      <c r="F128" s="34" t="s">
        <v>2486</v>
      </c>
    </row>
    <row r="129" spans="1:6" x14ac:dyDescent="0.25">
      <c r="A129" t="s">
        <v>1682</v>
      </c>
      <c r="B129" s="18" t="str">
        <f>INDEX('Product Variant'!$B:$B,MATCH($A129,'Product Variant'!$A:$A,0))</f>
        <v>PRODUCT-00268</v>
      </c>
      <c r="C129" s="18" t="str">
        <f>INDEX(Product!$B:$B,MATCH($B129,Product!$A:$A,0))</f>
        <v>[Wonbiogen] Gạc xốp siêu thấm hút dịch tiết vết thương - Therasorb Algi Plus Hydrophilic (30cmx100cmx0.5cm)</v>
      </c>
      <c r="D129" t="s">
        <v>2342</v>
      </c>
      <c r="E129" s="18" t="str">
        <f>INDEX('Attribute Definition'!$B:$B,MATCH($D129,'Attribute Definition'!$A:$A,0))</f>
        <v>Kích thước</v>
      </c>
      <c r="F129" s="34" t="s">
        <v>2634</v>
      </c>
    </row>
    <row r="130" spans="1:6" x14ac:dyDescent="0.25">
      <c r="A130" t="s">
        <v>1682</v>
      </c>
      <c r="B130" s="18" t="str">
        <f>INDEX('Product Variant'!$B:$B,MATCH($A130,'Product Variant'!$A:$A,0))</f>
        <v>PRODUCT-00268</v>
      </c>
      <c r="C130" s="18" t="str">
        <f>INDEX(Product!$B:$B,MATCH($B130,Product!$A:$A,0))</f>
        <v>[Wonbiogen] Gạc xốp siêu thấm hút dịch tiết vết thương - Therasorb Algi Plus Hydrophilic (30cmx100cmx0.5cm)</v>
      </c>
      <c r="D130" t="s">
        <v>2367</v>
      </c>
      <c r="E130" s="18" t="str">
        <f>INDEX('Attribute Definition'!$B:$B,MATCH($D130,'Attribute Definition'!$A:$A,0))</f>
        <v>Chất liệu</v>
      </c>
      <c r="F130" s="34" t="s">
        <v>2511</v>
      </c>
    </row>
    <row r="131" spans="1:6" x14ac:dyDescent="0.25">
      <c r="A131" t="s">
        <v>1682</v>
      </c>
      <c r="B131" s="18" t="str">
        <f>INDEX('Product Variant'!$B:$B,MATCH($A131,'Product Variant'!$A:$A,0))</f>
        <v>PRODUCT-00268</v>
      </c>
      <c r="C131" s="18" t="str">
        <f>INDEX(Product!$B:$B,MATCH($B131,Product!$A:$A,0))</f>
        <v>[Wonbiogen] Gạc xốp siêu thấm hút dịch tiết vết thương - Therasorb Algi Plus Hydrophilic (30cmx100cmx0.5cm)</v>
      </c>
      <c r="D131" t="s">
        <v>2391</v>
      </c>
      <c r="E131" s="18" t="str">
        <f>INDEX('Attribute Definition'!$B:$B,MATCH($D131,'Attribute Definition'!$A:$A,0))</f>
        <v>Kiểu viền</v>
      </c>
      <c r="F131" s="34" t="s">
        <v>2514</v>
      </c>
    </row>
    <row r="132" spans="1:6" x14ac:dyDescent="0.25">
      <c r="A132" t="s">
        <v>1682</v>
      </c>
      <c r="B132" s="18" t="str">
        <f>INDEX('Product Variant'!$B:$B,MATCH($A132,'Product Variant'!$A:$A,0))</f>
        <v>PRODUCT-00268</v>
      </c>
      <c r="C132" s="18" t="str">
        <f>INDEX(Product!$B:$B,MATCH($B132,Product!$A:$A,0))</f>
        <v>[Wonbiogen] Gạc xốp siêu thấm hút dịch tiết vết thương - Therasorb Algi Plus Hydrophilic (30cmx100cmx0.5cm)</v>
      </c>
      <c r="D132" t="s">
        <v>2471</v>
      </c>
      <c r="E132" s="18" t="str">
        <f>INDEX('Attribute Definition'!$B:$B,MATCH($D132,'Attribute Definition'!$A:$A,0))</f>
        <v>Dạng sản phẩm</v>
      </c>
      <c r="F132" s="34" t="s">
        <v>2486</v>
      </c>
    </row>
    <row r="133" spans="1:6" x14ac:dyDescent="0.25">
      <c r="A133" t="s">
        <v>1683</v>
      </c>
      <c r="B133" s="18" t="str">
        <f>INDEX('Product Variant'!$B:$B,MATCH($A133,'Product Variant'!$A:$A,0))</f>
        <v>PRODUCT-00269</v>
      </c>
      <c r="C133" s="18" t="str">
        <f>INDEX(Product!$B:$B,MATCH($B133,Product!$A:$A,0))</f>
        <v>[Wonbiogen] Gạc xốp siêu thấm hút dịch tiết vết thương - Therasorb Algi Plus Hydrophilic (10cmx10cm)</v>
      </c>
      <c r="D133" t="s">
        <v>2342</v>
      </c>
      <c r="E133" s="18" t="str">
        <f>INDEX('Attribute Definition'!$B:$B,MATCH($D133,'Attribute Definition'!$A:$A,0))</f>
        <v>Kích thước</v>
      </c>
      <c r="F133" s="34" t="s">
        <v>2494</v>
      </c>
    </row>
    <row r="134" spans="1:6" x14ac:dyDescent="0.25">
      <c r="A134" t="s">
        <v>1683</v>
      </c>
      <c r="B134" s="18" t="str">
        <f>INDEX('Product Variant'!$B:$B,MATCH($A134,'Product Variant'!$A:$A,0))</f>
        <v>PRODUCT-00269</v>
      </c>
      <c r="C134" s="18" t="str">
        <f>INDEX(Product!$B:$B,MATCH($B134,Product!$A:$A,0))</f>
        <v>[Wonbiogen] Gạc xốp siêu thấm hút dịch tiết vết thương - Therasorb Algi Plus Hydrophilic (10cmx10cm)</v>
      </c>
      <c r="D134" t="s">
        <v>2367</v>
      </c>
      <c r="E134" s="18" t="str">
        <f>INDEX('Attribute Definition'!$B:$B,MATCH($D134,'Attribute Definition'!$A:$A,0))</f>
        <v>Chất liệu</v>
      </c>
      <c r="F134" s="34" t="s">
        <v>2511</v>
      </c>
    </row>
    <row r="135" spans="1:6" x14ac:dyDescent="0.25">
      <c r="A135" t="s">
        <v>1683</v>
      </c>
      <c r="B135" s="18" t="str">
        <f>INDEX('Product Variant'!$B:$B,MATCH($A135,'Product Variant'!$A:$A,0))</f>
        <v>PRODUCT-00269</v>
      </c>
      <c r="C135" s="18" t="str">
        <f>INDEX(Product!$B:$B,MATCH($B135,Product!$A:$A,0))</f>
        <v>[Wonbiogen] Gạc xốp siêu thấm hút dịch tiết vết thương - Therasorb Algi Plus Hydrophilic (10cmx10cm)</v>
      </c>
      <c r="D135" t="s">
        <v>2391</v>
      </c>
      <c r="E135" s="18" t="str">
        <f>INDEX('Attribute Definition'!$B:$B,MATCH($D135,'Attribute Definition'!$A:$A,0))</f>
        <v>Kiểu viền</v>
      </c>
      <c r="F135" s="34" t="s">
        <v>2514</v>
      </c>
    </row>
    <row r="136" spans="1:6" x14ac:dyDescent="0.25">
      <c r="A136" t="s">
        <v>1683</v>
      </c>
      <c r="B136" s="18" t="str">
        <f>INDEX('Product Variant'!$B:$B,MATCH($A136,'Product Variant'!$A:$A,0))</f>
        <v>PRODUCT-00269</v>
      </c>
      <c r="C136" s="18" t="str">
        <f>INDEX(Product!$B:$B,MATCH($B136,Product!$A:$A,0))</f>
        <v>[Wonbiogen] Gạc xốp siêu thấm hút dịch tiết vết thương - Therasorb Algi Plus Hydrophilic (10cmx10cm)</v>
      </c>
      <c r="D136" t="s">
        <v>2471</v>
      </c>
      <c r="E136" s="18" t="str">
        <f>INDEX('Attribute Definition'!$B:$B,MATCH($D136,'Attribute Definition'!$A:$A,0))</f>
        <v>Dạng sản phẩm</v>
      </c>
      <c r="F136" s="34" t="s">
        <v>2486</v>
      </c>
    </row>
    <row r="137" spans="1:6" x14ac:dyDescent="0.25">
      <c r="A137" t="s">
        <v>1684</v>
      </c>
      <c r="B137" s="18" t="str">
        <f>INDEX('Product Variant'!$B:$B,MATCH($A137,'Product Variant'!$A:$A,0))</f>
        <v>PRODUCT-00270</v>
      </c>
      <c r="C137" s="18" t="str">
        <f>INDEX(Product!$B:$B,MATCH($B137,Product!$A:$A,0))</f>
        <v>[Wonbiogen] Gạc xốp siêu thấm hút dịch tiết vết thương - Therasorb Algi Plus Hydrophilic (20cmx20cm)</v>
      </c>
      <c r="D137" t="s">
        <v>2342</v>
      </c>
      <c r="E137" s="18" t="str">
        <f>INDEX('Attribute Definition'!$B:$B,MATCH($D137,'Attribute Definition'!$A:$A,0))</f>
        <v>Kích thước</v>
      </c>
      <c r="F137" s="34" t="s">
        <v>2635</v>
      </c>
    </row>
    <row r="138" spans="1:6" x14ac:dyDescent="0.25">
      <c r="A138" t="s">
        <v>1684</v>
      </c>
      <c r="B138" s="18" t="str">
        <f>INDEX('Product Variant'!$B:$B,MATCH($A138,'Product Variant'!$A:$A,0))</f>
        <v>PRODUCT-00270</v>
      </c>
      <c r="C138" s="18" t="str">
        <f>INDEX(Product!$B:$B,MATCH($B138,Product!$A:$A,0))</f>
        <v>[Wonbiogen] Gạc xốp siêu thấm hút dịch tiết vết thương - Therasorb Algi Plus Hydrophilic (20cmx20cm)</v>
      </c>
      <c r="D138" t="s">
        <v>2367</v>
      </c>
      <c r="E138" s="18" t="str">
        <f>INDEX('Attribute Definition'!$B:$B,MATCH($D138,'Attribute Definition'!$A:$A,0))</f>
        <v>Chất liệu</v>
      </c>
      <c r="F138" s="34" t="s">
        <v>2511</v>
      </c>
    </row>
    <row r="139" spans="1:6" x14ac:dyDescent="0.25">
      <c r="A139" t="s">
        <v>1684</v>
      </c>
      <c r="B139" s="18" t="str">
        <f>INDEX('Product Variant'!$B:$B,MATCH($A139,'Product Variant'!$A:$A,0))</f>
        <v>PRODUCT-00270</v>
      </c>
      <c r="C139" s="18" t="str">
        <f>INDEX(Product!$B:$B,MATCH($B139,Product!$A:$A,0))</f>
        <v>[Wonbiogen] Gạc xốp siêu thấm hút dịch tiết vết thương - Therasorb Algi Plus Hydrophilic (20cmx20cm)</v>
      </c>
      <c r="D139" t="s">
        <v>2391</v>
      </c>
      <c r="E139" s="18" t="str">
        <f>INDEX('Attribute Definition'!$B:$B,MATCH($D139,'Attribute Definition'!$A:$A,0))</f>
        <v>Kiểu viền</v>
      </c>
      <c r="F139" s="34" t="s">
        <v>2514</v>
      </c>
    </row>
    <row r="140" spans="1:6" x14ac:dyDescent="0.25">
      <c r="A140" t="s">
        <v>1684</v>
      </c>
      <c r="B140" s="18" t="str">
        <f>INDEX('Product Variant'!$B:$B,MATCH($A140,'Product Variant'!$A:$A,0))</f>
        <v>PRODUCT-00270</v>
      </c>
      <c r="C140" s="18" t="str">
        <f>INDEX(Product!$B:$B,MATCH($B140,Product!$A:$A,0))</f>
        <v>[Wonbiogen] Gạc xốp siêu thấm hút dịch tiết vết thương - Therasorb Algi Plus Hydrophilic (20cmx20cm)</v>
      </c>
      <c r="D140" t="s">
        <v>2471</v>
      </c>
      <c r="E140" s="18" t="str">
        <f>INDEX('Attribute Definition'!$B:$B,MATCH($D140,'Attribute Definition'!$A:$A,0))</f>
        <v>Dạng sản phẩm</v>
      </c>
      <c r="F140" s="34" t="s">
        <v>2486</v>
      </c>
    </row>
    <row r="141" spans="1:6" x14ac:dyDescent="0.25">
      <c r="A141" t="s">
        <v>1685</v>
      </c>
      <c r="B141" s="18" t="str">
        <f>INDEX('Product Variant'!$B:$B,MATCH($A141,'Product Variant'!$A:$A,0))</f>
        <v>PRODUCT-00271</v>
      </c>
      <c r="C141" s="18" t="str">
        <f>INDEX(Product!$B:$B,MATCH($B141,Product!$A:$A,0))</f>
        <v>[Wonbiogen] Gạc xốp siêu thấm hút dịch tiết vết thương - Therasorb Algi Plus Hydrophilic (35cmx50cm)</v>
      </c>
      <c r="D141" t="s">
        <v>2342</v>
      </c>
      <c r="E141" s="18" t="str">
        <f>INDEX('Attribute Definition'!$B:$B,MATCH($D141,'Attribute Definition'!$A:$A,0))</f>
        <v>Kích thước</v>
      </c>
      <c r="F141" s="34" t="s">
        <v>2636</v>
      </c>
    </row>
    <row r="142" spans="1:6" x14ac:dyDescent="0.25">
      <c r="A142" t="s">
        <v>1685</v>
      </c>
      <c r="B142" s="18" t="str">
        <f>INDEX('Product Variant'!$B:$B,MATCH($A142,'Product Variant'!$A:$A,0))</f>
        <v>PRODUCT-00271</v>
      </c>
      <c r="C142" s="18" t="str">
        <f>INDEX(Product!$B:$B,MATCH($B142,Product!$A:$A,0))</f>
        <v>[Wonbiogen] Gạc xốp siêu thấm hút dịch tiết vết thương - Therasorb Algi Plus Hydrophilic (35cmx50cm)</v>
      </c>
      <c r="D142" t="s">
        <v>2367</v>
      </c>
      <c r="E142" s="18" t="str">
        <f>INDEX('Attribute Definition'!$B:$B,MATCH($D142,'Attribute Definition'!$A:$A,0))</f>
        <v>Chất liệu</v>
      </c>
      <c r="F142" s="34" t="s">
        <v>2511</v>
      </c>
    </row>
    <row r="143" spans="1:6" x14ac:dyDescent="0.25">
      <c r="A143" t="s">
        <v>1685</v>
      </c>
      <c r="B143" s="18" t="str">
        <f>INDEX('Product Variant'!$B:$B,MATCH($A143,'Product Variant'!$A:$A,0))</f>
        <v>PRODUCT-00271</v>
      </c>
      <c r="C143" s="18" t="str">
        <f>INDEX(Product!$B:$B,MATCH($B143,Product!$A:$A,0))</f>
        <v>[Wonbiogen] Gạc xốp siêu thấm hút dịch tiết vết thương - Therasorb Algi Plus Hydrophilic (35cmx50cm)</v>
      </c>
      <c r="D143" t="s">
        <v>2391</v>
      </c>
      <c r="E143" s="18" t="str">
        <f>INDEX('Attribute Definition'!$B:$B,MATCH($D143,'Attribute Definition'!$A:$A,0))</f>
        <v>Kiểu viền</v>
      </c>
      <c r="F143" s="34" t="s">
        <v>2514</v>
      </c>
    </row>
    <row r="144" spans="1:6" x14ac:dyDescent="0.25">
      <c r="A144" t="s">
        <v>1685</v>
      </c>
      <c r="B144" s="18" t="str">
        <f>INDEX('Product Variant'!$B:$B,MATCH($A144,'Product Variant'!$A:$A,0))</f>
        <v>PRODUCT-00271</v>
      </c>
      <c r="C144" s="18" t="str">
        <f>INDEX(Product!$B:$B,MATCH($B144,Product!$A:$A,0))</f>
        <v>[Wonbiogen] Gạc xốp siêu thấm hút dịch tiết vết thương - Therasorb Algi Plus Hydrophilic (35cmx50cm)</v>
      </c>
      <c r="D144" t="s">
        <v>2471</v>
      </c>
      <c r="E144" s="18" t="str">
        <f>INDEX('Attribute Definition'!$B:$B,MATCH($D144,'Attribute Definition'!$A:$A,0))</f>
        <v>Dạng sản phẩm</v>
      </c>
      <c r="F144" s="34" t="s">
        <v>2486</v>
      </c>
    </row>
    <row r="145" spans="1:6" x14ac:dyDescent="0.25">
      <c r="A145" t="s">
        <v>1686</v>
      </c>
      <c r="B145" s="18" t="str">
        <f>INDEX('Product Variant'!$B:$B,MATCH($A145,'Product Variant'!$A:$A,0))</f>
        <v>PRODUCT-00029</v>
      </c>
      <c r="C145" s="18" t="str">
        <f>INDEX(Product!$B:$B,MATCH($B145,Product!$A:$A,0))</f>
        <v>[Wonbiogen] Gạc xốp tẩm bạc kháng khuẩn - Therasorb® Ag Plus (10cmx10cm)</v>
      </c>
      <c r="D145" t="s">
        <v>2342</v>
      </c>
      <c r="E145" s="18" t="str">
        <f>INDEX('Attribute Definition'!$B:$B,MATCH($D145,'Attribute Definition'!$A:$A,0))</f>
        <v>Kích thước</v>
      </c>
      <c r="F145" s="34" t="s">
        <v>2494</v>
      </c>
    </row>
    <row r="146" spans="1:6" x14ac:dyDescent="0.25">
      <c r="A146" t="s">
        <v>1686</v>
      </c>
      <c r="B146" s="18" t="str">
        <f>INDEX('Product Variant'!$B:$B,MATCH($A146,'Product Variant'!$A:$A,0))</f>
        <v>PRODUCT-00029</v>
      </c>
      <c r="C146" s="18" t="str">
        <f>INDEX(Product!$B:$B,MATCH($B146,Product!$A:$A,0))</f>
        <v>[Wonbiogen] Gạc xốp tẩm bạc kháng khuẩn - Therasorb® Ag Plus (10cmx10cm)</v>
      </c>
      <c r="D146" t="s">
        <v>2367</v>
      </c>
      <c r="E146" s="18" t="str">
        <f>INDEX('Attribute Definition'!$B:$B,MATCH($D146,'Attribute Definition'!$A:$A,0))</f>
        <v>Chất liệu</v>
      </c>
      <c r="F146" s="34" t="s">
        <v>2511</v>
      </c>
    </row>
    <row r="147" spans="1:6" x14ac:dyDescent="0.25">
      <c r="A147" t="s">
        <v>1686</v>
      </c>
      <c r="B147" s="18" t="str">
        <f>INDEX('Product Variant'!$B:$B,MATCH($A147,'Product Variant'!$A:$A,0))</f>
        <v>PRODUCT-00029</v>
      </c>
      <c r="C147" s="18" t="str">
        <f>INDEX(Product!$B:$B,MATCH($B147,Product!$A:$A,0))</f>
        <v>[Wonbiogen] Gạc xốp tẩm bạc kháng khuẩn - Therasorb® Ag Plus (10cmx10cm)</v>
      </c>
      <c r="D147" t="s">
        <v>2386</v>
      </c>
      <c r="E147" s="18" t="str">
        <f>INDEX('Attribute Definition'!$B:$B,MATCH($D147,'Attribute Definition'!$A:$A,0))</f>
        <v>Thành phần kháng khuẩn</v>
      </c>
      <c r="F147" s="34" t="s">
        <v>2508</v>
      </c>
    </row>
    <row r="148" spans="1:6" x14ac:dyDescent="0.25">
      <c r="A148" t="s">
        <v>1686</v>
      </c>
      <c r="B148" s="18" t="str">
        <f>INDEX('Product Variant'!$B:$B,MATCH($A148,'Product Variant'!$A:$A,0))</f>
        <v>PRODUCT-00029</v>
      </c>
      <c r="C148" s="18" t="str">
        <f>INDEX(Product!$B:$B,MATCH($B148,Product!$A:$A,0))</f>
        <v>[Wonbiogen] Gạc xốp tẩm bạc kháng khuẩn - Therasorb® Ag Plus (10cmx10cm)</v>
      </c>
      <c r="D148" t="s">
        <v>2471</v>
      </c>
      <c r="E148" s="18" t="str">
        <f>INDEX('Attribute Definition'!$B:$B,MATCH($D148,'Attribute Definition'!$A:$A,0))</f>
        <v>Dạng sản phẩm</v>
      </c>
      <c r="F148" s="34" t="s">
        <v>2486</v>
      </c>
    </row>
    <row r="149" spans="1:6" x14ac:dyDescent="0.25">
      <c r="A149" t="s">
        <v>1687</v>
      </c>
      <c r="B149" s="18" t="str">
        <f>INDEX('Product Variant'!$B:$B,MATCH($A149,'Product Variant'!$A:$A,0))</f>
        <v>PRODUCT-00272</v>
      </c>
      <c r="C149" s="18" t="str">
        <f>INDEX(Product!$B:$B,MATCH($B149,Product!$A:$A,0))</f>
        <v>[Wonbiogen] Gạc xốp tẩm bạc kháng khuẩn - Therasorb® Ag Plus (20cmx20cm)</v>
      </c>
      <c r="D149" t="s">
        <v>2342</v>
      </c>
      <c r="E149" s="18" t="str">
        <f>INDEX('Attribute Definition'!$B:$B,MATCH($D149,'Attribute Definition'!$A:$A,0))</f>
        <v>Kích thước</v>
      </c>
      <c r="F149" s="34" t="s">
        <v>2635</v>
      </c>
    </row>
    <row r="150" spans="1:6" x14ac:dyDescent="0.25">
      <c r="A150" t="s">
        <v>1687</v>
      </c>
      <c r="B150" s="18" t="str">
        <f>INDEX('Product Variant'!$B:$B,MATCH($A150,'Product Variant'!$A:$A,0))</f>
        <v>PRODUCT-00272</v>
      </c>
      <c r="C150" s="18" t="str">
        <f>INDEX(Product!$B:$B,MATCH($B150,Product!$A:$A,0))</f>
        <v>[Wonbiogen] Gạc xốp tẩm bạc kháng khuẩn - Therasorb® Ag Plus (20cmx20cm)</v>
      </c>
      <c r="D150" t="s">
        <v>2367</v>
      </c>
      <c r="E150" s="18" t="str">
        <f>INDEX('Attribute Definition'!$B:$B,MATCH($D150,'Attribute Definition'!$A:$A,0))</f>
        <v>Chất liệu</v>
      </c>
      <c r="F150" s="34" t="s">
        <v>2511</v>
      </c>
    </row>
    <row r="151" spans="1:6" x14ac:dyDescent="0.25">
      <c r="A151" t="s">
        <v>1687</v>
      </c>
      <c r="B151" s="18" t="str">
        <f>INDEX('Product Variant'!$B:$B,MATCH($A151,'Product Variant'!$A:$A,0))</f>
        <v>PRODUCT-00272</v>
      </c>
      <c r="C151" s="18" t="str">
        <f>INDEX(Product!$B:$B,MATCH($B151,Product!$A:$A,0))</f>
        <v>[Wonbiogen] Gạc xốp tẩm bạc kháng khuẩn - Therasorb® Ag Plus (20cmx20cm)</v>
      </c>
      <c r="D151" t="s">
        <v>2386</v>
      </c>
      <c r="E151" s="18" t="str">
        <f>INDEX('Attribute Definition'!$B:$B,MATCH($D151,'Attribute Definition'!$A:$A,0))</f>
        <v>Thành phần kháng khuẩn</v>
      </c>
      <c r="F151" s="34" t="s">
        <v>2508</v>
      </c>
    </row>
    <row r="152" spans="1:6" x14ac:dyDescent="0.25">
      <c r="A152" t="s">
        <v>1687</v>
      </c>
      <c r="B152" s="18" t="str">
        <f>INDEX('Product Variant'!$B:$B,MATCH($A152,'Product Variant'!$A:$A,0))</f>
        <v>PRODUCT-00272</v>
      </c>
      <c r="C152" s="18" t="str">
        <f>INDEX(Product!$B:$B,MATCH($B152,Product!$A:$A,0))</f>
        <v>[Wonbiogen] Gạc xốp tẩm bạc kháng khuẩn - Therasorb® Ag Plus (20cmx20cm)</v>
      </c>
      <c r="D152" t="s">
        <v>2471</v>
      </c>
      <c r="E152" s="18" t="str">
        <f>INDEX('Attribute Definition'!$B:$B,MATCH($D152,'Attribute Definition'!$A:$A,0))</f>
        <v>Dạng sản phẩm</v>
      </c>
      <c r="F152" s="34" t="s">
        <v>2486</v>
      </c>
    </row>
    <row r="153" spans="1:6" x14ac:dyDescent="0.25">
      <c r="A153" t="s">
        <v>1688</v>
      </c>
      <c r="B153" s="18" t="str">
        <f>INDEX('Product Variant'!$B:$B,MATCH($A153,'Product Variant'!$A:$A,0))</f>
        <v>PRODUCT-00030</v>
      </c>
      <c r="C153" s="18" t="str">
        <f>INDEX(Product!$B:$B,MATCH($B153,Product!$A:$A,0))</f>
        <v>[Wonbiogen] Gel kháng khuẩn vết thương - SurgiGel</v>
      </c>
      <c r="D153" t="s">
        <v>2386</v>
      </c>
      <c r="E153" s="18" t="str">
        <f>INDEX('Attribute Definition'!$B:$B,MATCH($D153,'Attribute Definition'!$A:$A,0))</f>
        <v>Thành phần kháng khuẩn</v>
      </c>
      <c r="F153" s="34" t="s">
        <v>2508</v>
      </c>
    </row>
    <row r="154" spans="1:6" x14ac:dyDescent="0.25">
      <c r="A154" t="s">
        <v>1688</v>
      </c>
      <c r="B154" s="18" t="str">
        <f>INDEX('Product Variant'!$B:$B,MATCH($A154,'Product Variant'!$A:$A,0))</f>
        <v>PRODUCT-00030</v>
      </c>
      <c r="C154" s="18" t="str">
        <f>INDEX(Product!$B:$B,MATCH($B154,Product!$A:$A,0))</f>
        <v>[Wonbiogen] Gel kháng khuẩn vết thương - SurgiGel</v>
      </c>
      <c r="D154" t="s">
        <v>2471</v>
      </c>
      <c r="E154" s="18" t="str">
        <f>INDEX('Attribute Definition'!$B:$B,MATCH($D154,'Attribute Definition'!$A:$A,0))</f>
        <v>Dạng sản phẩm</v>
      </c>
      <c r="F154" s="34" t="s">
        <v>2496</v>
      </c>
    </row>
    <row r="155" spans="1:6" x14ac:dyDescent="0.25">
      <c r="A155" t="s">
        <v>1689</v>
      </c>
      <c r="B155" s="18" t="str">
        <f>INDEX('Product Variant'!$B:$B,MATCH($A155,'Product Variant'!$A:$A,0))</f>
        <v>PRODUCT-00031</v>
      </c>
      <c r="C155" s="18" t="str">
        <f>INDEX(Product!$B:$B,MATCH($B155,Product!$A:$A,0))</f>
        <v>[Wonbiogen] Kem gel silicone trị sẹo - RemScar® Gel (15g)</v>
      </c>
      <c r="D155" t="s">
        <v>2356</v>
      </c>
      <c r="E155" s="18" t="str">
        <f>INDEX('Attribute Definition'!$B:$B,MATCH($D155,'Attribute Definition'!$A:$A,0))</f>
        <v>Khối lượng tịnh</v>
      </c>
      <c r="F155" s="34" t="s">
        <v>2515</v>
      </c>
    </row>
    <row r="156" spans="1:6" x14ac:dyDescent="0.25">
      <c r="A156" t="s">
        <v>1689</v>
      </c>
      <c r="B156" s="18" t="str">
        <f>INDEX('Product Variant'!$B:$B,MATCH($A156,'Product Variant'!$A:$A,0))</f>
        <v>PRODUCT-00031</v>
      </c>
      <c r="C156" s="18" t="str">
        <f>INDEX(Product!$B:$B,MATCH($B156,Product!$A:$A,0))</f>
        <v>[Wonbiogen] Kem gel silicone trị sẹo - RemScar® Gel (15g)</v>
      </c>
      <c r="D156" t="s">
        <v>2367</v>
      </c>
      <c r="E156" s="18" t="str">
        <f>INDEX('Attribute Definition'!$B:$B,MATCH($D156,'Attribute Definition'!$A:$A,0))</f>
        <v>Chất liệu</v>
      </c>
      <c r="F156" s="34" t="s">
        <v>2516</v>
      </c>
    </row>
    <row r="157" spans="1:6" x14ac:dyDescent="0.25">
      <c r="A157" t="s">
        <v>1689</v>
      </c>
      <c r="B157" s="18" t="str">
        <f>INDEX('Product Variant'!$B:$B,MATCH($A157,'Product Variant'!$A:$A,0))</f>
        <v>PRODUCT-00031</v>
      </c>
      <c r="C157" s="18" t="str">
        <f>INDEX(Product!$B:$B,MATCH($B157,Product!$A:$A,0))</f>
        <v>[Wonbiogen] Kem gel silicone trị sẹo - RemScar® Gel (15g)</v>
      </c>
      <c r="D157" t="s">
        <v>2471</v>
      </c>
      <c r="E157" s="18" t="str">
        <f>INDEX('Attribute Definition'!$B:$B,MATCH($D157,'Attribute Definition'!$A:$A,0))</f>
        <v>Dạng sản phẩm</v>
      </c>
      <c r="F157" s="34" t="s">
        <v>2496</v>
      </c>
    </row>
    <row r="158" spans="1:6" x14ac:dyDescent="0.25">
      <c r="A158" t="s">
        <v>1690</v>
      </c>
      <c r="B158" s="18" t="str">
        <f>INDEX('Product Variant'!$B:$B,MATCH($A158,'Product Variant'!$A:$A,0))</f>
        <v>PRODUCT-00273</v>
      </c>
      <c r="C158" s="18" t="str">
        <f>INDEX(Product!$B:$B,MATCH($B158,Product!$A:$A,0))</f>
        <v>[Wonbiogen] Kem gel silicone trị sẹo - RemScar® Gel (30g)</v>
      </c>
      <c r="D158" t="s">
        <v>2356</v>
      </c>
      <c r="E158" s="18" t="str">
        <f>INDEX('Attribute Definition'!$B:$B,MATCH($D158,'Attribute Definition'!$A:$A,0))</f>
        <v>Khối lượng tịnh</v>
      </c>
      <c r="F158" s="34" t="s">
        <v>2626</v>
      </c>
    </row>
    <row r="159" spans="1:6" x14ac:dyDescent="0.25">
      <c r="A159" t="s">
        <v>1690</v>
      </c>
      <c r="B159" s="18" t="str">
        <f>INDEX('Product Variant'!$B:$B,MATCH($A159,'Product Variant'!$A:$A,0))</f>
        <v>PRODUCT-00273</v>
      </c>
      <c r="C159" s="18" t="str">
        <f>INDEX(Product!$B:$B,MATCH($B159,Product!$A:$A,0))</f>
        <v>[Wonbiogen] Kem gel silicone trị sẹo - RemScar® Gel (30g)</v>
      </c>
      <c r="D159" t="s">
        <v>2367</v>
      </c>
      <c r="E159" s="18" t="str">
        <f>INDEX('Attribute Definition'!$B:$B,MATCH($D159,'Attribute Definition'!$A:$A,0))</f>
        <v>Chất liệu</v>
      </c>
      <c r="F159" s="34" t="s">
        <v>2516</v>
      </c>
    </row>
    <row r="160" spans="1:6" x14ac:dyDescent="0.25">
      <c r="A160" t="s">
        <v>1690</v>
      </c>
      <c r="B160" s="18" t="str">
        <f>INDEX('Product Variant'!$B:$B,MATCH($A160,'Product Variant'!$A:$A,0))</f>
        <v>PRODUCT-00273</v>
      </c>
      <c r="C160" s="18" t="str">
        <f>INDEX(Product!$B:$B,MATCH($B160,Product!$A:$A,0))</f>
        <v>[Wonbiogen] Kem gel silicone trị sẹo - RemScar® Gel (30g)</v>
      </c>
      <c r="D160" t="s">
        <v>2471</v>
      </c>
      <c r="E160" s="18" t="str">
        <f>INDEX('Attribute Definition'!$B:$B,MATCH($D160,'Attribute Definition'!$A:$A,0))</f>
        <v>Dạng sản phẩm</v>
      </c>
      <c r="F160" s="34" t="s">
        <v>2496</v>
      </c>
    </row>
    <row r="161" spans="1:6" x14ac:dyDescent="0.25">
      <c r="A161" t="s">
        <v>1691</v>
      </c>
      <c r="B161" s="18" t="str">
        <f>INDEX('Product Variant'!$B:$B,MATCH($A161,'Product Variant'!$A:$A,0))</f>
        <v>PRODUCT-00032</v>
      </c>
      <c r="C161" s="18" t="str">
        <f>INDEX(Product!$B:$B,MATCH($B161,Product!$A:$A,0))</f>
        <v>[Wonbiogen] Miếng dán silicone trị sẹo lồi, sẹo thâm - RemScar® TR (12cmx15cm)</v>
      </c>
      <c r="D161" t="s">
        <v>2342</v>
      </c>
      <c r="E161" s="18" t="str">
        <f>INDEX('Attribute Definition'!$B:$B,MATCH($D161,'Attribute Definition'!$A:$A,0))</f>
        <v>Kích thước</v>
      </c>
      <c r="F161" s="34" t="s">
        <v>2517</v>
      </c>
    </row>
    <row r="162" spans="1:6" x14ac:dyDescent="0.25">
      <c r="A162" t="s">
        <v>1691</v>
      </c>
      <c r="B162" s="18" t="str">
        <f>INDEX('Product Variant'!$B:$B,MATCH($A162,'Product Variant'!$A:$A,0))</f>
        <v>PRODUCT-00032</v>
      </c>
      <c r="C162" s="18" t="str">
        <f>INDEX(Product!$B:$B,MATCH($B162,Product!$A:$A,0))</f>
        <v>[Wonbiogen] Miếng dán silicone trị sẹo lồi, sẹo thâm - RemScar® TR (12cmx15cm)</v>
      </c>
      <c r="D162" t="s">
        <v>2367</v>
      </c>
      <c r="E162" s="18" t="str">
        <f>INDEX('Attribute Definition'!$B:$B,MATCH($D162,'Attribute Definition'!$A:$A,0))</f>
        <v>Chất liệu</v>
      </c>
      <c r="F162" s="34" t="s">
        <v>2516</v>
      </c>
    </row>
    <row r="163" spans="1:6" x14ac:dyDescent="0.25">
      <c r="A163" t="s">
        <v>1691</v>
      </c>
      <c r="B163" s="18" t="str">
        <f>INDEX('Product Variant'!$B:$B,MATCH($A163,'Product Variant'!$A:$A,0))</f>
        <v>PRODUCT-00032</v>
      </c>
      <c r="C163" s="18" t="str">
        <f>INDEX(Product!$B:$B,MATCH($B163,Product!$A:$A,0))</f>
        <v>[Wonbiogen] Miếng dán silicone trị sẹo lồi, sẹo thâm - RemScar® TR (12cmx15cm)</v>
      </c>
      <c r="D163" t="s">
        <v>2471</v>
      </c>
      <c r="E163" s="18" t="str">
        <f>INDEX('Attribute Definition'!$B:$B,MATCH($D163,'Attribute Definition'!$A:$A,0))</f>
        <v>Dạng sản phẩm</v>
      </c>
      <c r="F163" s="34" t="s">
        <v>2486</v>
      </c>
    </row>
    <row r="164" spans="1:6" x14ac:dyDescent="0.25">
      <c r="A164" t="s">
        <v>1692</v>
      </c>
      <c r="B164" s="18" t="str">
        <f>INDEX('Product Variant'!$B:$B,MATCH($A164,'Product Variant'!$A:$A,0))</f>
        <v>PRODUCT-00274</v>
      </c>
      <c r="C164" s="18" t="str">
        <f>INDEX(Product!$B:$B,MATCH($B164,Product!$A:$A,0))</f>
        <v>[Wonbiogen] Miếng dán silicone trị sẹo lồi, sẹo thâm - RemScar® TR (3.5cmx15cm)</v>
      </c>
      <c r="D164" t="s">
        <v>2342</v>
      </c>
      <c r="E164" s="18" t="str">
        <f>INDEX('Attribute Definition'!$B:$B,MATCH($D164,'Attribute Definition'!$A:$A,0))</f>
        <v>Kích thước</v>
      </c>
      <c r="F164" s="34" t="s">
        <v>2637</v>
      </c>
    </row>
    <row r="165" spans="1:6" x14ac:dyDescent="0.25">
      <c r="A165" t="s">
        <v>1692</v>
      </c>
      <c r="B165" s="18" t="str">
        <f>INDEX('Product Variant'!$B:$B,MATCH($A165,'Product Variant'!$A:$A,0))</f>
        <v>PRODUCT-00274</v>
      </c>
      <c r="C165" s="18" t="str">
        <f>INDEX(Product!$B:$B,MATCH($B165,Product!$A:$A,0))</f>
        <v>[Wonbiogen] Miếng dán silicone trị sẹo lồi, sẹo thâm - RemScar® TR (3.5cmx15cm)</v>
      </c>
      <c r="D165" t="s">
        <v>2367</v>
      </c>
      <c r="E165" s="18" t="str">
        <f>INDEX('Attribute Definition'!$B:$B,MATCH($D165,'Attribute Definition'!$A:$A,0))</f>
        <v>Chất liệu</v>
      </c>
      <c r="F165" s="34" t="s">
        <v>2516</v>
      </c>
    </row>
    <row r="166" spans="1:6" x14ac:dyDescent="0.25">
      <c r="A166" t="s">
        <v>1692</v>
      </c>
      <c r="B166" s="18" t="str">
        <f>INDEX('Product Variant'!$B:$B,MATCH($A166,'Product Variant'!$A:$A,0))</f>
        <v>PRODUCT-00274</v>
      </c>
      <c r="C166" s="18" t="str">
        <f>INDEX(Product!$B:$B,MATCH($B166,Product!$A:$A,0))</f>
        <v>[Wonbiogen] Miếng dán silicone trị sẹo lồi, sẹo thâm - RemScar® TR (3.5cmx15cm)</v>
      </c>
      <c r="D166" t="s">
        <v>2471</v>
      </c>
      <c r="E166" s="18" t="str">
        <f>INDEX('Attribute Definition'!$B:$B,MATCH($D166,'Attribute Definition'!$A:$A,0))</f>
        <v>Dạng sản phẩm</v>
      </c>
      <c r="F166" s="34" t="s">
        <v>2486</v>
      </c>
    </row>
    <row r="167" spans="1:6" x14ac:dyDescent="0.25">
      <c r="A167" t="s">
        <v>1693</v>
      </c>
      <c r="B167" s="18" t="str">
        <f>INDEX('Product Variant'!$B:$B,MATCH($A167,'Product Variant'!$A:$A,0))</f>
        <v>PRODUCT-00275</v>
      </c>
      <c r="C167" s="18" t="str">
        <f>INDEX(Product!$B:$B,MATCH($B167,Product!$A:$A,0))</f>
        <v>[Wonbiogen] Miếng dán silicone trị sẹo lồi, sẹo thâm - RemScar® TR (5cmx6cm)</v>
      </c>
      <c r="D167" t="s">
        <v>2342</v>
      </c>
      <c r="E167" s="18" t="str">
        <f>INDEX('Attribute Definition'!$B:$B,MATCH($D167,'Attribute Definition'!$A:$A,0))</f>
        <v>Kích thước</v>
      </c>
      <c r="F167" s="34" t="s">
        <v>2638</v>
      </c>
    </row>
    <row r="168" spans="1:6" x14ac:dyDescent="0.25">
      <c r="A168" t="s">
        <v>1693</v>
      </c>
      <c r="B168" s="18" t="str">
        <f>INDEX('Product Variant'!$B:$B,MATCH($A168,'Product Variant'!$A:$A,0))</f>
        <v>PRODUCT-00275</v>
      </c>
      <c r="C168" s="18" t="str">
        <f>INDEX(Product!$B:$B,MATCH($B168,Product!$A:$A,0))</f>
        <v>[Wonbiogen] Miếng dán silicone trị sẹo lồi, sẹo thâm - RemScar® TR (5cmx6cm)</v>
      </c>
      <c r="D168" t="s">
        <v>2367</v>
      </c>
      <c r="E168" s="18" t="str">
        <f>INDEX('Attribute Definition'!$B:$B,MATCH($D168,'Attribute Definition'!$A:$A,0))</f>
        <v>Chất liệu</v>
      </c>
      <c r="F168" s="34" t="s">
        <v>2516</v>
      </c>
    </row>
    <row r="169" spans="1:6" x14ac:dyDescent="0.25">
      <c r="A169" t="s">
        <v>1693</v>
      </c>
      <c r="B169" s="18" t="str">
        <f>INDEX('Product Variant'!$B:$B,MATCH($A169,'Product Variant'!$A:$A,0))</f>
        <v>PRODUCT-00275</v>
      </c>
      <c r="C169" s="18" t="str">
        <f>INDEX(Product!$B:$B,MATCH($B169,Product!$A:$A,0))</f>
        <v>[Wonbiogen] Miếng dán silicone trị sẹo lồi, sẹo thâm - RemScar® TR (5cmx6cm)</v>
      </c>
      <c r="D169" t="s">
        <v>2471</v>
      </c>
      <c r="E169" s="18" t="str">
        <f>INDEX('Attribute Definition'!$B:$B,MATCH($D169,'Attribute Definition'!$A:$A,0))</f>
        <v>Dạng sản phẩm</v>
      </c>
      <c r="F169" s="34" t="s">
        <v>2486</v>
      </c>
    </row>
    <row r="170" spans="1:6" x14ac:dyDescent="0.25">
      <c r="A170" t="s">
        <v>1694</v>
      </c>
      <c r="B170" s="18" t="str">
        <f>INDEX('Product Variant'!$B:$B,MATCH($A170,'Product Variant'!$A:$A,0))</f>
        <v>PRODUCT-00033</v>
      </c>
      <c r="C170" s="18" t="str">
        <f>INDEX(Product!$B:$B,MATCH($B170,Product!$A:$A,0))</f>
        <v>[Yafho] Gạc xốp hút dịch chống loét có viền dính silicone (18cmx18cm)</v>
      </c>
      <c r="D170" t="s">
        <v>2342</v>
      </c>
      <c r="E170" s="18" t="str">
        <f>INDEX('Attribute Definition'!$B:$B,MATCH($D170,'Attribute Definition'!$A:$A,0))</f>
        <v>Kích thước</v>
      </c>
      <c r="F170" s="34" t="s">
        <v>2518</v>
      </c>
    </row>
    <row r="171" spans="1:6" x14ac:dyDescent="0.25">
      <c r="A171" t="s">
        <v>1694</v>
      </c>
      <c r="B171" s="18" t="str">
        <f>INDEX('Product Variant'!$B:$B,MATCH($A171,'Product Variant'!$A:$A,0))</f>
        <v>PRODUCT-00033</v>
      </c>
      <c r="C171" s="18" t="str">
        <f>INDEX(Product!$B:$B,MATCH($B171,Product!$A:$A,0))</f>
        <v>[Yafho] Gạc xốp hút dịch chống loét có viền dính silicone (18cmx18cm)</v>
      </c>
      <c r="D171" t="s">
        <v>2367</v>
      </c>
      <c r="E171" s="18" t="str">
        <f>INDEX('Attribute Definition'!$B:$B,MATCH($D171,'Attribute Definition'!$A:$A,0))</f>
        <v>Chất liệu</v>
      </c>
      <c r="F171" s="34" t="s">
        <v>2502</v>
      </c>
    </row>
    <row r="172" spans="1:6" x14ac:dyDescent="0.25">
      <c r="A172" t="s">
        <v>1694</v>
      </c>
      <c r="B172" s="18" t="str">
        <f>INDEX('Product Variant'!$B:$B,MATCH($A172,'Product Variant'!$A:$A,0))</f>
        <v>PRODUCT-00033</v>
      </c>
      <c r="C172" s="18" t="str">
        <f>INDEX(Product!$B:$B,MATCH($B172,Product!$A:$A,0))</f>
        <v>[Yafho] Gạc xốp hút dịch chống loét có viền dính silicone (18cmx18cm)</v>
      </c>
      <c r="D172" t="s">
        <v>2391</v>
      </c>
      <c r="E172" s="18" t="str">
        <f>INDEX('Attribute Definition'!$B:$B,MATCH($D172,'Attribute Definition'!$A:$A,0))</f>
        <v>Kiểu viền</v>
      </c>
      <c r="F172" s="34" t="s">
        <v>2503</v>
      </c>
    </row>
    <row r="173" spans="1:6" x14ac:dyDescent="0.25">
      <c r="A173" t="s">
        <v>1694</v>
      </c>
      <c r="B173" s="18" t="str">
        <f>INDEX('Product Variant'!$B:$B,MATCH($A173,'Product Variant'!$A:$A,0))</f>
        <v>PRODUCT-00033</v>
      </c>
      <c r="C173" s="18" t="str">
        <f>INDEX(Product!$B:$B,MATCH($B173,Product!$A:$A,0))</f>
        <v>[Yafho] Gạc xốp hút dịch chống loét có viền dính silicone (18cmx18cm)</v>
      </c>
      <c r="D173" t="s">
        <v>2471</v>
      </c>
      <c r="E173" s="18" t="str">
        <f>INDEX('Attribute Definition'!$B:$B,MATCH($D173,'Attribute Definition'!$A:$A,0))</f>
        <v>Dạng sản phẩm</v>
      </c>
      <c r="F173" s="34" t="s">
        <v>2486</v>
      </c>
    </row>
    <row r="174" spans="1:6" x14ac:dyDescent="0.25">
      <c r="A174" t="s">
        <v>1695</v>
      </c>
      <c r="B174" s="18" t="str">
        <f>INDEX('Product Variant'!$B:$B,MATCH($A174,'Product Variant'!$A:$A,0))</f>
        <v>PRODUCT-00034</v>
      </c>
      <c r="C174" s="18" t="str">
        <f>INDEX(Product!$B:$B,MATCH($B174,Product!$A:$A,0))</f>
        <v>[Young Chemical Vina] Băng gạc vô trùng - Young Wound Dressing (6cmx7cm)</v>
      </c>
      <c r="D174" t="s">
        <v>2342</v>
      </c>
      <c r="E174" s="18" t="str">
        <f>INDEX('Attribute Definition'!$B:$B,MATCH($D174,'Attribute Definition'!$A:$A,0))</f>
        <v>Kích thước</v>
      </c>
      <c r="F174" s="34" t="s">
        <v>2519</v>
      </c>
    </row>
    <row r="175" spans="1:6" x14ac:dyDescent="0.25">
      <c r="A175" t="s">
        <v>1695</v>
      </c>
      <c r="B175" s="18" t="str">
        <f>INDEX('Product Variant'!$B:$B,MATCH($A175,'Product Variant'!$A:$A,0))</f>
        <v>PRODUCT-00034</v>
      </c>
      <c r="C175" s="18" t="str">
        <f>INDEX(Product!$B:$B,MATCH($B175,Product!$A:$A,0))</f>
        <v>[Young Chemical Vina] Băng gạc vô trùng - Young Wound Dressing (6cmx7cm)</v>
      </c>
      <c r="D175" t="s">
        <v>2374</v>
      </c>
      <c r="E175" s="18" t="str">
        <f>INDEX('Attribute Definition'!$B:$B,MATCH($D175,'Attribute Definition'!$A:$A,0))</f>
        <v>Vô trùng</v>
      </c>
      <c r="F175" s="34" t="s">
        <v>2485</v>
      </c>
    </row>
    <row r="176" spans="1:6" x14ac:dyDescent="0.25">
      <c r="A176" t="s">
        <v>1695</v>
      </c>
      <c r="B176" s="18" t="str">
        <f>INDEX('Product Variant'!$B:$B,MATCH($A176,'Product Variant'!$A:$A,0))</f>
        <v>PRODUCT-00034</v>
      </c>
      <c r="C176" s="18" t="str">
        <f>INDEX(Product!$B:$B,MATCH($B176,Product!$A:$A,0))</f>
        <v>[Young Chemical Vina] Băng gạc vô trùng - Young Wound Dressing (6cmx7cm)</v>
      </c>
      <c r="D176" t="s">
        <v>2471</v>
      </c>
      <c r="E176" s="18" t="str">
        <f>INDEX('Attribute Definition'!$B:$B,MATCH($D176,'Attribute Definition'!$A:$A,0))</f>
        <v>Dạng sản phẩm</v>
      </c>
      <c r="F176" s="34" t="s">
        <v>2486</v>
      </c>
    </row>
    <row r="177" spans="1:6" x14ac:dyDescent="0.25">
      <c r="A177" t="s">
        <v>1696</v>
      </c>
      <c r="B177" s="18" t="str">
        <f>INDEX('Product Variant'!$B:$B,MATCH($A177,'Product Variant'!$A:$A,0))</f>
        <v>PRODUCT-00276</v>
      </c>
      <c r="C177" s="18" t="str">
        <f>INDEX(Product!$B:$B,MATCH($B177,Product!$A:$A,0))</f>
        <v>[Young Chemical Vina] Băng gạc vô trùng - Young Wound Dressing (6cmx10cm)</v>
      </c>
      <c r="D177" t="s">
        <v>2342</v>
      </c>
      <c r="E177" s="18" t="str">
        <f>INDEX('Attribute Definition'!$B:$B,MATCH($D177,'Attribute Definition'!$A:$A,0))</f>
        <v>Kích thước</v>
      </c>
      <c r="F177" s="34" t="s">
        <v>2639</v>
      </c>
    </row>
    <row r="178" spans="1:6" x14ac:dyDescent="0.25">
      <c r="A178" t="s">
        <v>1696</v>
      </c>
      <c r="B178" s="18" t="str">
        <f>INDEX('Product Variant'!$B:$B,MATCH($A178,'Product Variant'!$A:$A,0))</f>
        <v>PRODUCT-00276</v>
      </c>
      <c r="C178" s="18" t="str">
        <f>INDEX(Product!$B:$B,MATCH($B178,Product!$A:$A,0))</f>
        <v>[Young Chemical Vina] Băng gạc vô trùng - Young Wound Dressing (6cmx10cm)</v>
      </c>
      <c r="D178" t="s">
        <v>2374</v>
      </c>
      <c r="E178" s="18" t="str">
        <f>INDEX('Attribute Definition'!$B:$B,MATCH($D178,'Attribute Definition'!$A:$A,0))</f>
        <v>Vô trùng</v>
      </c>
      <c r="F178" s="34" t="s">
        <v>2485</v>
      </c>
    </row>
    <row r="179" spans="1:6" x14ac:dyDescent="0.25">
      <c r="A179" t="s">
        <v>1696</v>
      </c>
      <c r="B179" s="18" t="str">
        <f>INDEX('Product Variant'!$B:$B,MATCH($A179,'Product Variant'!$A:$A,0))</f>
        <v>PRODUCT-00276</v>
      </c>
      <c r="C179" s="18" t="str">
        <f>INDEX(Product!$B:$B,MATCH($B179,Product!$A:$A,0))</f>
        <v>[Young Chemical Vina] Băng gạc vô trùng - Young Wound Dressing (6cmx10cm)</v>
      </c>
      <c r="D179" t="s">
        <v>2471</v>
      </c>
      <c r="E179" s="18" t="str">
        <f>INDEX('Attribute Definition'!$B:$B,MATCH($D179,'Attribute Definition'!$A:$A,0))</f>
        <v>Dạng sản phẩm</v>
      </c>
      <c r="F179" s="34" t="s">
        <v>2486</v>
      </c>
    </row>
    <row r="180" spans="1:6" x14ac:dyDescent="0.25">
      <c r="A180" t="s">
        <v>1697</v>
      </c>
      <c r="B180" s="18" t="str">
        <f>INDEX('Product Variant'!$B:$B,MATCH($A180,'Product Variant'!$A:$A,0))</f>
        <v>PRODUCT-00277</v>
      </c>
      <c r="C180" s="18" t="str">
        <f>INDEX(Product!$B:$B,MATCH($B180,Product!$A:$A,0))</f>
        <v>[Young Chemical Vina] Băng gạc vô trùng - Young Wound Dressing (9cmx10cm)</v>
      </c>
      <c r="D180" t="s">
        <v>2342</v>
      </c>
      <c r="E180" s="18" t="str">
        <f>INDEX('Attribute Definition'!$B:$B,MATCH($D180,'Attribute Definition'!$A:$A,0))</f>
        <v>Kích thước</v>
      </c>
      <c r="F180" s="34" t="s">
        <v>2640</v>
      </c>
    </row>
    <row r="181" spans="1:6" x14ac:dyDescent="0.25">
      <c r="A181" t="s">
        <v>1697</v>
      </c>
      <c r="B181" s="18" t="str">
        <f>INDEX('Product Variant'!$B:$B,MATCH($A181,'Product Variant'!$A:$A,0))</f>
        <v>PRODUCT-00277</v>
      </c>
      <c r="C181" s="18" t="str">
        <f>INDEX(Product!$B:$B,MATCH($B181,Product!$A:$A,0))</f>
        <v>[Young Chemical Vina] Băng gạc vô trùng - Young Wound Dressing (9cmx10cm)</v>
      </c>
      <c r="D181" t="s">
        <v>2374</v>
      </c>
      <c r="E181" s="18" t="str">
        <f>INDEX('Attribute Definition'!$B:$B,MATCH($D181,'Attribute Definition'!$A:$A,0))</f>
        <v>Vô trùng</v>
      </c>
      <c r="F181" s="34" t="s">
        <v>2485</v>
      </c>
    </row>
    <row r="182" spans="1:6" x14ac:dyDescent="0.25">
      <c r="A182" t="s">
        <v>1697</v>
      </c>
      <c r="B182" s="18" t="str">
        <f>INDEX('Product Variant'!$B:$B,MATCH($A182,'Product Variant'!$A:$A,0))</f>
        <v>PRODUCT-00277</v>
      </c>
      <c r="C182" s="18" t="str">
        <f>INDEX(Product!$B:$B,MATCH($B182,Product!$A:$A,0))</f>
        <v>[Young Chemical Vina] Băng gạc vô trùng - Young Wound Dressing (9cmx10cm)</v>
      </c>
      <c r="D182" t="s">
        <v>2471</v>
      </c>
      <c r="E182" s="18" t="str">
        <f>INDEX('Attribute Definition'!$B:$B,MATCH($D182,'Attribute Definition'!$A:$A,0))</f>
        <v>Dạng sản phẩm</v>
      </c>
      <c r="F182" s="34" t="s">
        <v>2486</v>
      </c>
    </row>
    <row r="183" spans="1:6" x14ac:dyDescent="0.25">
      <c r="A183" t="s">
        <v>1698</v>
      </c>
      <c r="B183" s="18" t="str">
        <f>INDEX('Product Variant'!$B:$B,MATCH($A183,'Product Variant'!$A:$A,0))</f>
        <v>PRODUCT-00278</v>
      </c>
      <c r="C183" s="18" t="str">
        <f>INDEX(Product!$B:$B,MATCH($B183,Product!$A:$A,0))</f>
        <v>[Young Chemical Vina] Băng gạc vô trùng - Young Wound Dressing (9cmx15cm)</v>
      </c>
      <c r="D183" t="s">
        <v>2342</v>
      </c>
      <c r="E183" s="18" t="str">
        <f>INDEX('Attribute Definition'!$B:$B,MATCH($D183,'Attribute Definition'!$A:$A,0))</f>
        <v>Kích thước</v>
      </c>
      <c r="F183" s="34" t="s">
        <v>2630</v>
      </c>
    </row>
    <row r="184" spans="1:6" x14ac:dyDescent="0.25">
      <c r="A184" t="s">
        <v>1698</v>
      </c>
      <c r="B184" s="18" t="str">
        <f>INDEX('Product Variant'!$B:$B,MATCH($A184,'Product Variant'!$A:$A,0))</f>
        <v>PRODUCT-00278</v>
      </c>
      <c r="C184" s="18" t="str">
        <f>INDEX(Product!$B:$B,MATCH($B184,Product!$A:$A,0))</f>
        <v>[Young Chemical Vina] Băng gạc vô trùng - Young Wound Dressing (9cmx15cm)</v>
      </c>
      <c r="D184" t="s">
        <v>2374</v>
      </c>
      <c r="E184" s="18" t="str">
        <f>INDEX('Attribute Definition'!$B:$B,MATCH($D184,'Attribute Definition'!$A:$A,0))</f>
        <v>Vô trùng</v>
      </c>
      <c r="F184" s="34" t="s">
        <v>2485</v>
      </c>
    </row>
    <row r="185" spans="1:6" x14ac:dyDescent="0.25">
      <c r="A185" t="s">
        <v>1698</v>
      </c>
      <c r="B185" s="18" t="str">
        <f>INDEX('Product Variant'!$B:$B,MATCH($A185,'Product Variant'!$A:$A,0))</f>
        <v>PRODUCT-00278</v>
      </c>
      <c r="C185" s="18" t="str">
        <f>INDEX(Product!$B:$B,MATCH($B185,Product!$A:$A,0))</f>
        <v>[Young Chemical Vina] Băng gạc vô trùng - Young Wound Dressing (9cmx15cm)</v>
      </c>
      <c r="D185" t="s">
        <v>2471</v>
      </c>
      <c r="E185" s="18" t="str">
        <f>INDEX('Attribute Definition'!$B:$B,MATCH($D185,'Attribute Definition'!$A:$A,0))</f>
        <v>Dạng sản phẩm</v>
      </c>
      <c r="F185" s="34" t="s">
        <v>2486</v>
      </c>
    </row>
    <row r="186" spans="1:6" x14ac:dyDescent="0.25">
      <c r="A186" t="s">
        <v>1699</v>
      </c>
      <c r="B186" s="18" t="str">
        <f>INDEX('Product Variant'!$B:$B,MATCH($A186,'Product Variant'!$A:$A,0))</f>
        <v>PRODUCT-00279</v>
      </c>
      <c r="C186" s="18" t="str">
        <f>INDEX(Product!$B:$B,MATCH($B186,Product!$A:$A,0))</f>
        <v>[Young Chemical Vina] Băng gạc vô trùng - Young Wound Dressing (9cmx20cm)</v>
      </c>
      <c r="D186" t="s">
        <v>2342</v>
      </c>
      <c r="E186" s="18" t="str">
        <f>INDEX('Attribute Definition'!$B:$B,MATCH($D186,'Attribute Definition'!$A:$A,0))</f>
        <v>Kích thước</v>
      </c>
      <c r="F186" s="34" t="s">
        <v>2631</v>
      </c>
    </row>
    <row r="187" spans="1:6" x14ac:dyDescent="0.25">
      <c r="A187" t="s">
        <v>1699</v>
      </c>
      <c r="B187" s="18" t="str">
        <f>INDEX('Product Variant'!$B:$B,MATCH($A187,'Product Variant'!$A:$A,0))</f>
        <v>PRODUCT-00279</v>
      </c>
      <c r="C187" s="18" t="str">
        <f>INDEX(Product!$B:$B,MATCH($B187,Product!$A:$A,0))</f>
        <v>[Young Chemical Vina] Băng gạc vô trùng - Young Wound Dressing (9cmx20cm)</v>
      </c>
      <c r="D187" t="s">
        <v>2374</v>
      </c>
      <c r="E187" s="18" t="str">
        <f>INDEX('Attribute Definition'!$B:$B,MATCH($D187,'Attribute Definition'!$A:$A,0))</f>
        <v>Vô trùng</v>
      </c>
      <c r="F187" s="34" t="s">
        <v>2485</v>
      </c>
    </row>
    <row r="188" spans="1:6" x14ac:dyDescent="0.25">
      <c r="A188" t="s">
        <v>1699</v>
      </c>
      <c r="B188" s="18" t="str">
        <f>INDEX('Product Variant'!$B:$B,MATCH($A188,'Product Variant'!$A:$A,0))</f>
        <v>PRODUCT-00279</v>
      </c>
      <c r="C188" s="18" t="str">
        <f>INDEX(Product!$B:$B,MATCH($B188,Product!$A:$A,0))</f>
        <v>[Young Chemical Vina] Băng gạc vô trùng - Young Wound Dressing (9cmx20cm)</v>
      </c>
      <c r="D188" t="s">
        <v>2471</v>
      </c>
      <c r="E188" s="18" t="str">
        <f>INDEX('Attribute Definition'!$B:$B,MATCH($D188,'Attribute Definition'!$A:$A,0))</f>
        <v>Dạng sản phẩm</v>
      </c>
      <c r="F188" s="34" t="s">
        <v>2486</v>
      </c>
    </row>
    <row r="189" spans="1:6" x14ac:dyDescent="0.25">
      <c r="A189" t="s">
        <v>1700</v>
      </c>
      <c r="B189" s="18" t="str">
        <f>INDEX('Product Variant'!$B:$B,MATCH($A189,'Product Variant'!$A:$A,0))</f>
        <v>PRODUCT-00280</v>
      </c>
      <c r="C189" s="18" t="str">
        <f>INDEX(Product!$B:$B,MATCH($B189,Product!$A:$A,0))</f>
        <v>[Young Chemical Vina] Băng gạc vô trùng - Young Wound Dressing (9cmx25cm)</v>
      </c>
      <c r="D189" t="s">
        <v>2342</v>
      </c>
      <c r="E189" s="18" t="str">
        <f>INDEX('Attribute Definition'!$B:$B,MATCH($D189,'Attribute Definition'!$A:$A,0))</f>
        <v>Kích thước</v>
      </c>
      <c r="F189" s="34" t="s">
        <v>2641</v>
      </c>
    </row>
    <row r="190" spans="1:6" x14ac:dyDescent="0.25">
      <c r="A190" t="s">
        <v>1700</v>
      </c>
      <c r="B190" s="18" t="str">
        <f>INDEX('Product Variant'!$B:$B,MATCH($A190,'Product Variant'!$A:$A,0))</f>
        <v>PRODUCT-00280</v>
      </c>
      <c r="C190" s="18" t="str">
        <f>INDEX(Product!$B:$B,MATCH($B190,Product!$A:$A,0))</f>
        <v>[Young Chemical Vina] Băng gạc vô trùng - Young Wound Dressing (9cmx25cm)</v>
      </c>
      <c r="D190" t="s">
        <v>2374</v>
      </c>
      <c r="E190" s="18" t="str">
        <f>INDEX('Attribute Definition'!$B:$B,MATCH($D190,'Attribute Definition'!$A:$A,0))</f>
        <v>Vô trùng</v>
      </c>
      <c r="F190" s="34" t="s">
        <v>2485</v>
      </c>
    </row>
    <row r="191" spans="1:6" x14ac:dyDescent="0.25">
      <c r="A191" t="s">
        <v>1700</v>
      </c>
      <c r="B191" s="18" t="str">
        <f>INDEX('Product Variant'!$B:$B,MATCH($A191,'Product Variant'!$A:$A,0))</f>
        <v>PRODUCT-00280</v>
      </c>
      <c r="C191" s="18" t="str">
        <f>INDEX(Product!$B:$B,MATCH($B191,Product!$A:$A,0))</f>
        <v>[Young Chemical Vina] Băng gạc vô trùng - Young Wound Dressing (9cmx25cm)</v>
      </c>
      <c r="D191" t="s">
        <v>2471</v>
      </c>
      <c r="E191" s="18" t="str">
        <f>INDEX('Attribute Definition'!$B:$B,MATCH($D191,'Attribute Definition'!$A:$A,0))</f>
        <v>Dạng sản phẩm</v>
      </c>
      <c r="F191" s="34" t="s">
        <v>2486</v>
      </c>
    </row>
    <row r="192" spans="1:6" x14ac:dyDescent="0.25">
      <c r="A192" t="s">
        <v>1701</v>
      </c>
      <c r="B192" s="18" t="str">
        <f>INDEX('Product Variant'!$B:$B,MATCH($A192,'Product Variant'!$A:$A,0))</f>
        <v>PRODUCT-00281</v>
      </c>
      <c r="C192" s="18" t="str">
        <f>INDEX(Product!$B:$B,MATCH($B192,Product!$A:$A,0))</f>
        <v>[Young Chemical Vina] Băng gạc vô trùng - Young Wound Dressing (9cmx30cm)</v>
      </c>
      <c r="D192" t="s">
        <v>2342</v>
      </c>
      <c r="E192" s="18" t="str">
        <f>INDEX('Attribute Definition'!$B:$B,MATCH($D192,'Attribute Definition'!$A:$A,0))</f>
        <v>Kích thước</v>
      </c>
      <c r="F192" s="34" t="s">
        <v>2642</v>
      </c>
    </row>
    <row r="193" spans="1:6" x14ac:dyDescent="0.25">
      <c r="A193" t="s">
        <v>1701</v>
      </c>
      <c r="B193" s="18" t="str">
        <f>INDEX('Product Variant'!$B:$B,MATCH($A193,'Product Variant'!$A:$A,0))</f>
        <v>PRODUCT-00281</v>
      </c>
      <c r="C193" s="18" t="str">
        <f>INDEX(Product!$B:$B,MATCH($B193,Product!$A:$A,0))</f>
        <v>[Young Chemical Vina] Băng gạc vô trùng - Young Wound Dressing (9cmx30cm)</v>
      </c>
      <c r="D193" t="s">
        <v>2374</v>
      </c>
      <c r="E193" s="18" t="str">
        <f>INDEX('Attribute Definition'!$B:$B,MATCH($D193,'Attribute Definition'!$A:$A,0))</f>
        <v>Vô trùng</v>
      </c>
      <c r="F193" s="34" t="s">
        <v>2485</v>
      </c>
    </row>
    <row r="194" spans="1:6" x14ac:dyDescent="0.25">
      <c r="A194" t="s">
        <v>1701</v>
      </c>
      <c r="B194" s="18" t="str">
        <f>INDEX('Product Variant'!$B:$B,MATCH($A194,'Product Variant'!$A:$A,0))</f>
        <v>PRODUCT-00281</v>
      </c>
      <c r="C194" s="18" t="str">
        <f>INDEX(Product!$B:$B,MATCH($B194,Product!$A:$A,0))</f>
        <v>[Young Chemical Vina] Băng gạc vô trùng - Young Wound Dressing (9cmx30cm)</v>
      </c>
      <c r="D194" t="s">
        <v>2471</v>
      </c>
      <c r="E194" s="18" t="str">
        <f>INDEX('Attribute Definition'!$B:$B,MATCH($D194,'Attribute Definition'!$A:$A,0))</f>
        <v>Dạng sản phẩm</v>
      </c>
      <c r="F194" s="34" t="s">
        <v>2486</v>
      </c>
    </row>
    <row r="195" spans="1:6" x14ac:dyDescent="0.25">
      <c r="A195" t="s">
        <v>1702</v>
      </c>
      <c r="B195" s="18" t="str">
        <f>INDEX('Product Variant'!$B:$B,MATCH($A195,'Product Variant'!$A:$A,0))</f>
        <v>PRODUCT-00035</v>
      </c>
      <c r="C195" s="18" t="str">
        <f>INDEX(Product!$B:$B,MATCH($B195,Product!$A:$A,0))</f>
        <v>[Young Chemical Vina] Băng gạc vô trùng không thấm nước - Sterile Adflex (With-Pad) (6cmx7cm)</v>
      </c>
      <c r="D195" t="s">
        <v>2342</v>
      </c>
      <c r="E195" s="18" t="str">
        <f>INDEX('Attribute Definition'!$B:$B,MATCH($D195,'Attribute Definition'!$A:$A,0))</f>
        <v>Kích thước</v>
      </c>
      <c r="F195" s="34" t="s">
        <v>2519</v>
      </c>
    </row>
    <row r="196" spans="1:6" x14ac:dyDescent="0.25">
      <c r="A196" t="s">
        <v>1702</v>
      </c>
      <c r="B196" s="18" t="str">
        <f>INDEX('Product Variant'!$B:$B,MATCH($A196,'Product Variant'!$A:$A,0))</f>
        <v>PRODUCT-00035</v>
      </c>
      <c r="C196" s="18" t="str">
        <f>INDEX(Product!$B:$B,MATCH($B196,Product!$A:$A,0))</f>
        <v>[Young Chemical Vina] Băng gạc vô trùng không thấm nước - Sterile Adflex (With-Pad) (6cmx7cm)</v>
      </c>
      <c r="D196" t="s">
        <v>2374</v>
      </c>
      <c r="E196" s="18" t="str">
        <f>INDEX('Attribute Definition'!$B:$B,MATCH($D196,'Attribute Definition'!$A:$A,0))</f>
        <v>Vô trùng</v>
      </c>
      <c r="F196" s="34" t="s">
        <v>2485</v>
      </c>
    </row>
    <row r="197" spans="1:6" x14ac:dyDescent="0.25">
      <c r="A197" t="s">
        <v>1702</v>
      </c>
      <c r="B197" s="18" t="str">
        <f>INDEX('Product Variant'!$B:$B,MATCH($A197,'Product Variant'!$A:$A,0))</f>
        <v>PRODUCT-00035</v>
      </c>
      <c r="C197" s="18" t="str">
        <f>INDEX(Product!$B:$B,MATCH($B197,Product!$A:$A,0))</f>
        <v>[Young Chemical Vina] Băng gạc vô trùng không thấm nước - Sterile Adflex (With-Pad) (6cmx7cm)</v>
      </c>
      <c r="D197" t="s">
        <v>2381</v>
      </c>
      <c r="E197" s="18" t="str">
        <f>INDEX('Attribute Definition'!$B:$B,MATCH($D197,'Attribute Definition'!$A:$A,0))</f>
        <v>Chống nước</v>
      </c>
      <c r="F197" s="34" t="s">
        <v>2485</v>
      </c>
    </row>
    <row r="198" spans="1:6" x14ac:dyDescent="0.25">
      <c r="A198" t="s">
        <v>1702</v>
      </c>
      <c r="B198" s="18" t="str">
        <f>INDEX('Product Variant'!$B:$B,MATCH($A198,'Product Variant'!$A:$A,0))</f>
        <v>PRODUCT-00035</v>
      </c>
      <c r="C198" s="18" t="str">
        <f>INDEX(Product!$B:$B,MATCH($B198,Product!$A:$A,0))</f>
        <v>[Young Chemical Vina] Băng gạc vô trùng không thấm nước - Sterile Adflex (With-Pad) (6cmx7cm)</v>
      </c>
      <c r="D198" t="s">
        <v>2471</v>
      </c>
      <c r="E198" s="18" t="str">
        <f>INDEX('Attribute Definition'!$B:$B,MATCH($D198,'Attribute Definition'!$A:$A,0))</f>
        <v>Dạng sản phẩm</v>
      </c>
      <c r="F198" s="34" t="s">
        <v>2486</v>
      </c>
    </row>
    <row r="199" spans="1:6" x14ac:dyDescent="0.25">
      <c r="A199" t="s">
        <v>1703</v>
      </c>
      <c r="B199" s="18" t="str">
        <f>INDEX('Product Variant'!$B:$B,MATCH($A199,'Product Variant'!$A:$A,0))</f>
        <v>PRODUCT-00282</v>
      </c>
      <c r="C199" s="18" t="str">
        <f>INDEX(Product!$B:$B,MATCH($B199,Product!$A:$A,0))</f>
        <v>[Young Chemical Vina] Băng gạc vô trùng không thấm nước - Sterile Adflex (With-Pad) (10cmx12cm)</v>
      </c>
      <c r="D199" t="s">
        <v>2342</v>
      </c>
      <c r="E199" s="18" t="str">
        <f>INDEX('Attribute Definition'!$B:$B,MATCH($D199,'Attribute Definition'!$A:$A,0))</f>
        <v>Kích thước</v>
      </c>
      <c r="F199" s="34" t="s">
        <v>2507</v>
      </c>
    </row>
    <row r="200" spans="1:6" x14ac:dyDescent="0.25">
      <c r="A200" t="s">
        <v>1703</v>
      </c>
      <c r="B200" s="18" t="str">
        <f>INDEX('Product Variant'!$B:$B,MATCH($A200,'Product Variant'!$A:$A,0))</f>
        <v>PRODUCT-00282</v>
      </c>
      <c r="C200" s="18" t="str">
        <f>INDEX(Product!$B:$B,MATCH($B200,Product!$A:$A,0))</f>
        <v>[Young Chemical Vina] Băng gạc vô trùng không thấm nước - Sterile Adflex (With-Pad) (10cmx12cm)</v>
      </c>
      <c r="D200" t="s">
        <v>2374</v>
      </c>
      <c r="E200" s="18" t="str">
        <f>INDEX('Attribute Definition'!$B:$B,MATCH($D200,'Attribute Definition'!$A:$A,0))</f>
        <v>Vô trùng</v>
      </c>
      <c r="F200" s="34" t="s">
        <v>2485</v>
      </c>
    </row>
    <row r="201" spans="1:6" x14ac:dyDescent="0.25">
      <c r="A201" t="s">
        <v>1703</v>
      </c>
      <c r="B201" s="18" t="str">
        <f>INDEX('Product Variant'!$B:$B,MATCH($A201,'Product Variant'!$A:$A,0))</f>
        <v>PRODUCT-00282</v>
      </c>
      <c r="C201" s="18" t="str">
        <f>INDEX(Product!$B:$B,MATCH($B201,Product!$A:$A,0))</f>
        <v>[Young Chemical Vina] Băng gạc vô trùng không thấm nước - Sterile Adflex (With-Pad) (10cmx12cm)</v>
      </c>
      <c r="D201" t="s">
        <v>2381</v>
      </c>
      <c r="E201" s="18" t="str">
        <f>INDEX('Attribute Definition'!$B:$B,MATCH($D201,'Attribute Definition'!$A:$A,0))</f>
        <v>Chống nước</v>
      </c>
      <c r="F201" s="34" t="s">
        <v>2485</v>
      </c>
    </row>
    <row r="202" spans="1:6" x14ac:dyDescent="0.25">
      <c r="A202" t="s">
        <v>1703</v>
      </c>
      <c r="B202" s="18" t="str">
        <f>INDEX('Product Variant'!$B:$B,MATCH($A202,'Product Variant'!$A:$A,0))</f>
        <v>PRODUCT-00282</v>
      </c>
      <c r="C202" s="18" t="str">
        <f>INDEX(Product!$B:$B,MATCH($B202,Product!$A:$A,0))</f>
        <v>[Young Chemical Vina] Băng gạc vô trùng không thấm nước - Sterile Adflex (With-Pad) (10cmx12cm)</v>
      </c>
      <c r="D202" t="s">
        <v>2471</v>
      </c>
      <c r="E202" s="18" t="str">
        <f>INDEX('Attribute Definition'!$B:$B,MATCH($D202,'Attribute Definition'!$A:$A,0))</f>
        <v>Dạng sản phẩm</v>
      </c>
      <c r="F202" s="34" t="s">
        <v>2486</v>
      </c>
    </row>
    <row r="203" spans="1:6" x14ac:dyDescent="0.25">
      <c r="A203" t="s">
        <v>1704</v>
      </c>
      <c r="B203" s="18" t="str">
        <f>INDEX('Product Variant'!$B:$B,MATCH($A203,'Product Variant'!$A:$A,0))</f>
        <v>PRODUCT-00036</v>
      </c>
      <c r="C203" s="18" t="str">
        <f>INDEX(Product!$B:$B,MATCH($B203,Product!$A:$A,0))</f>
        <v>[Young Chemical Vina] Băng keo cá nhân hộp thiếc - Pororo</v>
      </c>
      <c r="D203" t="s">
        <v>2386</v>
      </c>
      <c r="E203" s="18" t="str">
        <f>INDEX('Attribute Definition'!$B:$B,MATCH($D203,'Attribute Definition'!$A:$A,0))</f>
        <v>Thành phần kháng khuẩn</v>
      </c>
      <c r="F203" s="34" t="s">
        <v>2520</v>
      </c>
    </row>
    <row r="204" spans="1:6" x14ac:dyDescent="0.25">
      <c r="A204" t="s">
        <v>1704</v>
      </c>
      <c r="B204" s="18" t="str">
        <f>INDEX('Product Variant'!$B:$B,MATCH($A204,'Product Variant'!$A:$A,0))</f>
        <v>PRODUCT-00036</v>
      </c>
      <c r="C204" s="18" t="str">
        <f>INDEX(Product!$B:$B,MATCH($B204,Product!$A:$A,0))</f>
        <v>[Young Chemical Vina] Băng keo cá nhân hộp thiếc - Pororo</v>
      </c>
      <c r="D204" t="s">
        <v>2464</v>
      </c>
      <c r="E204" s="18" t="str">
        <f>INDEX('Attribute Definition'!$B:$B,MATCH($D204,'Attribute Definition'!$A:$A,0))</f>
        <v>Màu sắc</v>
      </c>
      <c r="F204" s="34" t="s">
        <v>1153</v>
      </c>
    </row>
    <row r="205" spans="1:6" x14ac:dyDescent="0.25">
      <c r="A205" t="s">
        <v>1704</v>
      </c>
      <c r="B205" s="18" t="str">
        <f>INDEX('Product Variant'!$B:$B,MATCH($A205,'Product Variant'!$A:$A,0))</f>
        <v>PRODUCT-00036</v>
      </c>
      <c r="C205" s="18" t="str">
        <f>INDEX(Product!$B:$B,MATCH($B205,Product!$A:$A,0))</f>
        <v>[Young Chemical Vina] Băng keo cá nhân hộp thiếc - Pororo</v>
      </c>
      <c r="D205" t="s">
        <v>2471</v>
      </c>
      <c r="E205" s="18" t="str">
        <f>INDEX('Attribute Definition'!$B:$B,MATCH($D205,'Attribute Definition'!$A:$A,0))</f>
        <v>Dạng sản phẩm</v>
      </c>
      <c r="F205" s="34" t="s">
        <v>2237</v>
      </c>
    </row>
    <row r="206" spans="1:6" x14ac:dyDescent="0.25">
      <c r="A206" t="s">
        <v>1705</v>
      </c>
      <c r="B206" s="18" t="str">
        <f>INDEX('Product Variant'!$B:$B,MATCH($A206,'Product Variant'!$A:$A,0))</f>
        <v>PRODUCT-00036</v>
      </c>
      <c r="C206" s="18" t="str">
        <f>INDEX(Product!$B:$B,MATCH($B206,Product!$A:$A,0))</f>
        <v>[Young Chemical Vina] Băng keo cá nhân hộp thiếc - Pororo</v>
      </c>
      <c r="D206" t="s">
        <v>2386</v>
      </c>
      <c r="E206" s="18" t="str">
        <f>INDEX('Attribute Definition'!$B:$B,MATCH($D206,'Attribute Definition'!$A:$A,0))</f>
        <v>Thành phần kháng khuẩn</v>
      </c>
      <c r="F206" s="34" t="s">
        <v>2520</v>
      </c>
    </row>
    <row r="207" spans="1:6" x14ac:dyDescent="0.25">
      <c r="A207" t="s">
        <v>1705</v>
      </c>
      <c r="B207" s="18" t="str">
        <f>INDEX('Product Variant'!$B:$B,MATCH($A207,'Product Variant'!$A:$A,0))</f>
        <v>PRODUCT-00036</v>
      </c>
      <c r="C207" s="18" t="str">
        <f>INDEX(Product!$B:$B,MATCH($B207,Product!$A:$A,0))</f>
        <v>[Young Chemical Vina] Băng keo cá nhân hộp thiếc - Pororo</v>
      </c>
      <c r="D207" t="s">
        <v>2464</v>
      </c>
      <c r="E207" s="18" t="str">
        <f>INDEX('Attribute Definition'!$B:$B,MATCH($D207,'Attribute Definition'!$A:$A,0))</f>
        <v>Màu sắc</v>
      </c>
      <c r="F207" s="34" t="s">
        <v>1154</v>
      </c>
    </row>
    <row r="208" spans="1:6" x14ac:dyDescent="0.25">
      <c r="A208" t="s">
        <v>1705</v>
      </c>
      <c r="B208" s="18" t="str">
        <f>INDEX('Product Variant'!$B:$B,MATCH($A208,'Product Variant'!$A:$A,0))</f>
        <v>PRODUCT-00036</v>
      </c>
      <c r="C208" s="18" t="str">
        <f>INDEX(Product!$B:$B,MATCH($B208,Product!$A:$A,0))</f>
        <v>[Young Chemical Vina] Băng keo cá nhân hộp thiếc - Pororo</v>
      </c>
      <c r="D208" t="s">
        <v>2471</v>
      </c>
      <c r="E208" s="18" t="str">
        <f>INDEX('Attribute Definition'!$B:$B,MATCH($D208,'Attribute Definition'!$A:$A,0))</f>
        <v>Dạng sản phẩm</v>
      </c>
      <c r="F208" s="34" t="s">
        <v>2237</v>
      </c>
    </row>
    <row r="209" spans="1:6" x14ac:dyDescent="0.25">
      <c r="A209" t="s">
        <v>1706</v>
      </c>
      <c r="B209" s="18" t="str">
        <f>INDEX('Product Variant'!$B:$B,MATCH($A209,'Product Variant'!$A:$A,0))</f>
        <v>PRODUCT-00037</v>
      </c>
      <c r="C209" s="18" t="str">
        <f>INDEX(Product!$B:$B,MATCH($B209,Product!$A:$A,0))</f>
        <v>[Young Chemical Vina] Băng keo cá nhân in hình trẻ em - Pororo (72mmx18mm)</v>
      </c>
      <c r="D209" t="s">
        <v>2342</v>
      </c>
      <c r="E209" s="18" t="str">
        <f>INDEX('Attribute Definition'!$B:$B,MATCH($D209,'Attribute Definition'!$A:$A,0))</f>
        <v>Kích thước</v>
      </c>
      <c r="F209" s="34" t="s">
        <v>2522</v>
      </c>
    </row>
    <row r="210" spans="1:6" x14ac:dyDescent="0.25">
      <c r="A210" t="s">
        <v>1706</v>
      </c>
      <c r="B210" s="18" t="str">
        <f>INDEX('Product Variant'!$B:$B,MATCH($A210,'Product Variant'!$A:$A,0))</f>
        <v>PRODUCT-00037</v>
      </c>
      <c r="C210" s="18" t="str">
        <f>INDEX(Product!$B:$B,MATCH($B210,Product!$A:$A,0))</f>
        <v>[Young Chemical Vina] Băng keo cá nhân in hình trẻ em - Pororo (72mmx18mm)</v>
      </c>
      <c r="D210" t="s">
        <v>2386</v>
      </c>
      <c r="E210" s="18" t="str">
        <f>INDEX('Attribute Definition'!$B:$B,MATCH($D210,'Attribute Definition'!$A:$A,0))</f>
        <v>Thành phần kháng khuẩn</v>
      </c>
      <c r="F210" s="34" t="s">
        <v>2520</v>
      </c>
    </row>
    <row r="211" spans="1:6" x14ac:dyDescent="0.25">
      <c r="A211" t="s">
        <v>1706</v>
      </c>
      <c r="B211" s="18" t="str">
        <f>INDEX('Product Variant'!$B:$B,MATCH($A211,'Product Variant'!$A:$A,0))</f>
        <v>PRODUCT-00037</v>
      </c>
      <c r="C211" s="18" t="str">
        <f>INDEX(Product!$B:$B,MATCH($B211,Product!$A:$A,0))</f>
        <v>[Young Chemical Vina] Băng keo cá nhân in hình trẻ em - Pororo (72mmx18mm)</v>
      </c>
      <c r="D211" t="s">
        <v>2449</v>
      </c>
      <c r="E211" s="18" t="str">
        <f>INDEX('Attribute Definition'!$B:$B,MATCH($D211,'Attribute Definition'!$A:$A,0))</f>
        <v>Đối tượng sử dụng</v>
      </c>
      <c r="F211" s="34" t="s">
        <v>1176</v>
      </c>
    </row>
    <row r="212" spans="1:6" x14ac:dyDescent="0.25">
      <c r="A212" t="s">
        <v>1706</v>
      </c>
      <c r="B212" s="18" t="str">
        <f>INDEX('Product Variant'!$B:$B,MATCH($A212,'Product Variant'!$A:$A,0))</f>
        <v>PRODUCT-00037</v>
      </c>
      <c r="C212" s="18" t="str">
        <f>INDEX(Product!$B:$B,MATCH($B212,Product!$A:$A,0))</f>
        <v>[Young Chemical Vina] Băng keo cá nhân in hình trẻ em - Pororo (72mmx18mm)</v>
      </c>
      <c r="D212" t="s">
        <v>2464</v>
      </c>
      <c r="E212" s="18" t="str">
        <f>INDEX('Attribute Definition'!$B:$B,MATCH($D212,'Attribute Definition'!$A:$A,0))</f>
        <v>Màu sắc</v>
      </c>
      <c r="F212" s="34" t="s">
        <v>2521</v>
      </c>
    </row>
    <row r="213" spans="1:6" x14ac:dyDescent="0.25">
      <c r="A213" t="s">
        <v>1706</v>
      </c>
      <c r="B213" s="18" t="str">
        <f>INDEX('Product Variant'!$B:$B,MATCH($A213,'Product Variant'!$A:$A,0))</f>
        <v>PRODUCT-00037</v>
      </c>
      <c r="C213" s="18" t="str">
        <f>INDEX(Product!$B:$B,MATCH($B213,Product!$A:$A,0))</f>
        <v>[Young Chemical Vina] Băng keo cá nhân in hình trẻ em - Pororo (72mmx18mm)</v>
      </c>
      <c r="D213" t="s">
        <v>2471</v>
      </c>
      <c r="E213" s="18" t="str">
        <f>INDEX('Attribute Definition'!$B:$B,MATCH($D213,'Attribute Definition'!$A:$A,0))</f>
        <v>Dạng sản phẩm</v>
      </c>
      <c r="F213" s="34" t="s">
        <v>2237</v>
      </c>
    </row>
    <row r="214" spans="1:6" x14ac:dyDescent="0.25">
      <c r="A214" t="s">
        <v>1707</v>
      </c>
      <c r="B214" s="18" t="str">
        <f>INDEX('Product Variant'!$B:$B,MATCH($A214,'Product Variant'!$A:$A,0))</f>
        <v>PRODUCT-00283</v>
      </c>
      <c r="C214" s="18" t="str">
        <f>INDEX(Product!$B:$B,MATCH($B214,Product!$A:$A,0))</f>
        <v>[Young Chemical Vina] Băng keo cá nhân in hình trẻ em - Pororo (Hỗn hợp 4 size)</v>
      </c>
      <c r="D214" t="s">
        <v>2342</v>
      </c>
      <c r="E214" s="18" t="str">
        <f>INDEX('Attribute Definition'!$B:$B,MATCH($D214,'Attribute Definition'!$A:$A,0))</f>
        <v>Kích thước</v>
      </c>
      <c r="F214" s="34" t="s">
        <v>2643</v>
      </c>
    </row>
    <row r="215" spans="1:6" x14ac:dyDescent="0.25">
      <c r="A215" t="s">
        <v>1707</v>
      </c>
      <c r="B215" s="18" t="str">
        <f>INDEX('Product Variant'!$B:$B,MATCH($A215,'Product Variant'!$A:$A,0))</f>
        <v>PRODUCT-00283</v>
      </c>
      <c r="C215" s="18" t="str">
        <f>INDEX(Product!$B:$B,MATCH($B215,Product!$A:$A,0))</f>
        <v>[Young Chemical Vina] Băng keo cá nhân in hình trẻ em - Pororo (Hỗn hợp 4 size)</v>
      </c>
      <c r="D215" t="s">
        <v>2386</v>
      </c>
      <c r="E215" s="18" t="str">
        <f>INDEX('Attribute Definition'!$B:$B,MATCH($D215,'Attribute Definition'!$A:$A,0))</f>
        <v>Thành phần kháng khuẩn</v>
      </c>
      <c r="F215" s="34" t="s">
        <v>2520</v>
      </c>
    </row>
    <row r="216" spans="1:6" x14ac:dyDescent="0.25">
      <c r="A216" t="s">
        <v>1707</v>
      </c>
      <c r="B216" s="18" t="str">
        <f>INDEX('Product Variant'!$B:$B,MATCH($A216,'Product Variant'!$A:$A,0))</f>
        <v>PRODUCT-00283</v>
      </c>
      <c r="C216" s="18" t="str">
        <f>INDEX(Product!$B:$B,MATCH($B216,Product!$A:$A,0))</f>
        <v>[Young Chemical Vina] Băng keo cá nhân in hình trẻ em - Pororo (Hỗn hợp 4 size)</v>
      </c>
      <c r="D216" t="s">
        <v>2449</v>
      </c>
      <c r="E216" s="18" t="str">
        <f>INDEX('Attribute Definition'!$B:$B,MATCH($D216,'Attribute Definition'!$A:$A,0))</f>
        <v>Đối tượng sử dụng</v>
      </c>
      <c r="F216" s="34" t="s">
        <v>1176</v>
      </c>
    </row>
    <row r="217" spans="1:6" x14ac:dyDescent="0.25">
      <c r="A217" t="s">
        <v>1707</v>
      </c>
      <c r="B217" s="18" t="str">
        <f>INDEX('Product Variant'!$B:$B,MATCH($A217,'Product Variant'!$A:$A,0))</f>
        <v>PRODUCT-00283</v>
      </c>
      <c r="C217" s="18" t="str">
        <f>INDEX(Product!$B:$B,MATCH($B217,Product!$A:$A,0))</f>
        <v>[Young Chemical Vina] Băng keo cá nhân in hình trẻ em - Pororo (Hỗn hợp 4 size)</v>
      </c>
      <c r="D217" t="s">
        <v>2464</v>
      </c>
      <c r="E217" s="18" t="str">
        <f>INDEX('Attribute Definition'!$B:$B,MATCH($D217,'Attribute Definition'!$A:$A,0))</f>
        <v>Màu sắc</v>
      </c>
      <c r="F217" s="34" t="s">
        <v>2521</v>
      </c>
    </row>
    <row r="218" spans="1:6" x14ac:dyDescent="0.25">
      <c r="A218" t="s">
        <v>1707</v>
      </c>
      <c r="B218" s="18" t="str">
        <f>INDEX('Product Variant'!$B:$B,MATCH($A218,'Product Variant'!$A:$A,0))</f>
        <v>PRODUCT-00283</v>
      </c>
      <c r="C218" s="18" t="str">
        <f>INDEX(Product!$B:$B,MATCH($B218,Product!$A:$A,0))</f>
        <v>[Young Chemical Vina] Băng keo cá nhân in hình trẻ em - Pororo (Hỗn hợp 4 size)</v>
      </c>
      <c r="D218" t="s">
        <v>2471</v>
      </c>
      <c r="E218" s="18" t="str">
        <f>INDEX('Attribute Definition'!$B:$B,MATCH($D218,'Attribute Definition'!$A:$A,0))</f>
        <v>Dạng sản phẩm</v>
      </c>
      <c r="F218" s="34" t="s">
        <v>2237</v>
      </c>
    </row>
    <row r="219" spans="1:6" x14ac:dyDescent="0.25">
      <c r="A219" t="s">
        <v>1708</v>
      </c>
      <c r="B219" s="18" t="str">
        <f>INDEX('Product Variant'!$B:$B,MATCH($A219,'Product Variant'!$A:$A,0))</f>
        <v>PRODUCT-00038</v>
      </c>
      <c r="C219" s="18" t="str">
        <f>INDEX(Product!$B:$B,MATCH($B219,Product!$A:$A,0))</f>
        <v>[Young Chemical Vina] Băng keo cá nhân màu da - Ace-band ∅22mm</v>
      </c>
      <c r="D219" t="s">
        <v>2342</v>
      </c>
      <c r="E219" s="18" t="str">
        <f>INDEX('Attribute Definition'!$B:$B,MATCH($D219,'Attribute Definition'!$A:$A,0))</f>
        <v>Kích thước</v>
      </c>
      <c r="F219" s="34" t="s">
        <v>2523</v>
      </c>
    </row>
    <row r="220" spans="1:6" x14ac:dyDescent="0.25">
      <c r="A220" t="s">
        <v>1708</v>
      </c>
      <c r="B220" s="18" t="str">
        <f>INDEX('Product Variant'!$B:$B,MATCH($A220,'Product Variant'!$A:$A,0))</f>
        <v>PRODUCT-00038</v>
      </c>
      <c r="C220" s="18" t="str">
        <f>INDEX(Product!$B:$B,MATCH($B220,Product!$A:$A,0))</f>
        <v>[Young Chemical Vina] Băng keo cá nhân màu da - Ace-band ∅22mm</v>
      </c>
      <c r="D220" t="s">
        <v>2386</v>
      </c>
      <c r="E220" s="18" t="str">
        <f>INDEX('Attribute Definition'!$B:$B,MATCH($D220,'Attribute Definition'!$A:$A,0))</f>
        <v>Thành phần kháng khuẩn</v>
      </c>
      <c r="F220" s="34" t="s">
        <v>2520</v>
      </c>
    </row>
    <row r="221" spans="1:6" x14ac:dyDescent="0.25">
      <c r="A221" t="s">
        <v>1708</v>
      </c>
      <c r="B221" s="18" t="str">
        <f>INDEX('Product Variant'!$B:$B,MATCH($A221,'Product Variant'!$A:$A,0))</f>
        <v>PRODUCT-00038</v>
      </c>
      <c r="C221" s="18" t="str">
        <f>INDEX(Product!$B:$B,MATCH($B221,Product!$A:$A,0))</f>
        <v>[Young Chemical Vina] Băng keo cá nhân màu da - Ace-band ∅22mm</v>
      </c>
      <c r="D221" t="s">
        <v>2464</v>
      </c>
      <c r="E221" s="18" t="str">
        <f>INDEX('Attribute Definition'!$B:$B,MATCH($D221,'Attribute Definition'!$A:$A,0))</f>
        <v>Màu sắc</v>
      </c>
      <c r="F221" s="34" t="s">
        <v>2524</v>
      </c>
    </row>
    <row r="222" spans="1:6" x14ac:dyDescent="0.25">
      <c r="A222" t="s">
        <v>1708</v>
      </c>
      <c r="B222" s="18" t="str">
        <f>INDEX('Product Variant'!$B:$B,MATCH($A222,'Product Variant'!$A:$A,0))</f>
        <v>PRODUCT-00038</v>
      </c>
      <c r="C222" s="18" t="str">
        <f>INDEX(Product!$B:$B,MATCH($B222,Product!$A:$A,0))</f>
        <v>[Young Chemical Vina] Băng keo cá nhân màu da - Ace-band ∅22mm</v>
      </c>
      <c r="D222" t="s">
        <v>2471</v>
      </c>
      <c r="E222" s="18" t="str">
        <f>INDEX('Attribute Definition'!$B:$B,MATCH($D222,'Attribute Definition'!$A:$A,0))</f>
        <v>Dạng sản phẩm</v>
      </c>
      <c r="F222" s="34" t="s">
        <v>2237</v>
      </c>
    </row>
    <row r="223" spans="1:6" x14ac:dyDescent="0.25">
      <c r="A223" t="s">
        <v>1709</v>
      </c>
      <c r="B223" s="18" t="str">
        <f>INDEX('Product Variant'!$B:$B,MATCH($A223,'Product Variant'!$A:$A,0))</f>
        <v>PRODUCT-00039</v>
      </c>
      <c r="C223" s="18" t="str">
        <f>INDEX(Product!$B:$B,MATCH($B223,Product!$A:$A,0))</f>
        <v>[Young Chemical Vina] Băng keo cá nhân màu da - Ace-band Sheer (72mmx18mm)</v>
      </c>
      <c r="D223" t="s">
        <v>2342</v>
      </c>
      <c r="E223" s="18" t="str">
        <f>INDEX('Attribute Definition'!$B:$B,MATCH($D223,'Attribute Definition'!$A:$A,0))</f>
        <v>Kích thước</v>
      </c>
      <c r="F223" s="34" t="s">
        <v>2522</v>
      </c>
    </row>
    <row r="224" spans="1:6" x14ac:dyDescent="0.25">
      <c r="A224" t="s">
        <v>1709</v>
      </c>
      <c r="B224" s="18" t="str">
        <f>INDEX('Product Variant'!$B:$B,MATCH($A224,'Product Variant'!$A:$A,0))</f>
        <v>PRODUCT-00039</v>
      </c>
      <c r="C224" s="18" t="str">
        <f>INDEX(Product!$B:$B,MATCH($B224,Product!$A:$A,0))</f>
        <v>[Young Chemical Vina] Băng keo cá nhân màu da - Ace-band Sheer (72mmx18mm)</v>
      </c>
      <c r="D224" t="s">
        <v>2386</v>
      </c>
      <c r="E224" s="18" t="str">
        <f>INDEX('Attribute Definition'!$B:$B,MATCH($D224,'Attribute Definition'!$A:$A,0))</f>
        <v>Thành phần kháng khuẩn</v>
      </c>
      <c r="F224" s="34" t="s">
        <v>2520</v>
      </c>
    </row>
    <row r="225" spans="1:6" x14ac:dyDescent="0.25">
      <c r="A225" t="s">
        <v>1709</v>
      </c>
      <c r="B225" s="18" t="str">
        <f>INDEX('Product Variant'!$B:$B,MATCH($A225,'Product Variant'!$A:$A,0))</f>
        <v>PRODUCT-00039</v>
      </c>
      <c r="C225" s="18" t="str">
        <f>INDEX(Product!$B:$B,MATCH($B225,Product!$A:$A,0))</f>
        <v>[Young Chemical Vina] Băng keo cá nhân màu da - Ace-band Sheer (72mmx18mm)</v>
      </c>
      <c r="D225" t="s">
        <v>2464</v>
      </c>
      <c r="E225" s="18" t="str">
        <f>INDEX('Attribute Definition'!$B:$B,MATCH($D225,'Attribute Definition'!$A:$A,0))</f>
        <v>Màu sắc</v>
      </c>
      <c r="F225" s="34" t="s">
        <v>2524</v>
      </c>
    </row>
    <row r="226" spans="1:6" x14ac:dyDescent="0.25">
      <c r="A226" t="s">
        <v>1709</v>
      </c>
      <c r="B226" s="18" t="str">
        <f>INDEX('Product Variant'!$B:$B,MATCH($A226,'Product Variant'!$A:$A,0))</f>
        <v>PRODUCT-00039</v>
      </c>
      <c r="C226" s="18" t="str">
        <f>INDEX(Product!$B:$B,MATCH($B226,Product!$A:$A,0))</f>
        <v>[Young Chemical Vina] Băng keo cá nhân màu da - Ace-band Sheer (72mmx18mm)</v>
      </c>
      <c r="D226" t="s">
        <v>2471</v>
      </c>
      <c r="E226" s="18" t="str">
        <f>INDEX('Attribute Definition'!$B:$B,MATCH($D226,'Attribute Definition'!$A:$A,0))</f>
        <v>Dạng sản phẩm</v>
      </c>
      <c r="F226" s="34" t="s">
        <v>2237</v>
      </c>
    </row>
    <row r="227" spans="1:6" x14ac:dyDescent="0.25">
      <c r="A227" t="s">
        <v>1710</v>
      </c>
      <c r="B227" s="18" t="str">
        <f>INDEX('Product Variant'!$B:$B,MATCH($A227,'Product Variant'!$A:$A,0))</f>
        <v>PRODUCT-00040</v>
      </c>
      <c r="C227" s="18" t="str">
        <f>INDEX(Product!$B:$B,MATCH($B227,Product!$A:$A,0))</f>
        <v>[Young Chemical Vina] Băng keo cá nhân trong suốt - Ace-band Transparent (72mmx18mm)</v>
      </c>
      <c r="D227" t="s">
        <v>2342</v>
      </c>
      <c r="E227" s="18" t="str">
        <f>INDEX('Attribute Definition'!$B:$B,MATCH($D227,'Attribute Definition'!$A:$A,0))</f>
        <v>Kích thước</v>
      </c>
      <c r="F227" s="34" t="s">
        <v>2522</v>
      </c>
    </row>
    <row r="228" spans="1:6" x14ac:dyDescent="0.25">
      <c r="A228" t="s">
        <v>1710</v>
      </c>
      <c r="B228" s="18" t="str">
        <f>INDEX('Product Variant'!$B:$B,MATCH($A228,'Product Variant'!$A:$A,0))</f>
        <v>PRODUCT-00040</v>
      </c>
      <c r="C228" s="18" t="str">
        <f>INDEX(Product!$B:$B,MATCH($B228,Product!$A:$A,0))</f>
        <v>[Young Chemical Vina] Băng keo cá nhân trong suốt - Ace-band Transparent (72mmx18mm)</v>
      </c>
      <c r="D228" t="s">
        <v>2386</v>
      </c>
      <c r="E228" s="18" t="str">
        <f>INDEX('Attribute Definition'!$B:$B,MATCH($D228,'Attribute Definition'!$A:$A,0))</f>
        <v>Thành phần kháng khuẩn</v>
      </c>
      <c r="F228" s="34" t="s">
        <v>2520</v>
      </c>
    </row>
    <row r="229" spans="1:6" x14ac:dyDescent="0.25">
      <c r="A229" t="s">
        <v>1710</v>
      </c>
      <c r="B229" s="18" t="str">
        <f>INDEX('Product Variant'!$B:$B,MATCH($A229,'Product Variant'!$A:$A,0))</f>
        <v>PRODUCT-00040</v>
      </c>
      <c r="C229" s="18" t="str">
        <f>INDEX(Product!$B:$B,MATCH($B229,Product!$A:$A,0))</f>
        <v>[Young Chemical Vina] Băng keo cá nhân trong suốt - Ace-band Transparent (72mmx18mm)</v>
      </c>
      <c r="D229" t="s">
        <v>2464</v>
      </c>
      <c r="E229" s="18" t="str">
        <f>INDEX('Attribute Definition'!$B:$B,MATCH($D229,'Attribute Definition'!$A:$A,0))</f>
        <v>Màu sắc</v>
      </c>
      <c r="F229" s="34" t="s">
        <v>2525</v>
      </c>
    </row>
    <row r="230" spans="1:6" x14ac:dyDescent="0.25">
      <c r="A230" t="s">
        <v>1710</v>
      </c>
      <c r="B230" s="18" t="str">
        <f>INDEX('Product Variant'!$B:$B,MATCH($A230,'Product Variant'!$A:$A,0))</f>
        <v>PRODUCT-00040</v>
      </c>
      <c r="C230" s="18" t="str">
        <f>INDEX(Product!$B:$B,MATCH($B230,Product!$A:$A,0))</f>
        <v>[Young Chemical Vina] Băng keo cá nhân trong suốt - Ace-band Transparent (72mmx18mm)</v>
      </c>
      <c r="D230" t="s">
        <v>2471</v>
      </c>
      <c r="E230" s="18" t="str">
        <f>INDEX('Attribute Definition'!$B:$B,MATCH($D230,'Attribute Definition'!$A:$A,0))</f>
        <v>Dạng sản phẩm</v>
      </c>
      <c r="F230" s="34" t="s">
        <v>2237</v>
      </c>
    </row>
    <row r="231" spans="1:6" x14ac:dyDescent="0.25">
      <c r="A231" t="s">
        <v>1711</v>
      </c>
      <c r="B231" s="18" t="str">
        <f>INDEX('Product Variant'!$B:$B,MATCH($A231,'Product Variant'!$A:$A,0))</f>
        <v>PRODUCT-00041</v>
      </c>
      <c r="C231" s="18" t="str">
        <f>INDEX(Product!$B:$B,MATCH($B231,Product!$A:$A,0))</f>
        <v>[Young Chemical Vina] Băng keo cá nhân vải - Ace-band (60mmx19mm)</v>
      </c>
      <c r="D231" t="s">
        <v>2342</v>
      </c>
      <c r="E231" s="18" t="str">
        <f>INDEX('Attribute Definition'!$B:$B,MATCH($D231,'Attribute Definition'!$A:$A,0))</f>
        <v>Kích thước</v>
      </c>
      <c r="F231" s="34" t="s">
        <v>2526</v>
      </c>
    </row>
    <row r="232" spans="1:6" x14ac:dyDescent="0.25">
      <c r="A232" t="s">
        <v>1711</v>
      </c>
      <c r="B232" s="18" t="str">
        <f>INDEX('Product Variant'!$B:$B,MATCH($A232,'Product Variant'!$A:$A,0))</f>
        <v>PRODUCT-00041</v>
      </c>
      <c r="C232" s="18" t="str">
        <f>INDEX(Product!$B:$B,MATCH($B232,Product!$A:$A,0))</f>
        <v>[Young Chemical Vina] Băng keo cá nhân vải - Ace-band (60mmx19mm)</v>
      </c>
      <c r="D232" t="s">
        <v>2367</v>
      </c>
      <c r="E232" s="18" t="str">
        <f>INDEX('Attribute Definition'!$B:$B,MATCH($D232,'Attribute Definition'!$A:$A,0))</f>
        <v>Chất liệu</v>
      </c>
      <c r="F232" s="34" t="s">
        <v>2527</v>
      </c>
    </row>
    <row r="233" spans="1:6" x14ac:dyDescent="0.25">
      <c r="A233" t="s">
        <v>1711</v>
      </c>
      <c r="B233" s="18" t="str">
        <f>INDEX('Product Variant'!$B:$B,MATCH($A233,'Product Variant'!$A:$A,0))</f>
        <v>PRODUCT-00041</v>
      </c>
      <c r="C233" s="18" t="str">
        <f>INDEX(Product!$B:$B,MATCH($B233,Product!$A:$A,0))</f>
        <v>[Young Chemical Vina] Băng keo cá nhân vải - Ace-band (60mmx19mm)</v>
      </c>
      <c r="D233" t="s">
        <v>2386</v>
      </c>
      <c r="E233" s="18" t="str">
        <f>INDEX('Attribute Definition'!$B:$B,MATCH($D233,'Attribute Definition'!$A:$A,0))</f>
        <v>Thành phần kháng khuẩn</v>
      </c>
      <c r="F233" s="34" t="s">
        <v>2520</v>
      </c>
    </row>
    <row r="234" spans="1:6" x14ac:dyDescent="0.25">
      <c r="A234" t="s">
        <v>1711</v>
      </c>
      <c r="B234" s="18" t="str">
        <f>INDEX('Product Variant'!$B:$B,MATCH($A234,'Product Variant'!$A:$A,0))</f>
        <v>PRODUCT-00041</v>
      </c>
      <c r="C234" s="18" t="str">
        <f>INDEX(Product!$B:$B,MATCH($B234,Product!$A:$A,0))</f>
        <v>[Young Chemical Vina] Băng keo cá nhân vải - Ace-band (60mmx19mm)</v>
      </c>
      <c r="D234" t="s">
        <v>2471</v>
      </c>
      <c r="E234" s="18" t="str">
        <f>INDEX('Attribute Definition'!$B:$B,MATCH($D234,'Attribute Definition'!$A:$A,0))</f>
        <v>Dạng sản phẩm</v>
      </c>
      <c r="F234" s="34" t="s">
        <v>2237</v>
      </c>
    </row>
    <row r="235" spans="1:6" x14ac:dyDescent="0.25">
      <c r="A235" t="s">
        <v>1712</v>
      </c>
      <c r="B235" s="18" t="str">
        <f>INDEX('Product Variant'!$B:$B,MATCH($A235,'Product Variant'!$A:$A,0))</f>
        <v>PRODUCT-00042</v>
      </c>
      <c r="C235" s="18" t="str">
        <f>INDEX(Product!$B:$B,MATCH($B235,Product!$A:$A,0))</f>
        <v>[Young Chemical Vina] Băng keo cuộn co giãn - Fix Roll (5cmx10m)</v>
      </c>
      <c r="D235" t="s">
        <v>2342</v>
      </c>
      <c r="E235" s="18" t="str">
        <f>INDEX('Attribute Definition'!$B:$B,MATCH($D235,'Attribute Definition'!$A:$A,0))</f>
        <v>Kích thước</v>
      </c>
      <c r="F235" s="34" t="s">
        <v>2528</v>
      </c>
    </row>
    <row r="236" spans="1:6" x14ac:dyDescent="0.25">
      <c r="A236" t="s">
        <v>1712</v>
      </c>
      <c r="B236" s="18" t="str">
        <f>INDEX('Product Variant'!$B:$B,MATCH($A236,'Product Variant'!$A:$A,0))</f>
        <v>PRODUCT-00042</v>
      </c>
      <c r="C236" s="18" t="str">
        <f>INDEX(Product!$B:$B,MATCH($B236,Product!$A:$A,0))</f>
        <v>[Young Chemical Vina] Băng keo cuộn co giãn - Fix Roll (5cmx10m)</v>
      </c>
      <c r="D236" t="s">
        <v>2367</v>
      </c>
      <c r="E236" s="18" t="str">
        <f>INDEX('Attribute Definition'!$B:$B,MATCH($D236,'Attribute Definition'!$A:$A,0))</f>
        <v>Chất liệu</v>
      </c>
      <c r="F236" s="34" t="s">
        <v>2529</v>
      </c>
    </row>
    <row r="237" spans="1:6" x14ac:dyDescent="0.25">
      <c r="A237" t="s">
        <v>1712</v>
      </c>
      <c r="B237" s="18" t="str">
        <f>INDEX('Product Variant'!$B:$B,MATCH($A237,'Product Variant'!$A:$A,0))</f>
        <v>PRODUCT-00042</v>
      </c>
      <c r="C237" s="18" t="str">
        <f>INDEX(Product!$B:$B,MATCH($B237,Product!$A:$A,0))</f>
        <v>[Young Chemical Vina] Băng keo cuộn co giãn - Fix Roll (5cmx10m)</v>
      </c>
      <c r="D237" t="s">
        <v>2471</v>
      </c>
      <c r="E237" s="18" t="str">
        <f>INDEX('Attribute Definition'!$B:$B,MATCH($D237,'Attribute Definition'!$A:$A,0))</f>
        <v>Dạng sản phẩm</v>
      </c>
      <c r="F237" s="34" t="s">
        <v>2239</v>
      </c>
    </row>
    <row r="238" spans="1:6" x14ac:dyDescent="0.25">
      <c r="A238" t="s">
        <v>1713</v>
      </c>
      <c r="B238" s="18" t="str">
        <f>INDEX('Product Variant'!$B:$B,MATCH($A238,'Product Variant'!$A:$A,0))</f>
        <v>PRODUCT-00284</v>
      </c>
      <c r="C238" s="18" t="str">
        <f>INDEX(Product!$B:$B,MATCH($B238,Product!$A:$A,0))</f>
        <v>[Young Chemical Vina] Băng keo cuộn co giãn - Fix Roll (10cmx10m)</v>
      </c>
      <c r="D238" t="s">
        <v>2342</v>
      </c>
      <c r="E238" s="18" t="str">
        <f>INDEX('Attribute Definition'!$B:$B,MATCH($D238,'Attribute Definition'!$A:$A,0))</f>
        <v>Kích thước</v>
      </c>
      <c r="F238" s="34" t="s">
        <v>2644</v>
      </c>
    </row>
    <row r="239" spans="1:6" x14ac:dyDescent="0.25">
      <c r="A239" t="s">
        <v>1713</v>
      </c>
      <c r="B239" s="18" t="str">
        <f>INDEX('Product Variant'!$B:$B,MATCH($A239,'Product Variant'!$A:$A,0))</f>
        <v>PRODUCT-00284</v>
      </c>
      <c r="C239" s="18" t="str">
        <f>INDEX(Product!$B:$B,MATCH($B239,Product!$A:$A,0))</f>
        <v>[Young Chemical Vina] Băng keo cuộn co giãn - Fix Roll (10cmx10m)</v>
      </c>
      <c r="D239" t="s">
        <v>2367</v>
      </c>
      <c r="E239" s="18" t="str">
        <f>INDEX('Attribute Definition'!$B:$B,MATCH($D239,'Attribute Definition'!$A:$A,0))</f>
        <v>Chất liệu</v>
      </c>
      <c r="F239" s="34" t="s">
        <v>2529</v>
      </c>
    </row>
    <row r="240" spans="1:6" x14ac:dyDescent="0.25">
      <c r="A240" t="s">
        <v>1713</v>
      </c>
      <c r="B240" s="18" t="str">
        <f>INDEX('Product Variant'!$B:$B,MATCH($A240,'Product Variant'!$A:$A,0))</f>
        <v>PRODUCT-00284</v>
      </c>
      <c r="C240" s="18" t="str">
        <f>INDEX(Product!$B:$B,MATCH($B240,Product!$A:$A,0))</f>
        <v>[Young Chemical Vina] Băng keo cuộn co giãn - Fix Roll (10cmx10m)</v>
      </c>
      <c r="D240" t="s">
        <v>2471</v>
      </c>
      <c r="E240" s="18" t="str">
        <f>INDEX('Attribute Definition'!$B:$B,MATCH($D240,'Attribute Definition'!$A:$A,0))</f>
        <v>Dạng sản phẩm</v>
      </c>
      <c r="F240" s="34" t="s">
        <v>2239</v>
      </c>
    </row>
    <row r="241" spans="1:6" x14ac:dyDescent="0.25">
      <c r="A241" t="s">
        <v>1714</v>
      </c>
      <c r="B241" s="18" t="str">
        <f>INDEX('Product Variant'!$B:$B,MATCH($A241,'Product Variant'!$A:$A,0))</f>
        <v>PRODUCT-00285</v>
      </c>
      <c r="C241" s="18" t="str">
        <f>INDEX(Product!$B:$B,MATCH($B241,Product!$A:$A,0))</f>
        <v>[Young Chemical Vina] Băng keo cuộn co giãn - Fix Roll (15cmx10m)</v>
      </c>
      <c r="D241" t="s">
        <v>2342</v>
      </c>
      <c r="E241" s="18" t="str">
        <f>INDEX('Attribute Definition'!$B:$B,MATCH($D241,'Attribute Definition'!$A:$A,0))</f>
        <v>Kích thước</v>
      </c>
      <c r="F241" s="34" t="s">
        <v>2645</v>
      </c>
    </row>
    <row r="242" spans="1:6" x14ac:dyDescent="0.25">
      <c r="A242" t="s">
        <v>1714</v>
      </c>
      <c r="B242" s="18" t="str">
        <f>INDEX('Product Variant'!$B:$B,MATCH($A242,'Product Variant'!$A:$A,0))</f>
        <v>PRODUCT-00285</v>
      </c>
      <c r="C242" s="18" t="str">
        <f>INDEX(Product!$B:$B,MATCH($B242,Product!$A:$A,0))</f>
        <v>[Young Chemical Vina] Băng keo cuộn co giãn - Fix Roll (15cmx10m)</v>
      </c>
      <c r="D242" t="s">
        <v>2367</v>
      </c>
      <c r="E242" s="18" t="str">
        <f>INDEX('Attribute Definition'!$B:$B,MATCH($D242,'Attribute Definition'!$A:$A,0))</f>
        <v>Chất liệu</v>
      </c>
      <c r="F242" s="34" t="s">
        <v>2529</v>
      </c>
    </row>
    <row r="243" spans="1:6" x14ac:dyDescent="0.25">
      <c r="A243" t="s">
        <v>1714</v>
      </c>
      <c r="B243" s="18" t="str">
        <f>INDEX('Product Variant'!$B:$B,MATCH($A243,'Product Variant'!$A:$A,0))</f>
        <v>PRODUCT-00285</v>
      </c>
      <c r="C243" s="18" t="str">
        <f>INDEX(Product!$B:$B,MATCH($B243,Product!$A:$A,0))</f>
        <v>[Young Chemical Vina] Băng keo cuộn co giãn - Fix Roll (15cmx10m)</v>
      </c>
      <c r="D243" t="s">
        <v>2471</v>
      </c>
      <c r="E243" s="18" t="str">
        <f>INDEX('Attribute Definition'!$B:$B,MATCH($D243,'Attribute Definition'!$A:$A,0))</f>
        <v>Dạng sản phẩm</v>
      </c>
      <c r="F243" s="34" t="s">
        <v>2239</v>
      </c>
    </row>
    <row r="244" spans="1:6" x14ac:dyDescent="0.25">
      <c r="A244" t="s">
        <v>1715</v>
      </c>
      <c r="B244" s="18" t="str">
        <f>INDEX('Product Variant'!$B:$B,MATCH($A244,'Product Variant'!$A:$A,0))</f>
        <v>PRODUCT-00286</v>
      </c>
      <c r="C244" s="18" t="str">
        <f>INDEX(Product!$B:$B,MATCH($B244,Product!$A:$A,0))</f>
        <v>[Young Chemical Vina] Băng keo cuộn co giãn - Fix Roll (10cmx2.5m)</v>
      </c>
      <c r="D244" t="s">
        <v>2342</v>
      </c>
      <c r="E244" s="18" t="str">
        <f>INDEX('Attribute Definition'!$B:$B,MATCH($D244,'Attribute Definition'!$A:$A,0))</f>
        <v>Kích thước</v>
      </c>
      <c r="F244" s="34" t="s">
        <v>2646</v>
      </c>
    </row>
    <row r="245" spans="1:6" x14ac:dyDescent="0.25">
      <c r="A245" t="s">
        <v>1715</v>
      </c>
      <c r="B245" s="18" t="str">
        <f>INDEX('Product Variant'!$B:$B,MATCH($A245,'Product Variant'!$A:$A,0))</f>
        <v>PRODUCT-00286</v>
      </c>
      <c r="C245" s="18" t="str">
        <f>INDEX(Product!$B:$B,MATCH($B245,Product!$A:$A,0))</f>
        <v>[Young Chemical Vina] Băng keo cuộn co giãn - Fix Roll (10cmx2.5m)</v>
      </c>
      <c r="D245" t="s">
        <v>2367</v>
      </c>
      <c r="E245" s="18" t="str">
        <f>INDEX('Attribute Definition'!$B:$B,MATCH($D245,'Attribute Definition'!$A:$A,0))</f>
        <v>Chất liệu</v>
      </c>
      <c r="F245" s="34" t="s">
        <v>2529</v>
      </c>
    </row>
    <row r="246" spans="1:6" x14ac:dyDescent="0.25">
      <c r="A246" t="s">
        <v>1715</v>
      </c>
      <c r="B246" s="18" t="str">
        <f>INDEX('Product Variant'!$B:$B,MATCH($A246,'Product Variant'!$A:$A,0))</f>
        <v>PRODUCT-00286</v>
      </c>
      <c r="C246" s="18" t="str">
        <f>INDEX(Product!$B:$B,MATCH($B246,Product!$A:$A,0))</f>
        <v>[Young Chemical Vina] Băng keo cuộn co giãn - Fix Roll (10cmx2.5m)</v>
      </c>
      <c r="D246" t="s">
        <v>2471</v>
      </c>
      <c r="E246" s="18" t="str">
        <f>INDEX('Attribute Definition'!$B:$B,MATCH($D246,'Attribute Definition'!$A:$A,0))</f>
        <v>Dạng sản phẩm</v>
      </c>
      <c r="F246" s="34" t="s">
        <v>2239</v>
      </c>
    </row>
    <row r="247" spans="1:6" x14ac:dyDescent="0.25">
      <c r="A247" t="s">
        <v>1716</v>
      </c>
      <c r="B247" s="18" t="str">
        <f>INDEX('Product Variant'!$B:$B,MATCH($A247,'Product Variant'!$A:$A,0))</f>
        <v>PRODUCT-00043</v>
      </c>
      <c r="C247" s="18" t="str">
        <f>INDEX(Product!$B:$B,MATCH($B247,Product!$A:$A,0))</f>
        <v>[Young Chemical Vina] Băng keo cuộn giấy dành cho da nhạy cảm - Young Plaster-Paper (1.25cmx5m)</v>
      </c>
      <c r="D247" t="s">
        <v>2342</v>
      </c>
      <c r="E247" s="18" t="str">
        <f>INDEX('Attribute Definition'!$B:$B,MATCH($D247,'Attribute Definition'!$A:$A,0))</f>
        <v>Kích thước</v>
      </c>
      <c r="F247" s="34" t="s">
        <v>2530</v>
      </c>
    </row>
    <row r="248" spans="1:6" x14ac:dyDescent="0.25">
      <c r="A248" t="s">
        <v>1716</v>
      </c>
      <c r="B248" s="18" t="str">
        <f>INDEX('Product Variant'!$B:$B,MATCH($A248,'Product Variant'!$A:$A,0))</f>
        <v>PRODUCT-00043</v>
      </c>
      <c r="C248" s="18" t="str">
        <f>INDEX(Product!$B:$B,MATCH($B248,Product!$A:$A,0))</f>
        <v>[Young Chemical Vina] Băng keo cuộn giấy dành cho da nhạy cảm - Young Plaster-Paper (1.25cmx5m)</v>
      </c>
      <c r="D248" t="s">
        <v>2367</v>
      </c>
      <c r="E248" s="18" t="str">
        <f>INDEX('Attribute Definition'!$B:$B,MATCH($D248,'Attribute Definition'!$A:$A,0))</f>
        <v>Chất liệu</v>
      </c>
      <c r="F248" s="34" t="s">
        <v>2531</v>
      </c>
    </row>
    <row r="249" spans="1:6" x14ac:dyDescent="0.25">
      <c r="A249" t="s">
        <v>1716</v>
      </c>
      <c r="B249" s="18" t="str">
        <f>INDEX('Product Variant'!$B:$B,MATCH($A249,'Product Variant'!$A:$A,0))</f>
        <v>PRODUCT-00043</v>
      </c>
      <c r="C249" s="18" t="str">
        <f>INDEX(Product!$B:$B,MATCH($B249,Product!$A:$A,0))</f>
        <v>[Young Chemical Vina] Băng keo cuộn giấy dành cho da nhạy cảm - Young Plaster-Paper (1.25cmx5m)</v>
      </c>
      <c r="D249" t="s">
        <v>2471</v>
      </c>
      <c r="E249" s="18" t="str">
        <f>INDEX('Attribute Definition'!$B:$B,MATCH($D249,'Attribute Definition'!$A:$A,0))</f>
        <v>Dạng sản phẩm</v>
      </c>
      <c r="F249" s="34" t="s">
        <v>2239</v>
      </c>
    </row>
    <row r="250" spans="1:6" x14ac:dyDescent="0.25">
      <c r="A250" t="s">
        <v>1717</v>
      </c>
      <c r="B250" s="18" t="str">
        <f>INDEX('Product Variant'!$B:$B,MATCH($A250,'Product Variant'!$A:$A,0))</f>
        <v>PRODUCT-00287</v>
      </c>
      <c r="C250" s="18" t="str">
        <f>INDEX(Product!$B:$B,MATCH($B250,Product!$A:$A,0))</f>
        <v>[Young Chemical Vina] Băng keo cuộn giấy dành cho da nhạy cảm - Young Plaster-Paper (2.5cmx5m)</v>
      </c>
      <c r="D250" t="s">
        <v>2342</v>
      </c>
      <c r="E250" s="18" t="str">
        <f>INDEX('Attribute Definition'!$B:$B,MATCH($D250,'Attribute Definition'!$A:$A,0))</f>
        <v>Kích thước</v>
      </c>
      <c r="F250" s="34" t="s">
        <v>2647</v>
      </c>
    </row>
    <row r="251" spans="1:6" x14ac:dyDescent="0.25">
      <c r="A251" t="s">
        <v>1717</v>
      </c>
      <c r="B251" s="18" t="str">
        <f>INDEX('Product Variant'!$B:$B,MATCH($A251,'Product Variant'!$A:$A,0))</f>
        <v>PRODUCT-00287</v>
      </c>
      <c r="C251" s="18" t="str">
        <f>INDEX(Product!$B:$B,MATCH($B251,Product!$A:$A,0))</f>
        <v>[Young Chemical Vina] Băng keo cuộn giấy dành cho da nhạy cảm - Young Plaster-Paper (2.5cmx5m)</v>
      </c>
      <c r="D251" t="s">
        <v>2367</v>
      </c>
      <c r="E251" s="18" t="str">
        <f>INDEX('Attribute Definition'!$B:$B,MATCH($D251,'Attribute Definition'!$A:$A,0))</f>
        <v>Chất liệu</v>
      </c>
      <c r="F251" s="34" t="s">
        <v>2531</v>
      </c>
    </row>
    <row r="252" spans="1:6" x14ac:dyDescent="0.25">
      <c r="A252" t="s">
        <v>1717</v>
      </c>
      <c r="B252" s="18" t="str">
        <f>INDEX('Product Variant'!$B:$B,MATCH($A252,'Product Variant'!$A:$A,0))</f>
        <v>PRODUCT-00287</v>
      </c>
      <c r="C252" s="18" t="str">
        <f>INDEX(Product!$B:$B,MATCH($B252,Product!$A:$A,0))</f>
        <v>[Young Chemical Vina] Băng keo cuộn giấy dành cho da nhạy cảm - Young Plaster-Paper (2.5cmx5m)</v>
      </c>
      <c r="D252" t="s">
        <v>2471</v>
      </c>
      <c r="E252" s="18" t="str">
        <f>INDEX('Attribute Definition'!$B:$B,MATCH($D252,'Attribute Definition'!$A:$A,0))</f>
        <v>Dạng sản phẩm</v>
      </c>
      <c r="F252" s="34" t="s">
        <v>2239</v>
      </c>
    </row>
    <row r="253" spans="1:6" x14ac:dyDescent="0.25">
      <c r="A253" t="s">
        <v>1718</v>
      </c>
      <c r="B253" s="18" t="str">
        <f>INDEX('Product Variant'!$B:$B,MATCH($A253,'Product Variant'!$A:$A,0))</f>
        <v>PRODUCT-00044</v>
      </c>
      <c r="C253" s="18" t="str">
        <f>INDEX(Product!$B:$B,MATCH($B253,Product!$A:$A,0))</f>
        <v>[Young Chemical Vina] Băng keo cuộn lụa - Young Plaster-Silk (1.25cmx5m)</v>
      </c>
      <c r="D253" t="s">
        <v>2342</v>
      </c>
      <c r="E253" s="18" t="str">
        <f>INDEX('Attribute Definition'!$B:$B,MATCH($D253,'Attribute Definition'!$A:$A,0))</f>
        <v>Kích thước</v>
      </c>
      <c r="F253" s="34" t="s">
        <v>2530</v>
      </c>
    </row>
    <row r="254" spans="1:6" x14ac:dyDescent="0.25">
      <c r="A254" t="s">
        <v>1718</v>
      </c>
      <c r="B254" s="18" t="str">
        <f>INDEX('Product Variant'!$B:$B,MATCH($A254,'Product Variant'!$A:$A,0))</f>
        <v>PRODUCT-00044</v>
      </c>
      <c r="C254" s="18" t="str">
        <f>INDEX(Product!$B:$B,MATCH($B254,Product!$A:$A,0))</f>
        <v>[Young Chemical Vina] Băng keo cuộn lụa - Young Plaster-Silk (1.25cmx5m)</v>
      </c>
      <c r="D254" t="s">
        <v>2367</v>
      </c>
      <c r="E254" s="18" t="str">
        <f>INDEX('Attribute Definition'!$B:$B,MATCH($D254,'Attribute Definition'!$A:$A,0))</f>
        <v>Chất liệu</v>
      </c>
      <c r="F254" s="34" t="s">
        <v>2532</v>
      </c>
    </row>
    <row r="255" spans="1:6" x14ac:dyDescent="0.25">
      <c r="A255" t="s">
        <v>1718</v>
      </c>
      <c r="B255" s="18" t="str">
        <f>INDEX('Product Variant'!$B:$B,MATCH($A255,'Product Variant'!$A:$A,0))</f>
        <v>PRODUCT-00044</v>
      </c>
      <c r="C255" s="18" t="str">
        <f>INDEX(Product!$B:$B,MATCH($B255,Product!$A:$A,0))</f>
        <v>[Young Chemical Vina] Băng keo cuộn lụa - Young Plaster-Silk (1.25cmx5m)</v>
      </c>
      <c r="D255" t="s">
        <v>2471</v>
      </c>
      <c r="E255" s="18" t="str">
        <f>INDEX('Attribute Definition'!$B:$B,MATCH($D255,'Attribute Definition'!$A:$A,0))</f>
        <v>Dạng sản phẩm</v>
      </c>
      <c r="F255" s="34" t="s">
        <v>2239</v>
      </c>
    </row>
    <row r="256" spans="1:6" x14ac:dyDescent="0.25">
      <c r="A256" t="s">
        <v>1719</v>
      </c>
      <c r="B256" s="18" t="str">
        <f>INDEX('Product Variant'!$B:$B,MATCH($A256,'Product Variant'!$A:$A,0))</f>
        <v>PRODUCT-00288</v>
      </c>
      <c r="C256" s="18" t="str">
        <f>INDEX(Product!$B:$B,MATCH($B256,Product!$A:$A,0))</f>
        <v>[Young Chemical Vina] Băng keo cuộn lụa - Young Plaster-Silk (2.5cmx5m)</v>
      </c>
      <c r="D256" t="s">
        <v>2342</v>
      </c>
      <c r="E256" s="18" t="str">
        <f>INDEX('Attribute Definition'!$B:$B,MATCH($D256,'Attribute Definition'!$A:$A,0))</f>
        <v>Kích thước</v>
      </c>
      <c r="F256" s="34" t="s">
        <v>2647</v>
      </c>
    </row>
    <row r="257" spans="1:6" x14ac:dyDescent="0.25">
      <c r="A257" t="s">
        <v>1719</v>
      </c>
      <c r="B257" s="18" t="str">
        <f>INDEX('Product Variant'!$B:$B,MATCH($A257,'Product Variant'!$A:$A,0))</f>
        <v>PRODUCT-00288</v>
      </c>
      <c r="C257" s="18" t="str">
        <f>INDEX(Product!$B:$B,MATCH($B257,Product!$A:$A,0))</f>
        <v>[Young Chemical Vina] Băng keo cuộn lụa - Young Plaster-Silk (2.5cmx5m)</v>
      </c>
      <c r="D257" t="s">
        <v>2367</v>
      </c>
      <c r="E257" s="18" t="str">
        <f>INDEX('Attribute Definition'!$B:$B,MATCH($D257,'Attribute Definition'!$A:$A,0))</f>
        <v>Chất liệu</v>
      </c>
      <c r="F257" s="34" t="s">
        <v>2532</v>
      </c>
    </row>
    <row r="258" spans="1:6" x14ac:dyDescent="0.25">
      <c r="A258" t="s">
        <v>1719</v>
      </c>
      <c r="B258" s="18" t="str">
        <f>INDEX('Product Variant'!$B:$B,MATCH($A258,'Product Variant'!$A:$A,0))</f>
        <v>PRODUCT-00288</v>
      </c>
      <c r="C258" s="18" t="str">
        <f>INDEX(Product!$B:$B,MATCH($B258,Product!$A:$A,0))</f>
        <v>[Young Chemical Vina] Băng keo cuộn lụa - Young Plaster-Silk (2.5cmx5m)</v>
      </c>
      <c r="D258" t="s">
        <v>2471</v>
      </c>
      <c r="E258" s="18" t="str">
        <f>INDEX('Attribute Definition'!$B:$B,MATCH($D258,'Attribute Definition'!$A:$A,0))</f>
        <v>Dạng sản phẩm</v>
      </c>
      <c r="F258" s="34" t="s">
        <v>2239</v>
      </c>
    </row>
    <row r="259" spans="1:6" x14ac:dyDescent="0.25">
      <c r="A259" t="s">
        <v>1720</v>
      </c>
      <c r="B259" s="18" t="str">
        <f>INDEX('Product Variant'!$B:$B,MATCH($A259,'Product Variant'!$A:$A,0))</f>
        <v>PRODUCT-00045</v>
      </c>
      <c r="C259" s="18" t="str">
        <f>INDEX(Product!$B:$B,MATCH($B259,Product!$A:$A,0))</f>
        <v>[Young Chemical Vina] Băng vô trùng không gạc trong suốt không thấm nước - Sterile Adflex (Non-Pad) (10cmx12cm)</v>
      </c>
      <c r="D259" t="s">
        <v>2342</v>
      </c>
      <c r="E259" s="18" t="str">
        <f>INDEX('Attribute Definition'!$B:$B,MATCH($D259,'Attribute Definition'!$A:$A,0))</f>
        <v>Kích thước</v>
      </c>
      <c r="F259" s="34" t="s">
        <v>2507</v>
      </c>
    </row>
    <row r="260" spans="1:6" x14ac:dyDescent="0.25">
      <c r="A260" t="s">
        <v>1720</v>
      </c>
      <c r="B260" s="18" t="str">
        <f>INDEX('Product Variant'!$B:$B,MATCH($A260,'Product Variant'!$A:$A,0))</f>
        <v>PRODUCT-00045</v>
      </c>
      <c r="C260" s="18" t="str">
        <f>INDEX(Product!$B:$B,MATCH($B260,Product!$A:$A,0))</f>
        <v>[Young Chemical Vina] Băng vô trùng không gạc trong suốt không thấm nước - Sterile Adflex (Non-Pad) (10cmx12cm)</v>
      </c>
      <c r="D260" t="s">
        <v>2374</v>
      </c>
      <c r="E260" s="18" t="str">
        <f>INDEX('Attribute Definition'!$B:$B,MATCH($D260,'Attribute Definition'!$A:$A,0))</f>
        <v>Vô trùng</v>
      </c>
      <c r="F260" s="34" t="s">
        <v>2485</v>
      </c>
    </row>
    <row r="261" spans="1:6" x14ac:dyDescent="0.25">
      <c r="A261" t="s">
        <v>1720</v>
      </c>
      <c r="B261" s="18" t="str">
        <f>INDEX('Product Variant'!$B:$B,MATCH($A261,'Product Variant'!$A:$A,0))</f>
        <v>PRODUCT-00045</v>
      </c>
      <c r="C261" s="18" t="str">
        <f>INDEX(Product!$B:$B,MATCH($B261,Product!$A:$A,0))</f>
        <v>[Young Chemical Vina] Băng vô trùng không gạc trong suốt không thấm nước - Sterile Adflex (Non-Pad) (10cmx12cm)</v>
      </c>
      <c r="D261" t="s">
        <v>2381</v>
      </c>
      <c r="E261" s="18" t="str">
        <f>INDEX('Attribute Definition'!$B:$B,MATCH($D261,'Attribute Definition'!$A:$A,0))</f>
        <v>Chống nước</v>
      </c>
      <c r="F261" s="34" t="s">
        <v>2485</v>
      </c>
    </row>
    <row r="262" spans="1:6" x14ac:dyDescent="0.25">
      <c r="A262" t="s">
        <v>1720</v>
      </c>
      <c r="B262" s="18" t="str">
        <f>INDEX('Product Variant'!$B:$B,MATCH($A262,'Product Variant'!$A:$A,0))</f>
        <v>PRODUCT-00045</v>
      </c>
      <c r="C262" s="18" t="str">
        <f>INDEX(Product!$B:$B,MATCH($B262,Product!$A:$A,0))</f>
        <v>[Young Chemical Vina] Băng vô trùng không gạc trong suốt không thấm nước - Sterile Adflex (Non-Pad) (10cmx12cm)</v>
      </c>
      <c r="D262" t="s">
        <v>2464</v>
      </c>
      <c r="E262" s="18" t="str">
        <f>INDEX('Attribute Definition'!$B:$B,MATCH($D262,'Attribute Definition'!$A:$A,0))</f>
        <v>Màu sắc</v>
      </c>
      <c r="F262" s="34" t="s">
        <v>2525</v>
      </c>
    </row>
    <row r="263" spans="1:6" x14ac:dyDescent="0.25">
      <c r="A263" t="s">
        <v>1720</v>
      </c>
      <c r="B263" s="18" t="str">
        <f>INDEX('Product Variant'!$B:$B,MATCH($A263,'Product Variant'!$A:$A,0))</f>
        <v>PRODUCT-00045</v>
      </c>
      <c r="C263" s="18" t="str">
        <f>INDEX(Product!$B:$B,MATCH($B263,Product!$A:$A,0))</f>
        <v>[Young Chemical Vina] Băng vô trùng không gạc trong suốt không thấm nước - Sterile Adflex (Non-Pad) (10cmx12cm)</v>
      </c>
      <c r="D263" t="s">
        <v>2471</v>
      </c>
      <c r="E263" s="18" t="str">
        <f>INDEX('Attribute Definition'!$B:$B,MATCH($D263,'Attribute Definition'!$A:$A,0))</f>
        <v>Dạng sản phẩm</v>
      </c>
      <c r="F263" s="34" t="s">
        <v>2486</v>
      </c>
    </row>
    <row r="264" spans="1:6" x14ac:dyDescent="0.25">
      <c r="A264" t="s">
        <v>1721</v>
      </c>
      <c r="B264" s="18" t="str">
        <f>INDEX('Product Variant'!$B:$B,MATCH($A264,'Product Variant'!$A:$A,0))</f>
        <v>PRODUCT-00046</v>
      </c>
      <c r="C264" s="18" t="str">
        <f>INDEX(Product!$B:$B,MATCH($B264,Product!$A:$A,0))</f>
        <v>[Young Chemical Vina] Miếng dán hydrocolloid hỗ trợ làm lành vết thương - Somaderm-L (7.5cmx7.5cm)</v>
      </c>
      <c r="D264" t="s">
        <v>2342</v>
      </c>
      <c r="E264" s="18" t="str">
        <f>INDEX('Attribute Definition'!$B:$B,MATCH($D264,'Attribute Definition'!$A:$A,0))</f>
        <v>Kích thước</v>
      </c>
      <c r="F264" s="34" t="s">
        <v>2510</v>
      </c>
    </row>
    <row r="265" spans="1:6" x14ac:dyDescent="0.25">
      <c r="A265" t="s">
        <v>1721</v>
      </c>
      <c r="B265" s="18" t="str">
        <f>INDEX('Product Variant'!$B:$B,MATCH($A265,'Product Variant'!$A:$A,0))</f>
        <v>PRODUCT-00046</v>
      </c>
      <c r="C265" s="18" t="str">
        <f>INDEX(Product!$B:$B,MATCH($B265,Product!$A:$A,0))</f>
        <v>[Young Chemical Vina] Miếng dán hydrocolloid hỗ trợ làm lành vết thương - Somaderm-L (7.5cmx7.5cm)</v>
      </c>
      <c r="D265" t="s">
        <v>2367</v>
      </c>
      <c r="E265" s="18" t="str">
        <f>INDEX('Attribute Definition'!$B:$B,MATCH($D265,'Attribute Definition'!$A:$A,0))</f>
        <v>Chất liệu</v>
      </c>
      <c r="F265" s="34" t="s">
        <v>2484</v>
      </c>
    </row>
    <row r="266" spans="1:6" x14ac:dyDescent="0.25">
      <c r="A266" t="s">
        <v>1721</v>
      </c>
      <c r="B266" s="18" t="str">
        <f>INDEX('Product Variant'!$B:$B,MATCH($A266,'Product Variant'!$A:$A,0))</f>
        <v>PRODUCT-00046</v>
      </c>
      <c r="C266" s="18" t="str">
        <f>INDEX(Product!$B:$B,MATCH($B266,Product!$A:$A,0))</f>
        <v>[Young Chemical Vina] Miếng dán hydrocolloid hỗ trợ làm lành vết thương - Somaderm-L (7.5cmx7.5cm)</v>
      </c>
      <c r="D266" t="s">
        <v>2381</v>
      </c>
      <c r="E266" s="18" t="str">
        <f>INDEX('Attribute Definition'!$B:$B,MATCH($D266,'Attribute Definition'!$A:$A,0))</f>
        <v>Chống nước</v>
      </c>
      <c r="F266" s="34" t="s">
        <v>2485</v>
      </c>
    </row>
    <row r="267" spans="1:6" x14ac:dyDescent="0.25">
      <c r="A267" t="s">
        <v>1721</v>
      </c>
      <c r="B267" s="18" t="str">
        <f>INDEX('Product Variant'!$B:$B,MATCH($A267,'Product Variant'!$A:$A,0))</f>
        <v>PRODUCT-00046</v>
      </c>
      <c r="C267" s="18" t="str">
        <f>INDEX(Product!$B:$B,MATCH($B267,Product!$A:$A,0))</f>
        <v>[Young Chemical Vina] Miếng dán hydrocolloid hỗ trợ làm lành vết thương - Somaderm-L (7.5cmx7.5cm)</v>
      </c>
      <c r="D267" t="s">
        <v>2471</v>
      </c>
      <c r="E267" s="18" t="str">
        <f>INDEX('Attribute Definition'!$B:$B,MATCH($D267,'Attribute Definition'!$A:$A,0))</f>
        <v>Dạng sản phẩm</v>
      </c>
      <c r="F267" s="34" t="s">
        <v>2486</v>
      </c>
    </row>
    <row r="268" spans="1:6" x14ac:dyDescent="0.25">
      <c r="A268" t="s">
        <v>1722</v>
      </c>
      <c r="B268" s="18" t="str">
        <f>INDEX('Product Variant'!$B:$B,MATCH($A268,'Product Variant'!$A:$A,0))</f>
        <v>PRODUCT-00289</v>
      </c>
      <c r="C268" s="18" t="str">
        <f>INDEX(Product!$B:$B,MATCH($B268,Product!$A:$A,0))</f>
        <v>[Young Chemical Vina] Miếng dán hydrocolloid hỗ trợ làm lành vết thương - Somaderm-L (10cmx10cm)</v>
      </c>
      <c r="D268" t="s">
        <v>2342</v>
      </c>
      <c r="E268" s="18" t="str">
        <f>INDEX('Attribute Definition'!$B:$B,MATCH($D268,'Attribute Definition'!$A:$A,0))</f>
        <v>Kích thước</v>
      </c>
      <c r="F268" s="34" t="s">
        <v>2494</v>
      </c>
    </row>
    <row r="269" spans="1:6" x14ac:dyDescent="0.25">
      <c r="A269" t="s">
        <v>1722</v>
      </c>
      <c r="B269" s="18" t="str">
        <f>INDEX('Product Variant'!$B:$B,MATCH($A269,'Product Variant'!$A:$A,0))</f>
        <v>PRODUCT-00289</v>
      </c>
      <c r="C269" s="18" t="str">
        <f>INDEX(Product!$B:$B,MATCH($B269,Product!$A:$A,0))</f>
        <v>[Young Chemical Vina] Miếng dán hydrocolloid hỗ trợ làm lành vết thương - Somaderm-L (10cmx10cm)</v>
      </c>
      <c r="D269" t="s">
        <v>2367</v>
      </c>
      <c r="E269" s="18" t="str">
        <f>INDEX('Attribute Definition'!$B:$B,MATCH($D269,'Attribute Definition'!$A:$A,0))</f>
        <v>Chất liệu</v>
      </c>
      <c r="F269" s="34" t="s">
        <v>2484</v>
      </c>
    </row>
    <row r="270" spans="1:6" x14ac:dyDescent="0.25">
      <c r="A270" t="s">
        <v>1722</v>
      </c>
      <c r="B270" s="18" t="str">
        <f>INDEX('Product Variant'!$B:$B,MATCH($A270,'Product Variant'!$A:$A,0))</f>
        <v>PRODUCT-00289</v>
      </c>
      <c r="C270" s="18" t="str">
        <f>INDEX(Product!$B:$B,MATCH($B270,Product!$A:$A,0))</f>
        <v>[Young Chemical Vina] Miếng dán hydrocolloid hỗ trợ làm lành vết thương - Somaderm-L (10cmx10cm)</v>
      </c>
      <c r="D270" t="s">
        <v>2381</v>
      </c>
      <c r="E270" s="18" t="str">
        <f>INDEX('Attribute Definition'!$B:$B,MATCH($D270,'Attribute Definition'!$A:$A,0))</f>
        <v>Chống nước</v>
      </c>
      <c r="F270" s="34" t="s">
        <v>2485</v>
      </c>
    </row>
    <row r="271" spans="1:6" x14ac:dyDescent="0.25">
      <c r="A271" t="s">
        <v>1722</v>
      </c>
      <c r="B271" s="18" t="str">
        <f>INDEX('Product Variant'!$B:$B,MATCH($A271,'Product Variant'!$A:$A,0))</f>
        <v>PRODUCT-00289</v>
      </c>
      <c r="C271" s="18" t="str">
        <f>INDEX(Product!$B:$B,MATCH($B271,Product!$A:$A,0))</f>
        <v>[Young Chemical Vina] Miếng dán hydrocolloid hỗ trợ làm lành vết thương - Somaderm-L (10cmx10cm)</v>
      </c>
      <c r="D271" t="s">
        <v>2471</v>
      </c>
      <c r="E271" s="18" t="str">
        <f>INDEX('Attribute Definition'!$B:$B,MATCH($D271,'Attribute Definition'!$A:$A,0))</f>
        <v>Dạng sản phẩm</v>
      </c>
      <c r="F271" s="34" t="s">
        <v>2486</v>
      </c>
    </row>
    <row r="272" spans="1:6" x14ac:dyDescent="0.25">
      <c r="A272" t="s">
        <v>1723</v>
      </c>
      <c r="B272" s="18" t="str">
        <f>INDEX('Product Variant'!$B:$B,MATCH($A272,'Product Variant'!$A:$A,0))</f>
        <v>PRODUCT-00047</v>
      </c>
      <c r="C272" s="18" t="str">
        <f>INDEX(Product!$B:$B,MATCH($B272,Product!$A:$A,0))</f>
        <v>Bộ gạc xốp phủ vết thương điều trị áp lực âm kèm chức năng rửa - MJ-03</v>
      </c>
      <c r="D272" t="s">
        <v>2471</v>
      </c>
      <c r="E272" s="18" t="str">
        <f>INDEX('Attribute Definition'!$B:$B,MATCH($D272,'Attribute Definition'!$A:$A,0))</f>
        <v>Dạng sản phẩm</v>
      </c>
      <c r="F272" s="34" t="s">
        <v>2490</v>
      </c>
    </row>
    <row r="273" spans="1:6" x14ac:dyDescent="0.25">
      <c r="A273" t="s">
        <v>1724</v>
      </c>
      <c r="B273" s="18" t="str">
        <f>INDEX('Product Variant'!$B:$B,MATCH($A273,'Product Variant'!$A:$A,0))</f>
        <v>PRODUCT-00048</v>
      </c>
      <c r="C273" s="18" t="str">
        <f>INDEX(Product!$B:$B,MATCH($B273,Product!$A:$A,0))</f>
        <v>Máy hút dịch áp lực âm VAC - MJ-100</v>
      </c>
      <c r="D273" t="s">
        <v>2471</v>
      </c>
      <c r="E273" s="18" t="str">
        <f>INDEX('Attribute Definition'!$B:$B,MATCH($D273,'Attribute Definition'!$A:$A,0))</f>
        <v>Dạng sản phẩm</v>
      </c>
      <c r="F273" s="34" t="s">
        <v>2481</v>
      </c>
    </row>
    <row r="274" spans="1:6" x14ac:dyDescent="0.25">
      <c r="A274" t="s">
        <v>1725</v>
      </c>
      <c r="B274" s="18" t="str">
        <f>INDEX('Product Variant'!$B:$B,MATCH($A274,'Product Variant'!$A:$A,0))</f>
        <v>PRODUCT-00049</v>
      </c>
      <c r="C274" s="18" t="str">
        <f>INDEX(Product!$B:$B,MATCH($B274,Product!$A:$A,0))</f>
        <v>Miếng dán ép sẹo silicone (10cmx1.7cm)</v>
      </c>
      <c r="D274" t="s">
        <v>2342</v>
      </c>
      <c r="E274" s="18" t="str">
        <f>INDEX('Attribute Definition'!$B:$B,MATCH($D274,'Attribute Definition'!$A:$A,0))</f>
        <v>Kích thước</v>
      </c>
      <c r="F274" s="34" t="s">
        <v>2533</v>
      </c>
    </row>
    <row r="275" spans="1:6" x14ac:dyDescent="0.25">
      <c r="A275" t="s">
        <v>1725</v>
      </c>
      <c r="B275" s="18" t="str">
        <f>INDEX('Product Variant'!$B:$B,MATCH($A275,'Product Variant'!$A:$A,0))</f>
        <v>PRODUCT-00049</v>
      </c>
      <c r="C275" s="18" t="str">
        <f>INDEX(Product!$B:$B,MATCH($B275,Product!$A:$A,0))</f>
        <v>Miếng dán ép sẹo silicone (10cmx1.7cm)</v>
      </c>
      <c r="D275" t="s">
        <v>2367</v>
      </c>
      <c r="E275" s="18" t="str">
        <f>INDEX('Attribute Definition'!$B:$B,MATCH($D275,'Attribute Definition'!$A:$A,0))</f>
        <v>Chất liệu</v>
      </c>
      <c r="F275" s="34" t="s">
        <v>2516</v>
      </c>
    </row>
    <row r="276" spans="1:6" x14ac:dyDescent="0.25">
      <c r="A276" t="s">
        <v>1725</v>
      </c>
      <c r="B276" s="18" t="str">
        <f>INDEX('Product Variant'!$B:$B,MATCH($A276,'Product Variant'!$A:$A,0))</f>
        <v>PRODUCT-00049</v>
      </c>
      <c r="C276" s="18" t="str">
        <f>INDEX(Product!$B:$B,MATCH($B276,Product!$A:$A,0))</f>
        <v>Miếng dán ép sẹo silicone (10cmx1.7cm)</v>
      </c>
      <c r="D276" t="s">
        <v>2471</v>
      </c>
      <c r="E276" s="18" t="str">
        <f>INDEX('Attribute Definition'!$B:$B,MATCH($D276,'Attribute Definition'!$A:$A,0))</f>
        <v>Dạng sản phẩm</v>
      </c>
      <c r="F276" s="34" t="s">
        <v>2486</v>
      </c>
    </row>
    <row r="277" spans="1:6" x14ac:dyDescent="0.25">
      <c r="A277" t="s">
        <v>1726</v>
      </c>
      <c r="B277" s="18" t="str">
        <f>INDEX('Product Variant'!$B:$B,MATCH($A277,'Product Variant'!$A:$A,0))</f>
        <v>PRODUCT-00290</v>
      </c>
      <c r="C277" s="18" t="str">
        <f>INDEX(Product!$B:$B,MATCH($B277,Product!$A:$A,0))</f>
        <v>Miếng dán ép sẹo silicone (14cmx3.8cm)</v>
      </c>
      <c r="D277" t="s">
        <v>2342</v>
      </c>
      <c r="E277" s="18" t="str">
        <f>INDEX('Attribute Definition'!$B:$B,MATCH($D277,'Attribute Definition'!$A:$A,0))</f>
        <v>Kích thước</v>
      </c>
      <c r="F277" s="34" t="s">
        <v>2648</v>
      </c>
    </row>
    <row r="278" spans="1:6" x14ac:dyDescent="0.25">
      <c r="A278" t="s">
        <v>1726</v>
      </c>
      <c r="B278" s="18" t="str">
        <f>INDEX('Product Variant'!$B:$B,MATCH($A278,'Product Variant'!$A:$A,0))</f>
        <v>PRODUCT-00290</v>
      </c>
      <c r="C278" s="18" t="str">
        <f>INDEX(Product!$B:$B,MATCH($B278,Product!$A:$A,0))</f>
        <v>Miếng dán ép sẹo silicone (14cmx3.8cm)</v>
      </c>
      <c r="D278" t="s">
        <v>2367</v>
      </c>
      <c r="E278" s="18" t="str">
        <f>INDEX('Attribute Definition'!$B:$B,MATCH($D278,'Attribute Definition'!$A:$A,0))</f>
        <v>Chất liệu</v>
      </c>
      <c r="F278" s="34" t="s">
        <v>2516</v>
      </c>
    </row>
    <row r="279" spans="1:6" x14ac:dyDescent="0.25">
      <c r="A279" t="s">
        <v>1726</v>
      </c>
      <c r="B279" s="18" t="str">
        <f>INDEX('Product Variant'!$B:$B,MATCH($A279,'Product Variant'!$A:$A,0))</f>
        <v>PRODUCT-00290</v>
      </c>
      <c r="C279" s="18" t="str">
        <f>INDEX(Product!$B:$B,MATCH($B279,Product!$A:$A,0))</f>
        <v>Miếng dán ép sẹo silicone (14cmx3.8cm)</v>
      </c>
      <c r="D279" t="s">
        <v>2471</v>
      </c>
      <c r="E279" s="18" t="str">
        <f>INDEX('Attribute Definition'!$B:$B,MATCH($D279,'Attribute Definition'!$A:$A,0))</f>
        <v>Dạng sản phẩm</v>
      </c>
      <c r="F279" s="34" t="s">
        <v>2486</v>
      </c>
    </row>
    <row r="280" spans="1:6" x14ac:dyDescent="0.25">
      <c r="A280" t="s">
        <v>1727</v>
      </c>
      <c r="B280" s="18" t="str">
        <f>INDEX('Product Variant'!$B:$B,MATCH($A280,'Product Variant'!$A:$A,0))</f>
        <v>PRODUCT-00050</v>
      </c>
      <c r="C280" s="18" t="str">
        <f>INDEX(Product!$B:$B,MATCH($B280,Product!$A:$A,0))</f>
        <v>[Aveflor] Bình xịt lạnh giảm đau - Chillit (250ml)</v>
      </c>
      <c r="D280" t="s">
        <v>2349</v>
      </c>
      <c r="E280" s="18" t="str">
        <f>INDEX('Attribute Definition'!$B:$B,MATCH($D280,'Attribute Definition'!$A:$A,0))</f>
        <v>Dung tích</v>
      </c>
      <c r="F280" s="34" t="s">
        <v>2534</v>
      </c>
    </row>
    <row r="281" spans="1:6" x14ac:dyDescent="0.25">
      <c r="A281" t="s">
        <v>1727</v>
      </c>
      <c r="B281" s="18" t="str">
        <f>INDEX('Product Variant'!$B:$B,MATCH($A281,'Product Variant'!$A:$A,0))</f>
        <v>PRODUCT-00050</v>
      </c>
      <c r="C281" s="18" t="str">
        <f>INDEX(Product!$B:$B,MATCH($B281,Product!$A:$A,0))</f>
        <v>[Aveflor] Bình xịt lạnh giảm đau - Chillit (250ml)</v>
      </c>
      <c r="D281" t="s">
        <v>2471</v>
      </c>
      <c r="E281" s="18" t="str">
        <f>INDEX('Attribute Definition'!$B:$B,MATCH($D281,'Attribute Definition'!$A:$A,0))</f>
        <v>Dạng sản phẩm</v>
      </c>
      <c r="F281" s="34" t="s">
        <v>2493</v>
      </c>
    </row>
    <row r="282" spans="1:6" x14ac:dyDescent="0.25">
      <c r="A282" t="s">
        <v>1728</v>
      </c>
      <c r="B282" s="18" t="str">
        <f>INDEX('Product Variant'!$B:$B,MATCH($A282,'Product Variant'!$A:$A,0))</f>
        <v>PRODUCT-00051</v>
      </c>
      <c r="C282" s="18" t="str">
        <f>INDEX(Product!$B:$B,MATCH($B282,Product!$A:$A,0))</f>
        <v>[CODY Health] Băng thun bảo vệ đầu gối</v>
      </c>
      <c r="D282" t="s">
        <v>2439</v>
      </c>
      <c r="E282" s="18" t="str">
        <f>INDEX('Attribute Definition'!$B:$B,MATCH($D282,'Attribute Definition'!$A:$A,0))</f>
        <v>Vị trí sử dụng trên cơ thể</v>
      </c>
      <c r="F282" s="34" t="s">
        <v>2535</v>
      </c>
    </row>
    <row r="283" spans="1:6" x14ac:dyDescent="0.25">
      <c r="A283" t="s">
        <v>1728</v>
      </c>
      <c r="B283" s="18" t="str">
        <f>INDEX('Product Variant'!$B:$B,MATCH($A283,'Product Variant'!$A:$A,0))</f>
        <v>PRODUCT-00051</v>
      </c>
      <c r="C283" s="18" t="str">
        <f>INDEX(Product!$B:$B,MATCH($B283,Product!$A:$A,0))</f>
        <v>[CODY Health] Băng thun bảo vệ đầu gối</v>
      </c>
      <c r="D283" t="s">
        <v>2471</v>
      </c>
      <c r="E283" s="18" t="str">
        <f>INDEX('Attribute Definition'!$B:$B,MATCH($D283,'Attribute Definition'!$A:$A,0))</f>
        <v>Dạng sản phẩm</v>
      </c>
      <c r="F283" s="34" t="s">
        <v>2486</v>
      </c>
    </row>
    <row r="284" spans="1:6" x14ac:dyDescent="0.25">
      <c r="A284" t="s">
        <v>1729</v>
      </c>
      <c r="B284" s="18" t="str">
        <f>INDEX('Product Variant'!$B:$B,MATCH($A284,'Product Variant'!$A:$A,0))</f>
        <v>PRODUCT-00052</v>
      </c>
      <c r="C284" s="18" t="str">
        <f>INDEX(Product!$B:$B,MATCH($B284,Product!$A:$A,0))</f>
        <v>[CODY Health] Đai đầu gối tập luyện thể thao</v>
      </c>
      <c r="D284" t="s">
        <v>2439</v>
      </c>
      <c r="E284" s="18" t="str">
        <f>INDEX('Attribute Definition'!$B:$B,MATCH($D284,'Attribute Definition'!$A:$A,0))</f>
        <v>Vị trí sử dụng trên cơ thể</v>
      </c>
      <c r="F284" s="34" t="s">
        <v>2535</v>
      </c>
    </row>
    <row r="285" spans="1:6" x14ac:dyDescent="0.25">
      <c r="A285" t="s">
        <v>1729</v>
      </c>
      <c r="B285" s="18" t="str">
        <f>INDEX('Product Variant'!$B:$B,MATCH($A285,'Product Variant'!$A:$A,0))</f>
        <v>PRODUCT-00052</v>
      </c>
      <c r="C285" s="18" t="str">
        <f>INDEX(Product!$B:$B,MATCH($B285,Product!$A:$A,0))</f>
        <v>[CODY Health] Đai đầu gối tập luyện thể thao</v>
      </c>
      <c r="D285" t="s">
        <v>2471</v>
      </c>
      <c r="E285" s="18" t="str">
        <f>INDEX('Attribute Definition'!$B:$B,MATCH($D285,'Attribute Definition'!$A:$A,0))</f>
        <v>Dạng sản phẩm</v>
      </c>
      <c r="F285" s="34" t="s">
        <v>2536</v>
      </c>
    </row>
    <row r="286" spans="1:6" x14ac:dyDescent="0.25">
      <c r="A286" t="s">
        <v>1730</v>
      </c>
      <c r="B286" s="18" t="str">
        <f>INDEX('Product Variant'!$B:$B,MATCH($A286,'Product Variant'!$A:$A,0))</f>
        <v>PRODUCT-00053</v>
      </c>
      <c r="C286" s="18" t="str">
        <f>INDEX(Product!$B:$B,MATCH($B286,Product!$A:$A,0))</f>
        <v>[CODY Health] Đai lưng cố định cột sống</v>
      </c>
      <c r="D286" t="s">
        <v>2439</v>
      </c>
      <c r="E286" s="18" t="str">
        <f>INDEX('Attribute Definition'!$B:$B,MATCH($D286,'Attribute Definition'!$A:$A,0))</f>
        <v>Vị trí sử dụng trên cơ thể</v>
      </c>
      <c r="F286" s="34" t="s">
        <v>2537</v>
      </c>
    </row>
    <row r="287" spans="1:6" x14ac:dyDescent="0.25">
      <c r="A287" t="s">
        <v>1730</v>
      </c>
      <c r="B287" s="18" t="str">
        <f>INDEX('Product Variant'!$B:$B,MATCH($A287,'Product Variant'!$A:$A,0))</f>
        <v>PRODUCT-00053</v>
      </c>
      <c r="C287" s="18" t="str">
        <f>INDEX(Product!$B:$B,MATCH($B287,Product!$A:$A,0))</f>
        <v>[CODY Health] Đai lưng cố định cột sống</v>
      </c>
      <c r="D287" t="s">
        <v>2471</v>
      </c>
      <c r="E287" s="18" t="str">
        <f>INDEX('Attribute Definition'!$B:$B,MATCH($D287,'Attribute Definition'!$A:$A,0))</f>
        <v>Dạng sản phẩm</v>
      </c>
      <c r="F287" s="34" t="s">
        <v>2536</v>
      </c>
    </row>
    <row r="288" spans="1:6" x14ac:dyDescent="0.25">
      <c r="A288" t="s">
        <v>1730</v>
      </c>
      <c r="B288" s="18" t="str">
        <f>INDEX('Product Variant'!$B:$B,MATCH($A288,'Product Variant'!$A:$A,0))</f>
        <v>PRODUCT-00053</v>
      </c>
      <c r="C288" s="18" t="str">
        <f>INDEX(Product!$B:$B,MATCH($B288,Product!$A:$A,0))</f>
        <v>[CODY Health] Đai lưng cố định cột sống</v>
      </c>
      <c r="D288" t="s">
        <v>2656</v>
      </c>
      <c r="E288" s="18" t="str">
        <f>INDEX('Attribute Definition'!$B:$B,MATCH($D288,'Attribute Definition'!$A:$A,0))</f>
        <v>Kích cỡ</v>
      </c>
      <c r="F288" s="34" t="s">
        <v>1155</v>
      </c>
    </row>
    <row r="289" spans="1:6" x14ac:dyDescent="0.25">
      <c r="A289" t="s">
        <v>1731</v>
      </c>
      <c r="B289" s="18" t="str">
        <f>INDEX('Product Variant'!$B:$B,MATCH($A289,'Product Variant'!$A:$A,0))</f>
        <v>PRODUCT-00053</v>
      </c>
      <c r="C289" s="18" t="str">
        <f>INDEX(Product!$B:$B,MATCH($B289,Product!$A:$A,0))</f>
        <v>[CODY Health] Đai lưng cố định cột sống</v>
      </c>
      <c r="D289" t="s">
        <v>2439</v>
      </c>
      <c r="E289" s="18" t="str">
        <f>INDEX('Attribute Definition'!$B:$B,MATCH($D289,'Attribute Definition'!$A:$A,0))</f>
        <v>Vị trí sử dụng trên cơ thể</v>
      </c>
      <c r="F289" s="34" t="s">
        <v>2537</v>
      </c>
    </row>
    <row r="290" spans="1:6" x14ac:dyDescent="0.25">
      <c r="A290" t="s">
        <v>1731</v>
      </c>
      <c r="B290" s="18" t="str">
        <f>INDEX('Product Variant'!$B:$B,MATCH($A290,'Product Variant'!$A:$A,0))</f>
        <v>PRODUCT-00053</v>
      </c>
      <c r="C290" s="18" t="str">
        <f>INDEX(Product!$B:$B,MATCH($B290,Product!$A:$A,0))</f>
        <v>[CODY Health] Đai lưng cố định cột sống</v>
      </c>
      <c r="D290" t="s">
        <v>2471</v>
      </c>
      <c r="E290" s="18" t="str">
        <f>INDEX('Attribute Definition'!$B:$B,MATCH($D290,'Attribute Definition'!$A:$A,0))</f>
        <v>Dạng sản phẩm</v>
      </c>
      <c r="F290" s="34" t="s">
        <v>2536</v>
      </c>
    </row>
    <row r="291" spans="1:6" x14ac:dyDescent="0.25">
      <c r="A291" t="s">
        <v>1731</v>
      </c>
      <c r="B291" s="18" t="str">
        <f>INDEX('Product Variant'!$B:$B,MATCH($A291,'Product Variant'!$A:$A,0))</f>
        <v>PRODUCT-00053</v>
      </c>
      <c r="C291" s="18" t="str">
        <f>INDEX(Product!$B:$B,MATCH($B291,Product!$A:$A,0))</f>
        <v>[CODY Health] Đai lưng cố định cột sống</v>
      </c>
      <c r="D291" t="s">
        <v>2656</v>
      </c>
      <c r="E291" s="18" t="str">
        <f>INDEX('Attribute Definition'!$B:$B,MATCH($D291,'Attribute Definition'!$A:$A,0))</f>
        <v>Kích cỡ</v>
      </c>
      <c r="F291" s="34" t="s">
        <v>1156</v>
      </c>
    </row>
    <row r="292" spans="1:6" x14ac:dyDescent="0.25">
      <c r="A292" t="s">
        <v>1732</v>
      </c>
      <c r="B292" s="18" t="str">
        <f>INDEX('Product Variant'!$B:$B,MATCH($A292,'Product Variant'!$A:$A,0))</f>
        <v>PRODUCT-00053</v>
      </c>
      <c r="C292" s="18" t="str">
        <f>INDEX(Product!$B:$B,MATCH($B292,Product!$A:$A,0))</f>
        <v>[CODY Health] Đai lưng cố định cột sống</v>
      </c>
      <c r="D292" t="s">
        <v>2439</v>
      </c>
      <c r="E292" s="18" t="str">
        <f>INDEX('Attribute Definition'!$B:$B,MATCH($D292,'Attribute Definition'!$A:$A,0))</f>
        <v>Vị trí sử dụng trên cơ thể</v>
      </c>
      <c r="F292" s="34" t="s">
        <v>2537</v>
      </c>
    </row>
    <row r="293" spans="1:6" x14ac:dyDescent="0.25">
      <c r="A293" t="s">
        <v>1732</v>
      </c>
      <c r="B293" s="18" t="str">
        <f>INDEX('Product Variant'!$B:$B,MATCH($A293,'Product Variant'!$A:$A,0))</f>
        <v>PRODUCT-00053</v>
      </c>
      <c r="C293" s="18" t="str">
        <f>INDEX(Product!$B:$B,MATCH($B293,Product!$A:$A,0))</f>
        <v>[CODY Health] Đai lưng cố định cột sống</v>
      </c>
      <c r="D293" t="s">
        <v>2471</v>
      </c>
      <c r="E293" s="18" t="str">
        <f>INDEX('Attribute Definition'!$B:$B,MATCH($D293,'Attribute Definition'!$A:$A,0))</f>
        <v>Dạng sản phẩm</v>
      </c>
      <c r="F293" s="34" t="s">
        <v>2536</v>
      </c>
    </row>
    <row r="294" spans="1:6" x14ac:dyDescent="0.25">
      <c r="A294" t="s">
        <v>1732</v>
      </c>
      <c r="B294" s="18" t="str">
        <f>INDEX('Product Variant'!$B:$B,MATCH($A294,'Product Variant'!$A:$A,0))</f>
        <v>PRODUCT-00053</v>
      </c>
      <c r="C294" s="18" t="str">
        <f>INDEX(Product!$B:$B,MATCH($B294,Product!$A:$A,0))</f>
        <v>[CODY Health] Đai lưng cố định cột sống</v>
      </c>
      <c r="D294" t="s">
        <v>2656</v>
      </c>
      <c r="E294" s="18" t="str">
        <f>INDEX('Attribute Definition'!$B:$B,MATCH($D294,'Attribute Definition'!$A:$A,0))</f>
        <v>Kích cỡ</v>
      </c>
      <c r="F294" s="34" t="s">
        <v>1157</v>
      </c>
    </row>
    <row r="295" spans="1:6" x14ac:dyDescent="0.25">
      <c r="A295" t="s">
        <v>1733</v>
      </c>
      <c r="B295" s="18" t="str">
        <f>INDEX('Product Variant'!$B:$B,MATCH($A295,'Product Variant'!$A:$A,0))</f>
        <v>PRODUCT-00053</v>
      </c>
      <c r="C295" s="18" t="str">
        <f>INDEX(Product!$B:$B,MATCH($B295,Product!$A:$A,0))</f>
        <v>[CODY Health] Đai lưng cố định cột sống</v>
      </c>
      <c r="D295" t="s">
        <v>2439</v>
      </c>
      <c r="E295" s="18" t="str">
        <f>INDEX('Attribute Definition'!$B:$B,MATCH($D295,'Attribute Definition'!$A:$A,0))</f>
        <v>Vị trí sử dụng trên cơ thể</v>
      </c>
      <c r="F295" s="34" t="s">
        <v>2537</v>
      </c>
    </row>
    <row r="296" spans="1:6" x14ac:dyDescent="0.25">
      <c r="A296" t="s">
        <v>1733</v>
      </c>
      <c r="B296" s="18" t="str">
        <f>INDEX('Product Variant'!$B:$B,MATCH($A296,'Product Variant'!$A:$A,0))</f>
        <v>PRODUCT-00053</v>
      </c>
      <c r="C296" s="18" t="str">
        <f>INDEX(Product!$B:$B,MATCH($B296,Product!$A:$A,0))</f>
        <v>[CODY Health] Đai lưng cố định cột sống</v>
      </c>
      <c r="D296" t="s">
        <v>2471</v>
      </c>
      <c r="E296" s="18" t="str">
        <f>INDEX('Attribute Definition'!$B:$B,MATCH($D296,'Attribute Definition'!$A:$A,0))</f>
        <v>Dạng sản phẩm</v>
      </c>
      <c r="F296" s="34" t="s">
        <v>2536</v>
      </c>
    </row>
    <row r="297" spans="1:6" x14ac:dyDescent="0.25">
      <c r="A297" t="s">
        <v>1733</v>
      </c>
      <c r="B297" s="18" t="str">
        <f>INDEX('Product Variant'!$B:$B,MATCH($A297,'Product Variant'!$A:$A,0))</f>
        <v>PRODUCT-00053</v>
      </c>
      <c r="C297" s="18" t="str">
        <f>INDEX(Product!$B:$B,MATCH($B297,Product!$A:$A,0))</f>
        <v>[CODY Health] Đai lưng cố định cột sống</v>
      </c>
      <c r="D297" t="s">
        <v>2656</v>
      </c>
      <c r="E297" s="18" t="str">
        <f>INDEX('Attribute Definition'!$B:$B,MATCH($D297,'Attribute Definition'!$A:$A,0))</f>
        <v>Kích cỡ</v>
      </c>
      <c r="F297" s="34" t="s">
        <v>1158</v>
      </c>
    </row>
    <row r="298" spans="1:6" x14ac:dyDescent="0.25">
      <c r="A298" t="s">
        <v>1734</v>
      </c>
      <c r="B298" s="18" t="str">
        <f>INDEX('Product Variant'!$B:$B,MATCH($A298,'Product Variant'!$A:$A,0))</f>
        <v>PRODUCT-00054</v>
      </c>
      <c r="C298" s="18" t="str">
        <f>INDEX(Product!$B:$B,MATCH($B298,Product!$A:$A,0))</f>
        <v>[CODY Health] Vớ đùi y khoa giãn tĩnh mạch có silicone chống trượt</v>
      </c>
      <c r="D298" t="s">
        <v>2367</v>
      </c>
      <c r="E298" s="18" t="str">
        <f>INDEX('Attribute Definition'!$B:$B,MATCH($D298,'Attribute Definition'!$A:$A,0))</f>
        <v>Chất liệu</v>
      </c>
      <c r="F298" s="34" t="s">
        <v>2516</v>
      </c>
    </row>
    <row r="299" spans="1:6" x14ac:dyDescent="0.25">
      <c r="A299" t="s">
        <v>1734</v>
      </c>
      <c r="B299" s="18" t="str">
        <f>INDEX('Product Variant'!$B:$B,MATCH($A299,'Product Variant'!$A:$A,0))</f>
        <v>PRODUCT-00054</v>
      </c>
      <c r="C299" s="18" t="str">
        <f>INDEX(Product!$B:$B,MATCH($B299,Product!$A:$A,0))</f>
        <v>[CODY Health] Vớ đùi y khoa giãn tĩnh mạch có silicone chống trượt</v>
      </c>
      <c r="D299" t="s">
        <v>2439</v>
      </c>
      <c r="E299" s="18" t="str">
        <f>INDEX('Attribute Definition'!$B:$B,MATCH($D299,'Attribute Definition'!$A:$A,0))</f>
        <v>Vị trí sử dụng trên cơ thể</v>
      </c>
      <c r="F299" s="34" t="s">
        <v>2538</v>
      </c>
    </row>
    <row r="300" spans="1:6" x14ac:dyDescent="0.25">
      <c r="A300" t="s">
        <v>1734</v>
      </c>
      <c r="B300" s="18" t="str">
        <f>INDEX('Product Variant'!$B:$B,MATCH($A300,'Product Variant'!$A:$A,0))</f>
        <v>PRODUCT-00054</v>
      </c>
      <c r="C300" s="18" t="str">
        <f>INDEX(Product!$B:$B,MATCH($B300,Product!$A:$A,0))</f>
        <v>[CODY Health] Vớ đùi y khoa giãn tĩnh mạch có silicone chống trượt</v>
      </c>
      <c r="D300" t="s">
        <v>2471</v>
      </c>
      <c r="E300" s="18" t="str">
        <f>INDEX('Attribute Definition'!$B:$B,MATCH($D300,'Attribute Definition'!$A:$A,0))</f>
        <v>Dạng sản phẩm</v>
      </c>
      <c r="F300" s="34" t="s">
        <v>2539</v>
      </c>
    </row>
    <row r="301" spans="1:6" x14ac:dyDescent="0.25">
      <c r="A301" t="s">
        <v>1734</v>
      </c>
      <c r="B301" s="18" t="str">
        <f>INDEX('Product Variant'!$B:$B,MATCH($A301,'Product Variant'!$A:$A,0))</f>
        <v>PRODUCT-00054</v>
      </c>
      <c r="C301" s="18" t="str">
        <f>INDEX(Product!$B:$B,MATCH($B301,Product!$A:$A,0))</f>
        <v>[CODY Health] Vớ đùi y khoa giãn tĩnh mạch có silicone chống trượt</v>
      </c>
      <c r="D301" t="s">
        <v>2656</v>
      </c>
      <c r="E301" s="18" t="str">
        <f>INDEX('Attribute Definition'!$B:$B,MATCH($D301,'Attribute Definition'!$A:$A,0))</f>
        <v>Kích cỡ</v>
      </c>
      <c r="F301" s="34" t="s">
        <v>1155</v>
      </c>
    </row>
    <row r="302" spans="1:6" x14ac:dyDescent="0.25">
      <c r="A302" t="s">
        <v>1735</v>
      </c>
      <c r="B302" s="18" t="str">
        <f>INDEX('Product Variant'!$B:$B,MATCH($A302,'Product Variant'!$A:$A,0))</f>
        <v>PRODUCT-00054</v>
      </c>
      <c r="C302" s="18" t="str">
        <f>INDEX(Product!$B:$B,MATCH($B302,Product!$A:$A,0))</f>
        <v>[CODY Health] Vớ đùi y khoa giãn tĩnh mạch có silicone chống trượt</v>
      </c>
      <c r="D302" t="s">
        <v>2367</v>
      </c>
      <c r="E302" s="18" t="str">
        <f>INDEX('Attribute Definition'!$B:$B,MATCH($D302,'Attribute Definition'!$A:$A,0))</f>
        <v>Chất liệu</v>
      </c>
      <c r="F302" s="34" t="s">
        <v>2516</v>
      </c>
    </row>
    <row r="303" spans="1:6" x14ac:dyDescent="0.25">
      <c r="A303" t="s">
        <v>1735</v>
      </c>
      <c r="B303" s="18" t="str">
        <f>INDEX('Product Variant'!$B:$B,MATCH($A303,'Product Variant'!$A:$A,0))</f>
        <v>PRODUCT-00054</v>
      </c>
      <c r="C303" s="18" t="str">
        <f>INDEX(Product!$B:$B,MATCH($B303,Product!$A:$A,0))</f>
        <v>[CODY Health] Vớ đùi y khoa giãn tĩnh mạch có silicone chống trượt</v>
      </c>
      <c r="D303" t="s">
        <v>2439</v>
      </c>
      <c r="E303" s="18" t="str">
        <f>INDEX('Attribute Definition'!$B:$B,MATCH($D303,'Attribute Definition'!$A:$A,0))</f>
        <v>Vị trí sử dụng trên cơ thể</v>
      </c>
      <c r="F303" s="34" t="s">
        <v>2538</v>
      </c>
    </row>
    <row r="304" spans="1:6" x14ac:dyDescent="0.25">
      <c r="A304" t="s">
        <v>1735</v>
      </c>
      <c r="B304" s="18" t="str">
        <f>INDEX('Product Variant'!$B:$B,MATCH($A304,'Product Variant'!$A:$A,0))</f>
        <v>PRODUCT-00054</v>
      </c>
      <c r="C304" s="18" t="str">
        <f>INDEX(Product!$B:$B,MATCH($B304,Product!$A:$A,0))</f>
        <v>[CODY Health] Vớ đùi y khoa giãn tĩnh mạch có silicone chống trượt</v>
      </c>
      <c r="D304" t="s">
        <v>2471</v>
      </c>
      <c r="E304" s="18" t="str">
        <f>INDEX('Attribute Definition'!$B:$B,MATCH($D304,'Attribute Definition'!$A:$A,0))</f>
        <v>Dạng sản phẩm</v>
      </c>
      <c r="F304" s="34" t="s">
        <v>2539</v>
      </c>
    </row>
    <row r="305" spans="1:6" x14ac:dyDescent="0.25">
      <c r="A305" t="s">
        <v>1735</v>
      </c>
      <c r="B305" s="18" t="str">
        <f>INDEX('Product Variant'!$B:$B,MATCH($A305,'Product Variant'!$A:$A,0))</f>
        <v>PRODUCT-00054</v>
      </c>
      <c r="C305" s="18" t="str">
        <f>INDEX(Product!$B:$B,MATCH($B305,Product!$A:$A,0))</f>
        <v>[CODY Health] Vớ đùi y khoa giãn tĩnh mạch có silicone chống trượt</v>
      </c>
      <c r="D305" t="s">
        <v>2656</v>
      </c>
      <c r="E305" s="18" t="str">
        <f>INDEX('Attribute Definition'!$B:$B,MATCH($D305,'Attribute Definition'!$A:$A,0))</f>
        <v>Kích cỡ</v>
      </c>
      <c r="F305" s="34" t="s">
        <v>1156</v>
      </c>
    </row>
    <row r="306" spans="1:6" x14ac:dyDescent="0.25">
      <c r="A306" t="s">
        <v>1736</v>
      </c>
      <c r="B306" s="18" t="str">
        <f>INDEX('Product Variant'!$B:$B,MATCH($A306,'Product Variant'!$A:$A,0))</f>
        <v>PRODUCT-00054</v>
      </c>
      <c r="C306" s="18" t="str">
        <f>INDEX(Product!$B:$B,MATCH($B306,Product!$A:$A,0))</f>
        <v>[CODY Health] Vớ đùi y khoa giãn tĩnh mạch có silicone chống trượt</v>
      </c>
      <c r="D306" t="s">
        <v>2367</v>
      </c>
      <c r="E306" s="18" t="str">
        <f>INDEX('Attribute Definition'!$B:$B,MATCH($D306,'Attribute Definition'!$A:$A,0))</f>
        <v>Chất liệu</v>
      </c>
      <c r="F306" s="34" t="s">
        <v>2516</v>
      </c>
    </row>
    <row r="307" spans="1:6" x14ac:dyDescent="0.25">
      <c r="A307" t="s">
        <v>1736</v>
      </c>
      <c r="B307" s="18" t="str">
        <f>INDEX('Product Variant'!$B:$B,MATCH($A307,'Product Variant'!$A:$A,0))</f>
        <v>PRODUCT-00054</v>
      </c>
      <c r="C307" s="18" t="str">
        <f>INDEX(Product!$B:$B,MATCH($B307,Product!$A:$A,0))</f>
        <v>[CODY Health] Vớ đùi y khoa giãn tĩnh mạch có silicone chống trượt</v>
      </c>
      <c r="D307" t="s">
        <v>2439</v>
      </c>
      <c r="E307" s="18" t="str">
        <f>INDEX('Attribute Definition'!$B:$B,MATCH($D307,'Attribute Definition'!$A:$A,0))</f>
        <v>Vị trí sử dụng trên cơ thể</v>
      </c>
      <c r="F307" s="34" t="s">
        <v>2538</v>
      </c>
    </row>
    <row r="308" spans="1:6" x14ac:dyDescent="0.25">
      <c r="A308" t="s">
        <v>1736</v>
      </c>
      <c r="B308" s="18" t="str">
        <f>INDEX('Product Variant'!$B:$B,MATCH($A308,'Product Variant'!$A:$A,0))</f>
        <v>PRODUCT-00054</v>
      </c>
      <c r="C308" s="18" t="str">
        <f>INDEX(Product!$B:$B,MATCH($B308,Product!$A:$A,0))</f>
        <v>[CODY Health] Vớ đùi y khoa giãn tĩnh mạch có silicone chống trượt</v>
      </c>
      <c r="D308" t="s">
        <v>2471</v>
      </c>
      <c r="E308" s="18" t="str">
        <f>INDEX('Attribute Definition'!$B:$B,MATCH($D308,'Attribute Definition'!$A:$A,0))</f>
        <v>Dạng sản phẩm</v>
      </c>
      <c r="F308" s="34" t="s">
        <v>2539</v>
      </c>
    </row>
    <row r="309" spans="1:6" x14ac:dyDescent="0.25">
      <c r="A309" t="s">
        <v>1736</v>
      </c>
      <c r="B309" s="18" t="str">
        <f>INDEX('Product Variant'!$B:$B,MATCH($A309,'Product Variant'!$A:$A,0))</f>
        <v>PRODUCT-00054</v>
      </c>
      <c r="C309" s="18" t="str">
        <f>INDEX(Product!$B:$B,MATCH($B309,Product!$A:$A,0))</f>
        <v>[CODY Health] Vớ đùi y khoa giãn tĩnh mạch có silicone chống trượt</v>
      </c>
      <c r="D309" t="s">
        <v>2656</v>
      </c>
      <c r="E309" s="18" t="str">
        <f>INDEX('Attribute Definition'!$B:$B,MATCH($D309,'Attribute Definition'!$A:$A,0))</f>
        <v>Kích cỡ</v>
      </c>
      <c r="F309" s="34" t="s">
        <v>1157</v>
      </c>
    </row>
    <row r="310" spans="1:6" x14ac:dyDescent="0.25">
      <c r="A310" t="s">
        <v>1737</v>
      </c>
      <c r="B310" s="18" t="str">
        <f>INDEX('Product Variant'!$B:$B,MATCH($A310,'Product Variant'!$A:$A,0))</f>
        <v>PRODUCT-00055</v>
      </c>
      <c r="C310" s="18" t="str">
        <f>INDEX(Product!$B:$B,MATCH($B310,Product!$A:$A,0))</f>
        <v>[CODY Health] Vớ gối y khoa giãn tĩnh mạch</v>
      </c>
      <c r="D310" t="s">
        <v>2439</v>
      </c>
      <c r="E310" s="18" t="str">
        <f>INDEX('Attribute Definition'!$B:$B,MATCH($D310,'Attribute Definition'!$A:$A,0))</f>
        <v>Vị trí sử dụng trên cơ thể</v>
      </c>
      <c r="F310" s="34" t="s">
        <v>2540</v>
      </c>
    </row>
    <row r="311" spans="1:6" x14ac:dyDescent="0.25">
      <c r="A311" t="s">
        <v>1737</v>
      </c>
      <c r="B311" s="18" t="str">
        <f>INDEX('Product Variant'!$B:$B,MATCH($A311,'Product Variant'!$A:$A,0))</f>
        <v>PRODUCT-00055</v>
      </c>
      <c r="C311" s="18" t="str">
        <f>INDEX(Product!$B:$B,MATCH($B311,Product!$A:$A,0))</f>
        <v>[CODY Health] Vớ gối y khoa giãn tĩnh mạch</v>
      </c>
      <c r="D311" t="s">
        <v>2471</v>
      </c>
      <c r="E311" s="18" t="str">
        <f>INDEX('Attribute Definition'!$B:$B,MATCH($D311,'Attribute Definition'!$A:$A,0))</f>
        <v>Dạng sản phẩm</v>
      </c>
      <c r="F311" s="34" t="s">
        <v>2539</v>
      </c>
    </row>
    <row r="312" spans="1:6" x14ac:dyDescent="0.25">
      <c r="A312" t="s">
        <v>1737</v>
      </c>
      <c r="B312" s="18" t="str">
        <f>INDEX('Product Variant'!$B:$B,MATCH($A312,'Product Variant'!$A:$A,0))</f>
        <v>PRODUCT-00055</v>
      </c>
      <c r="C312" s="18" t="str">
        <f>INDEX(Product!$B:$B,MATCH($B312,Product!$A:$A,0))</f>
        <v>[CODY Health] Vớ gối y khoa giãn tĩnh mạch</v>
      </c>
      <c r="D312" t="s">
        <v>2656</v>
      </c>
      <c r="E312" s="18" t="str">
        <f>INDEX('Attribute Definition'!$B:$B,MATCH($D312,'Attribute Definition'!$A:$A,0))</f>
        <v>Kích cỡ</v>
      </c>
      <c r="F312" s="34" t="s">
        <v>1155</v>
      </c>
    </row>
    <row r="313" spans="1:6" x14ac:dyDescent="0.25">
      <c r="A313" t="s">
        <v>1738</v>
      </c>
      <c r="B313" s="18" t="str">
        <f>INDEX('Product Variant'!$B:$B,MATCH($A313,'Product Variant'!$A:$A,0))</f>
        <v>PRODUCT-00055</v>
      </c>
      <c r="C313" s="18" t="str">
        <f>INDEX(Product!$B:$B,MATCH($B313,Product!$A:$A,0))</f>
        <v>[CODY Health] Vớ gối y khoa giãn tĩnh mạch</v>
      </c>
      <c r="D313" t="s">
        <v>2439</v>
      </c>
      <c r="E313" s="18" t="str">
        <f>INDEX('Attribute Definition'!$B:$B,MATCH($D313,'Attribute Definition'!$A:$A,0))</f>
        <v>Vị trí sử dụng trên cơ thể</v>
      </c>
      <c r="F313" s="34" t="s">
        <v>2540</v>
      </c>
    </row>
    <row r="314" spans="1:6" x14ac:dyDescent="0.25">
      <c r="A314" t="s">
        <v>1738</v>
      </c>
      <c r="B314" s="18" t="str">
        <f>INDEX('Product Variant'!$B:$B,MATCH($A314,'Product Variant'!$A:$A,0))</f>
        <v>PRODUCT-00055</v>
      </c>
      <c r="C314" s="18" t="str">
        <f>INDEX(Product!$B:$B,MATCH($B314,Product!$A:$A,0))</f>
        <v>[CODY Health] Vớ gối y khoa giãn tĩnh mạch</v>
      </c>
      <c r="D314" t="s">
        <v>2471</v>
      </c>
      <c r="E314" s="18" t="str">
        <f>INDEX('Attribute Definition'!$B:$B,MATCH($D314,'Attribute Definition'!$A:$A,0))</f>
        <v>Dạng sản phẩm</v>
      </c>
      <c r="F314" s="34" t="s">
        <v>2539</v>
      </c>
    </row>
    <row r="315" spans="1:6" x14ac:dyDescent="0.25">
      <c r="A315" t="s">
        <v>1738</v>
      </c>
      <c r="B315" s="18" t="str">
        <f>INDEX('Product Variant'!$B:$B,MATCH($A315,'Product Variant'!$A:$A,0))</f>
        <v>PRODUCT-00055</v>
      </c>
      <c r="C315" s="18" t="str">
        <f>INDEX(Product!$B:$B,MATCH($B315,Product!$A:$A,0))</f>
        <v>[CODY Health] Vớ gối y khoa giãn tĩnh mạch</v>
      </c>
      <c r="D315" t="s">
        <v>2656</v>
      </c>
      <c r="E315" s="18" t="str">
        <f>INDEX('Attribute Definition'!$B:$B,MATCH($D315,'Attribute Definition'!$A:$A,0))</f>
        <v>Kích cỡ</v>
      </c>
      <c r="F315" s="34" t="s">
        <v>1156</v>
      </c>
    </row>
    <row r="316" spans="1:6" x14ac:dyDescent="0.25">
      <c r="A316" t="s">
        <v>1739</v>
      </c>
      <c r="B316" s="18" t="str">
        <f>INDEX('Product Variant'!$B:$B,MATCH($A316,'Product Variant'!$A:$A,0))</f>
        <v>PRODUCT-00055</v>
      </c>
      <c r="C316" s="18" t="str">
        <f>INDEX(Product!$B:$B,MATCH($B316,Product!$A:$A,0))</f>
        <v>[CODY Health] Vớ gối y khoa giãn tĩnh mạch</v>
      </c>
      <c r="D316" t="s">
        <v>2439</v>
      </c>
      <c r="E316" s="18" t="str">
        <f>INDEX('Attribute Definition'!$B:$B,MATCH($D316,'Attribute Definition'!$A:$A,0))</f>
        <v>Vị trí sử dụng trên cơ thể</v>
      </c>
      <c r="F316" s="34" t="s">
        <v>2540</v>
      </c>
    </row>
    <row r="317" spans="1:6" x14ac:dyDescent="0.25">
      <c r="A317" t="s">
        <v>1739</v>
      </c>
      <c r="B317" s="18" t="str">
        <f>INDEX('Product Variant'!$B:$B,MATCH($A317,'Product Variant'!$A:$A,0))</f>
        <v>PRODUCT-00055</v>
      </c>
      <c r="C317" s="18" t="str">
        <f>INDEX(Product!$B:$B,MATCH($B317,Product!$A:$A,0))</f>
        <v>[CODY Health] Vớ gối y khoa giãn tĩnh mạch</v>
      </c>
      <c r="D317" t="s">
        <v>2471</v>
      </c>
      <c r="E317" s="18" t="str">
        <f>INDEX('Attribute Definition'!$B:$B,MATCH($D317,'Attribute Definition'!$A:$A,0))</f>
        <v>Dạng sản phẩm</v>
      </c>
      <c r="F317" s="34" t="s">
        <v>2539</v>
      </c>
    </row>
    <row r="318" spans="1:6" x14ac:dyDescent="0.25">
      <c r="A318" t="s">
        <v>1739</v>
      </c>
      <c r="B318" s="18" t="str">
        <f>INDEX('Product Variant'!$B:$B,MATCH($A318,'Product Variant'!$A:$A,0))</f>
        <v>PRODUCT-00055</v>
      </c>
      <c r="C318" s="18" t="str">
        <f>INDEX(Product!$B:$B,MATCH($B318,Product!$A:$A,0))</f>
        <v>[CODY Health] Vớ gối y khoa giãn tĩnh mạch</v>
      </c>
      <c r="D318" t="s">
        <v>2656</v>
      </c>
      <c r="E318" s="18" t="str">
        <f>INDEX('Attribute Definition'!$B:$B,MATCH($D318,'Attribute Definition'!$A:$A,0))</f>
        <v>Kích cỡ</v>
      </c>
      <c r="F318" s="34" t="s">
        <v>1157</v>
      </c>
    </row>
    <row r="319" spans="1:6" x14ac:dyDescent="0.25">
      <c r="A319" t="s">
        <v>1740</v>
      </c>
      <c r="B319" s="18" t="str">
        <f>INDEX('Product Variant'!$B:$B,MATCH($A319,'Product Variant'!$A:$A,0))</f>
        <v>PRODUCT-00056</v>
      </c>
      <c r="C319" s="18" t="str">
        <f>INDEX(Product!$B:$B,MATCH($B319,Product!$A:$A,0))</f>
        <v>[CODY Health] Vớ y khoa giãn tĩnh mạch (Vớ gối)</v>
      </c>
      <c r="D319" t="s">
        <v>2439</v>
      </c>
      <c r="E319" s="18" t="str">
        <f>INDEX('Attribute Definition'!$B:$B,MATCH($D319,'Attribute Definition'!$A:$A,0))</f>
        <v>Vị trí sử dụng trên cơ thể</v>
      </c>
      <c r="F319" s="34" t="s">
        <v>2540</v>
      </c>
    </row>
    <row r="320" spans="1:6" x14ac:dyDescent="0.25">
      <c r="A320" t="s">
        <v>1740</v>
      </c>
      <c r="B320" s="18" t="str">
        <f>INDEX('Product Variant'!$B:$B,MATCH($A320,'Product Variant'!$A:$A,0))</f>
        <v>PRODUCT-00056</v>
      </c>
      <c r="C320" s="18" t="str">
        <f>INDEX(Product!$B:$B,MATCH($B320,Product!$A:$A,0))</f>
        <v>[CODY Health] Vớ y khoa giãn tĩnh mạch (Vớ gối)</v>
      </c>
      <c r="D320" t="s">
        <v>2471</v>
      </c>
      <c r="E320" s="18" t="str">
        <f>INDEX('Attribute Definition'!$B:$B,MATCH($D320,'Attribute Definition'!$A:$A,0))</f>
        <v>Dạng sản phẩm</v>
      </c>
      <c r="F320" s="34" t="s">
        <v>2539</v>
      </c>
    </row>
    <row r="321" spans="1:6" x14ac:dyDescent="0.25">
      <c r="A321" t="s">
        <v>1740</v>
      </c>
      <c r="B321" s="18" t="str">
        <f>INDEX('Product Variant'!$B:$B,MATCH($A321,'Product Variant'!$A:$A,0))</f>
        <v>PRODUCT-00056</v>
      </c>
      <c r="C321" s="18" t="str">
        <f>INDEX(Product!$B:$B,MATCH($B321,Product!$A:$A,0))</f>
        <v>[CODY Health] Vớ y khoa giãn tĩnh mạch (Vớ gối)</v>
      </c>
      <c r="D321" t="s">
        <v>2656</v>
      </c>
      <c r="E321" s="18" t="str">
        <f>INDEX('Attribute Definition'!$B:$B,MATCH($D321,'Attribute Definition'!$A:$A,0))</f>
        <v>Kích cỡ</v>
      </c>
      <c r="F321" s="34" t="s">
        <v>1155</v>
      </c>
    </row>
    <row r="322" spans="1:6" x14ac:dyDescent="0.25">
      <c r="A322" t="s">
        <v>1741</v>
      </c>
      <c r="B322" s="18" t="str">
        <f>INDEX('Product Variant'!$B:$B,MATCH($A322,'Product Variant'!$A:$A,0))</f>
        <v>PRODUCT-00056</v>
      </c>
      <c r="C322" s="18" t="str">
        <f>INDEX(Product!$B:$B,MATCH($B322,Product!$A:$A,0))</f>
        <v>[CODY Health] Vớ y khoa giãn tĩnh mạch (Vớ gối)</v>
      </c>
      <c r="D322" t="s">
        <v>2439</v>
      </c>
      <c r="E322" s="18" t="str">
        <f>INDEX('Attribute Definition'!$B:$B,MATCH($D322,'Attribute Definition'!$A:$A,0))</f>
        <v>Vị trí sử dụng trên cơ thể</v>
      </c>
      <c r="F322" s="34" t="s">
        <v>2540</v>
      </c>
    </row>
    <row r="323" spans="1:6" x14ac:dyDescent="0.25">
      <c r="A323" t="s">
        <v>1741</v>
      </c>
      <c r="B323" s="18" t="str">
        <f>INDEX('Product Variant'!$B:$B,MATCH($A323,'Product Variant'!$A:$A,0))</f>
        <v>PRODUCT-00056</v>
      </c>
      <c r="C323" s="18" t="str">
        <f>INDEX(Product!$B:$B,MATCH($B323,Product!$A:$A,0))</f>
        <v>[CODY Health] Vớ y khoa giãn tĩnh mạch (Vớ gối)</v>
      </c>
      <c r="D323" t="s">
        <v>2471</v>
      </c>
      <c r="E323" s="18" t="str">
        <f>INDEX('Attribute Definition'!$B:$B,MATCH($D323,'Attribute Definition'!$A:$A,0))</f>
        <v>Dạng sản phẩm</v>
      </c>
      <c r="F323" s="34" t="s">
        <v>2539</v>
      </c>
    </row>
    <row r="324" spans="1:6" x14ac:dyDescent="0.25">
      <c r="A324" t="s">
        <v>1741</v>
      </c>
      <c r="B324" s="18" t="str">
        <f>INDEX('Product Variant'!$B:$B,MATCH($A324,'Product Variant'!$A:$A,0))</f>
        <v>PRODUCT-00056</v>
      </c>
      <c r="C324" s="18" t="str">
        <f>INDEX(Product!$B:$B,MATCH($B324,Product!$A:$A,0))</f>
        <v>[CODY Health] Vớ y khoa giãn tĩnh mạch (Vớ gối)</v>
      </c>
      <c r="D324" t="s">
        <v>2656</v>
      </c>
      <c r="E324" s="18" t="str">
        <f>INDEX('Attribute Definition'!$B:$B,MATCH($D324,'Attribute Definition'!$A:$A,0))</f>
        <v>Kích cỡ</v>
      </c>
      <c r="F324" s="34" t="s">
        <v>1156</v>
      </c>
    </row>
    <row r="325" spans="1:6" x14ac:dyDescent="0.25">
      <c r="A325" t="s">
        <v>1742</v>
      </c>
      <c r="B325" s="18" t="str">
        <f>INDEX('Product Variant'!$B:$B,MATCH($A325,'Product Variant'!$A:$A,0))</f>
        <v>PRODUCT-00056</v>
      </c>
      <c r="C325" s="18" t="str">
        <f>INDEX(Product!$B:$B,MATCH($B325,Product!$A:$A,0))</f>
        <v>[CODY Health] Vớ y khoa giãn tĩnh mạch (Vớ gối)</v>
      </c>
      <c r="D325" t="s">
        <v>2439</v>
      </c>
      <c r="E325" s="18" t="str">
        <f>INDEX('Attribute Definition'!$B:$B,MATCH($D325,'Attribute Definition'!$A:$A,0))</f>
        <v>Vị trí sử dụng trên cơ thể</v>
      </c>
      <c r="F325" s="34" t="s">
        <v>2540</v>
      </c>
    </row>
    <row r="326" spans="1:6" x14ac:dyDescent="0.25">
      <c r="A326" t="s">
        <v>1742</v>
      </c>
      <c r="B326" s="18" t="str">
        <f>INDEX('Product Variant'!$B:$B,MATCH($A326,'Product Variant'!$A:$A,0))</f>
        <v>PRODUCT-00056</v>
      </c>
      <c r="C326" s="18" t="str">
        <f>INDEX(Product!$B:$B,MATCH($B326,Product!$A:$A,0))</f>
        <v>[CODY Health] Vớ y khoa giãn tĩnh mạch (Vớ gối)</v>
      </c>
      <c r="D326" t="s">
        <v>2471</v>
      </c>
      <c r="E326" s="18" t="str">
        <f>INDEX('Attribute Definition'!$B:$B,MATCH($D326,'Attribute Definition'!$A:$A,0))</f>
        <v>Dạng sản phẩm</v>
      </c>
      <c r="F326" s="34" t="s">
        <v>2539</v>
      </c>
    </row>
    <row r="327" spans="1:6" x14ac:dyDescent="0.25">
      <c r="A327" t="s">
        <v>1742</v>
      </c>
      <c r="B327" s="18" t="str">
        <f>INDEX('Product Variant'!$B:$B,MATCH($A327,'Product Variant'!$A:$A,0))</f>
        <v>PRODUCT-00056</v>
      </c>
      <c r="C327" s="18" t="str">
        <f>INDEX(Product!$B:$B,MATCH($B327,Product!$A:$A,0))</f>
        <v>[CODY Health] Vớ y khoa giãn tĩnh mạch (Vớ gối)</v>
      </c>
      <c r="D327" t="s">
        <v>2656</v>
      </c>
      <c r="E327" s="18" t="str">
        <f>INDEX('Attribute Definition'!$B:$B,MATCH($D327,'Attribute Definition'!$A:$A,0))</f>
        <v>Kích cỡ</v>
      </c>
      <c r="F327" s="34" t="s">
        <v>1157</v>
      </c>
    </row>
    <row r="328" spans="1:6" x14ac:dyDescent="0.25">
      <c r="A328" t="s">
        <v>1743</v>
      </c>
      <c r="B328" s="18" t="str">
        <f>INDEX('Product Variant'!$B:$B,MATCH($A328,'Product Variant'!$A:$A,0))</f>
        <v>PRODUCT-00296</v>
      </c>
      <c r="C328" s="18" t="str">
        <f>INDEX(Product!$B:$B,MATCH($B328,Product!$A:$A,0))</f>
        <v>[CODY Health] Vớ y khoa giãn tĩnh mạch (Vớ đùi)</v>
      </c>
      <c r="D328" t="s">
        <v>2439</v>
      </c>
      <c r="E328" s="18" t="str">
        <f>INDEX('Attribute Definition'!$B:$B,MATCH($D328,'Attribute Definition'!$A:$A,0))</f>
        <v>Vị trí sử dụng trên cơ thể</v>
      </c>
      <c r="F328" s="34" t="s">
        <v>2538</v>
      </c>
    </row>
    <row r="329" spans="1:6" x14ac:dyDescent="0.25">
      <c r="A329" t="s">
        <v>1743</v>
      </c>
      <c r="B329" s="18" t="str">
        <f>INDEX('Product Variant'!$B:$B,MATCH($A329,'Product Variant'!$A:$A,0))</f>
        <v>PRODUCT-00296</v>
      </c>
      <c r="C329" s="18" t="str">
        <f>INDEX(Product!$B:$B,MATCH($B329,Product!$A:$A,0))</f>
        <v>[CODY Health] Vớ y khoa giãn tĩnh mạch (Vớ đùi)</v>
      </c>
      <c r="D329" t="s">
        <v>2471</v>
      </c>
      <c r="E329" s="18" t="str">
        <f>INDEX('Attribute Definition'!$B:$B,MATCH($D329,'Attribute Definition'!$A:$A,0))</f>
        <v>Dạng sản phẩm</v>
      </c>
      <c r="F329" s="34" t="s">
        <v>2539</v>
      </c>
    </row>
    <row r="330" spans="1:6" x14ac:dyDescent="0.25">
      <c r="A330" t="s">
        <v>1743</v>
      </c>
      <c r="B330" s="18" t="str">
        <f>INDEX('Product Variant'!$B:$B,MATCH($A330,'Product Variant'!$A:$A,0))</f>
        <v>PRODUCT-00296</v>
      </c>
      <c r="C330" s="18" t="str">
        <f>INDEX(Product!$B:$B,MATCH($B330,Product!$A:$A,0))</f>
        <v>[CODY Health] Vớ y khoa giãn tĩnh mạch (Vớ đùi)</v>
      </c>
      <c r="D330" t="s">
        <v>2656</v>
      </c>
      <c r="E330" s="18" t="str">
        <f>INDEX('Attribute Definition'!$B:$B,MATCH($D330,'Attribute Definition'!$A:$A,0))</f>
        <v>Kích cỡ</v>
      </c>
      <c r="F330" s="34" t="s">
        <v>1155</v>
      </c>
    </row>
    <row r="331" spans="1:6" x14ac:dyDescent="0.25">
      <c r="A331" t="s">
        <v>1744</v>
      </c>
      <c r="B331" s="18" t="str">
        <f>INDEX('Product Variant'!$B:$B,MATCH($A331,'Product Variant'!$A:$A,0))</f>
        <v>PRODUCT-00296</v>
      </c>
      <c r="C331" s="18" t="str">
        <f>INDEX(Product!$B:$B,MATCH($B331,Product!$A:$A,0))</f>
        <v>[CODY Health] Vớ y khoa giãn tĩnh mạch (Vớ đùi)</v>
      </c>
      <c r="D331" t="s">
        <v>2439</v>
      </c>
      <c r="E331" s="18" t="str">
        <f>INDEX('Attribute Definition'!$B:$B,MATCH($D331,'Attribute Definition'!$A:$A,0))</f>
        <v>Vị trí sử dụng trên cơ thể</v>
      </c>
      <c r="F331" s="34" t="s">
        <v>2538</v>
      </c>
    </row>
    <row r="332" spans="1:6" x14ac:dyDescent="0.25">
      <c r="A332" t="s">
        <v>1744</v>
      </c>
      <c r="B332" s="18" t="str">
        <f>INDEX('Product Variant'!$B:$B,MATCH($A332,'Product Variant'!$A:$A,0))</f>
        <v>PRODUCT-00296</v>
      </c>
      <c r="C332" s="18" t="str">
        <f>INDEX(Product!$B:$B,MATCH($B332,Product!$A:$A,0))</f>
        <v>[CODY Health] Vớ y khoa giãn tĩnh mạch (Vớ đùi)</v>
      </c>
      <c r="D332" t="s">
        <v>2471</v>
      </c>
      <c r="E332" s="18" t="str">
        <f>INDEX('Attribute Definition'!$B:$B,MATCH($D332,'Attribute Definition'!$A:$A,0))</f>
        <v>Dạng sản phẩm</v>
      </c>
      <c r="F332" s="34" t="s">
        <v>2539</v>
      </c>
    </row>
    <row r="333" spans="1:6" x14ac:dyDescent="0.25">
      <c r="A333" t="s">
        <v>1744</v>
      </c>
      <c r="B333" s="18" t="str">
        <f>INDEX('Product Variant'!$B:$B,MATCH($A333,'Product Variant'!$A:$A,0))</f>
        <v>PRODUCT-00296</v>
      </c>
      <c r="C333" s="18" t="str">
        <f>INDEX(Product!$B:$B,MATCH($B333,Product!$A:$A,0))</f>
        <v>[CODY Health] Vớ y khoa giãn tĩnh mạch (Vớ đùi)</v>
      </c>
      <c r="D333" t="s">
        <v>2656</v>
      </c>
      <c r="E333" s="18" t="str">
        <f>INDEX('Attribute Definition'!$B:$B,MATCH($D333,'Attribute Definition'!$A:$A,0))</f>
        <v>Kích cỡ</v>
      </c>
      <c r="F333" s="34" t="s">
        <v>1156</v>
      </c>
    </row>
    <row r="334" spans="1:6" x14ac:dyDescent="0.25">
      <c r="A334" t="s">
        <v>1745</v>
      </c>
      <c r="B334" s="18" t="str">
        <f>INDEX('Product Variant'!$B:$B,MATCH($A334,'Product Variant'!$A:$A,0))</f>
        <v>PRODUCT-00296</v>
      </c>
      <c r="C334" s="18" t="str">
        <f>INDEX(Product!$B:$B,MATCH($B334,Product!$A:$A,0))</f>
        <v>[CODY Health] Vớ y khoa giãn tĩnh mạch (Vớ đùi)</v>
      </c>
      <c r="D334" t="s">
        <v>2439</v>
      </c>
      <c r="E334" s="18" t="str">
        <f>INDEX('Attribute Definition'!$B:$B,MATCH($D334,'Attribute Definition'!$A:$A,0))</f>
        <v>Vị trí sử dụng trên cơ thể</v>
      </c>
      <c r="F334" s="34" t="s">
        <v>2538</v>
      </c>
    </row>
    <row r="335" spans="1:6" x14ac:dyDescent="0.25">
      <c r="A335" t="s">
        <v>1745</v>
      </c>
      <c r="B335" s="18" t="str">
        <f>INDEX('Product Variant'!$B:$B,MATCH($A335,'Product Variant'!$A:$A,0))</f>
        <v>PRODUCT-00296</v>
      </c>
      <c r="C335" s="18" t="str">
        <f>INDEX(Product!$B:$B,MATCH($B335,Product!$A:$A,0))</f>
        <v>[CODY Health] Vớ y khoa giãn tĩnh mạch (Vớ đùi)</v>
      </c>
      <c r="D335" t="s">
        <v>2471</v>
      </c>
      <c r="E335" s="18" t="str">
        <f>INDEX('Attribute Definition'!$B:$B,MATCH($D335,'Attribute Definition'!$A:$A,0))</f>
        <v>Dạng sản phẩm</v>
      </c>
      <c r="F335" s="34" t="s">
        <v>2539</v>
      </c>
    </row>
    <row r="336" spans="1:6" x14ac:dyDescent="0.25">
      <c r="A336" t="s">
        <v>1745</v>
      </c>
      <c r="B336" s="18" t="str">
        <f>INDEX('Product Variant'!$B:$B,MATCH($A336,'Product Variant'!$A:$A,0))</f>
        <v>PRODUCT-00296</v>
      </c>
      <c r="C336" s="18" t="str">
        <f>INDEX(Product!$B:$B,MATCH($B336,Product!$A:$A,0))</f>
        <v>[CODY Health] Vớ y khoa giãn tĩnh mạch (Vớ đùi)</v>
      </c>
      <c r="D336" t="s">
        <v>2656</v>
      </c>
      <c r="E336" s="18" t="str">
        <f>INDEX('Attribute Definition'!$B:$B,MATCH($D336,'Attribute Definition'!$A:$A,0))</f>
        <v>Kích cỡ</v>
      </c>
      <c r="F336" s="34" t="s">
        <v>1157</v>
      </c>
    </row>
    <row r="337" spans="1:6" x14ac:dyDescent="0.25">
      <c r="A337" t="s">
        <v>1746</v>
      </c>
      <c r="B337" s="18" t="str">
        <f>INDEX('Product Variant'!$B:$B,MATCH($A337,'Product Variant'!$A:$A,0))</f>
        <v>PRODUCT-00057</v>
      </c>
      <c r="C337" s="18" t="str">
        <f>INDEX(Product!$B:$B,MATCH($B337,Product!$A:$A,0))</f>
        <v>[Hapaku] Đai chườm thảo dược bàn chân làm nóng bằng điện</v>
      </c>
      <c r="D337" t="s">
        <v>2367</v>
      </c>
      <c r="E337" s="18" t="str">
        <f>INDEX('Attribute Definition'!$B:$B,MATCH($D337,'Attribute Definition'!$A:$A,0))</f>
        <v>Chất liệu</v>
      </c>
      <c r="F337" s="34" t="s">
        <v>2488</v>
      </c>
    </row>
    <row r="338" spans="1:6" x14ac:dyDescent="0.25">
      <c r="A338" t="s">
        <v>1746</v>
      </c>
      <c r="B338" s="18" t="str">
        <f>INDEX('Product Variant'!$B:$B,MATCH($A338,'Product Variant'!$A:$A,0))</f>
        <v>PRODUCT-00057</v>
      </c>
      <c r="C338" s="18" t="str">
        <f>INDEX(Product!$B:$B,MATCH($B338,Product!$A:$A,0))</f>
        <v>[Hapaku] Đai chườm thảo dược bàn chân làm nóng bằng điện</v>
      </c>
      <c r="D338" t="s">
        <v>2434</v>
      </c>
      <c r="E338" s="18" t="str">
        <f>INDEX('Attribute Definition'!$B:$B,MATCH($D338,'Attribute Definition'!$A:$A,0))</f>
        <v>Nguồn điện</v>
      </c>
      <c r="F338" s="34" t="s">
        <v>2541</v>
      </c>
    </row>
    <row r="339" spans="1:6" x14ac:dyDescent="0.25">
      <c r="A339" t="s">
        <v>1746</v>
      </c>
      <c r="B339" s="18" t="str">
        <f>INDEX('Product Variant'!$B:$B,MATCH($A339,'Product Variant'!$A:$A,0))</f>
        <v>PRODUCT-00057</v>
      </c>
      <c r="C339" s="18" t="str">
        <f>INDEX(Product!$B:$B,MATCH($B339,Product!$A:$A,0))</f>
        <v>[Hapaku] Đai chườm thảo dược bàn chân làm nóng bằng điện</v>
      </c>
      <c r="D339" t="s">
        <v>2439</v>
      </c>
      <c r="E339" s="18" t="str">
        <f>INDEX('Attribute Definition'!$B:$B,MATCH($D339,'Attribute Definition'!$A:$A,0))</f>
        <v>Vị trí sử dụng trên cơ thể</v>
      </c>
      <c r="F339" s="34" t="s">
        <v>2542</v>
      </c>
    </row>
    <row r="340" spans="1:6" x14ac:dyDescent="0.25">
      <c r="A340" t="s">
        <v>1746</v>
      </c>
      <c r="B340" s="18" t="str">
        <f>INDEX('Product Variant'!$B:$B,MATCH($A340,'Product Variant'!$A:$A,0))</f>
        <v>PRODUCT-00057</v>
      </c>
      <c r="C340" s="18" t="str">
        <f>INDEX(Product!$B:$B,MATCH($B340,Product!$A:$A,0))</f>
        <v>[Hapaku] Đai chườm thảo dược bàn chân làm nóng bằng điện</v>
      </c>
      <c r="D340" t="s">
        <v>2471</v>
      </c>
      <c r="E340" s="18" t="str">
        <f>INDEX('Attribute Definition'!$B:$B,MATCH($D340,'Attribute Definition'!$A:$A,0))</f>
        <v>Dạng sản phẩm</v>
      </c>
      <c r="F340" s="34" t="s">
        <v>2536</v>
      </c>
    </row>
    <row r="341" spans="1:6" x14ac:dyDescent="0.25">
      <c r="A341" t="s">
        <v>1747</v>
      </c>
      <c r="B341" s="18" t="str">
        <f>INDEX('Product Variant'!$B:$B,MATCH($A341,'Product Variant'!$A:$A,0))</f>
        <v>PRODUCT-00058</v>
      </c>
      <c r="C341" s="18" t="str">
        <f>INDEX(Product!$B:$B,MATCH($B341,Product!$A:$A,0))</f>
        <v>[Hapaku] Đai chườm thảo dược cổ gáy làm nóng bằng điện (50cmx11cm)</v>
      </c>
      <c r="D341" t="s">
        <v>2342</v>
      </c>
      <c r="E341" s="18" t="str">
        <f>INDEX('Attribute Definition'!$B:$B,MATCH($D341,'Attribute Definition'!$A:$A,0))</f>
        <v>Kích thước</v>
      </c>
      <c r="F341" s="34" t="s">
        <v>2543</v>
      </c>
    </row>
    <row r="342" spans="1:6" x14ac:dyDescent="0.25">
      <c r="A342" t="s">
        <v>1747</v>
      </c>
      <c r="B342" s="18" t="str">
        <f>INDEX('Product Variant'!$B:$B,MATCH($A342,'Product Variant'!$A:$A,0))</f>
        <v>PRODUCT-00058</v>
      </c>
      <c r="C342" s="18" t="str">
        <f>INDEX(Product!$B:$B,MATCH($B342,Product!$A:$A,0))</f>
        <v>[Hapaku] Đai chườm thảo dược cổ gáy làm nóng bằng điện (50cmx11cm)</v>
      </c>
      <c r="D342" t="s">
        <v>2367</v>
      </c>
      <c r="E342" s="18" t="str">
        <f>INDEX('Attribute Definition'!$B:$B,MATCH($D342,'Attribute Definition'!$A:$A,0))</f>
        <v>Chất liệu</v>
      </c>
      <c r="F342" s="34" t="s">
        <v>2488</v>
      </c>
    </row>
    <row r="343" spans="1:6" x14ac:dyDescent="0.25">
      <c r="A343" t="s">
        <v>1747</v>
      </c>
      <c r="B343" s="18" t="str">
        <f>INDEX('Product Variant'!$B:$B,MATCH($A343,'Product Variant'!$A:$A,0))</f>
        <v>PRODUCT-00058</v>
      </c>
      <c r="C343" s="18" t="str">
        <f>INDEX(Product!$B:$B,MATCH($B343,Product!$A:$A,0))</f>
        <v>[Hapaku] Đai chườm thảo dược cổ gáy làm nóng bằng điện (50cmx11cm)</v>
      </c>
      <c r="D343" t="s">
        <v>2434</v>
      </c>
      <c r="E343" s="18" t="str">
        <f>INDEX('Attribute Definition'!$B:$B,MATCH($D343,'Attribute Definition'!$A:$A,0))</f>
        <v>Nguồn điện</v>
      </c>
      <c r="F343" s="34" t="s">
        <v>2541</v>
      </c>
    </row>
    <row r="344" spans="1:6" x14ac:dyDescent="0.25">
      <c r="A344" t="s">
        <v>1747</v>
      </c>
      <c r="B344" s="18" t="str">
        <f>INDEX('Product Variant'!$B:$B,MATCH($A344,'Product Variant'!$A:$A,0))</f>
        <v>PRODUCT-00058</v>
      </c>
      <c r="C344" s="18" t="str">
        <f>INDEX(Product!$B:$B,MATCH($B344,Product!$A:$A,0))</f>
        <v>[Hapaku] Đai chườm thảo dược cổ gáy làm nóng bằng điện (50cmx11cm)</v>
      </c>
      <c r="D344" t="s">
        <v>2439</v>
      </c>
      <c r="E344" s="18" t="str">
        <f>INDEX('Attribute Definition'!$B:$B,MATCH($D344,'Attribute Definition'!$A:$A,0))</f>
        <v>Vị trí sử dụng trên cơ thể</v>
      </c>
      <c r="F344" s="34" t="s">
        <v>2544</v>
      </c>
    </row>
    <row r="345" spans="1:6" x14ac:dyDescent="0.25">
      <c r="A345" t="s">
        <v>1747</v>
      </c>
      <c r="B345" s="18" t="str">
        <f>INDEX('Product Variant'!$B:$B,MATCH($A345,'Product Variant'!$A:$A,0))</f>
        <v>PRODUCT-00058</v>
      </c>
      <c r="C345" s="18" t="str">
        <f>INDEX(Product!$B:$B,MATCH($B345,Product!$A:$A,0))</f>
        <v>[Hapaku] Đai chườm thảo dược cổ gáy làm nóng bằng điện (50cmx11cm)</v>
      </c>
      <c r="D345" t="s">
        <v>2471</v>
      </c>
      <c r="E345" s="18" t="str">
        <f>INDEX('Attribute Definition'!$B:$B,MATCH($D345,'Attribute Definition'!$A:$A,0))</f>
        <v>Dạng sản phẩm</v>
      </c>
      <c r="F345" s="34" t="s">
        <v>2536</v>
      </c>
    </row>
    <row r="346" spans="1:6" x14ac:dyDescent="0.25">
      <c r="A346" t="s">
        <v>1748</v>
      </c>
      <c r="B346" s="18" t="str">
        <f>INDEX('Product Variant'!$B:$B,MATCH($A346,'Product Variant'!$A:$A,0))</f>
        <v>PRODUCT-00059</v>
      </c>
      <c r="C346" s="18" t="str">
        <f>INDEX(Product!$B:$B,MATCH($B346,Product!$A:$A,0))</f>
        <v>[Hapaku] Đai chườm thảo dược lưng bụng làm nóng bằng điện</v>
      </c>
      <c r="D346" t="s">
        <v>2367</v>
      </c>
      <c r="E346" s="18" t="str">
        <f>INDEX('Attribute Definition'!$B:$B,MATCH($D346,'Attribute Definition'!$A:$A,0))</f>
        <v>Chất liệu</v>
      </c>
      <c r="F346" s="34" t="s">
        <v>2488</v>
      </c>
    </row>
    <row r="347" spans="1:6" x14ac:dyDescent="0.25">
      <c r="A347" t="s">
        <v>1748</v>
      </c>
      <c r="B347" s="18" t="str">
        <f>INDEX('Product Variant'!$B:$B,MATCH($A347,'Product Variant'!$A:$A,0))</f>
        <v>PRODUCT-00059</v>
      </c>
      <c r="C347" s="18" t="str">
        <f>INDEX(Product!$B:$B,MATCH($B347,Product!$A:$A,0))</f>
        <v>[Hapaku] Đai chườm thảo dược lưng bụng làm nóng bằng điện</v>
      </c>
      <c r="D347" t="s">
        <v>2434</v>
      </c>
      <c r="E347" s="18" t="str">
        <f>INDEX('Attribute Definition'!$B:$B,MATCH($D347,'Attribute Definition'!$A:$A,0))</f>
        <v>Nguồn điện</v>
      </c>
      <c r="F347" s="34" t="s">
        <v>2541</v>
      </c>
    </row>
    <row r="348" spans="1:6" x14ac:dyDescent="0.25">
      <c r="A348" t="s">
        <v>1748</v>
      </c>
      <c r="B348" s="18" t="str">
        <f>INDEX('Product Variant'!$B:$B,MATCH($A348,'Product Variant'!$A:$A,0))</f>
        <v>PRODUCT-00059</v>
      </c>
      <c r="C348" s="18" t="str">
        <f>INDEX(Product!$B:$B,MATCH($B348,Product!$A:$A,0))</f>
        <v>[Hapaku] Đai chườm thảo dược lưng bụng làm nóng bằng điện</v>
      </c>
      <c r="D348" t="s">
        <v>2439</v>
      </c>
      <c r="E348" s="18" t="str">
        <f>INDEX('Attribute Definition'!$B:$B,MATCH($D348,'Attribute Definition'!$A:$A,0))</f>
        <v>Vị trí sử dụng trên cơ thể</v>
      </c>
      <c r="F348" s="34" t="s">
        <v>2545</v>
      </c>
    </row>
    <row r="349" spans="1:6" x14ac:dyDescent="0.25">
      <c r="A349" t="s">
        <v>1748</v>
      </c>
      <c r="B349" s="18" t="str">
        <f>INDEX('Product Variant'!$B:$B,MATCH($A349,'Product Variant'!$A:$A,0))</f>
        <v>PRODUCT-00059</v>
      </c>
      <c r="C349" s="18" t="str">
        <f>INDEX(Product!$B:$B,MATCH($B349,Product!$A:$A,0))</f>
        <v>[Hapaku] Đai chườm thảo dược lưng bụng làm nóng bằng điện</v>
      </c>
      <c r="D349" t="s">
        <v>2471</v>
      </c>
      <c r="E349" s="18" t="str">
        <f>INDEX('Attribute Definition'!$B:$B,MATCH($D349,'Attribute Definition'!$A:$A,0))</f>
        <v>Dạng sản phẩm</v>
      </c>
      <c r="F349" s="34" t="s">
        <v>2536</v>
      </c>
    </row>
    <row r="350" spans="1:6" x14ac:dyDescent="0.25">
      <c r="A350" t="s">
        <v>1749</v>
      </c>
      <c r="B350" s="18" t="str">
        <f>INDEX('Product Variant'!$B:$B,MATCH($A350,'Product Variant'!$A:$A,0))</f>
        <v>PRODUCT-00060</v>
      </c>
      <c r="C350" s="18" t="str">
        <f>INDEX(Product!$B:$B,MATCH($B350,Product!$A:$A,0))</f>
        <v>[Hapaku] Đai chườm thảo dược vai gáy cổ làm nóng bằng điện (35cmx48cm)</v>
      </c>
      <c r="D350" t="s">
        <v>2342</v>
      </c>
      <c r="E350" s="18" t="str">
        <f>INDEX('Attribute Definition'!$B:$B,MATCH($D350,'Attribute Definition'!$A:$A,0))</f>
        <v>Kích thước</v>
      </c>
      <c r="F350" s="34" t="s">
        <v>2546</v>
      </c>
    </row>
    <row r="351" spans="1:6" x14ac:dyDescent="0.25">
      <c r="A351" t="s">
        <v>1749</v>
      </c>
      <c r="B351" s="18" t="str">
        <f>INDEX('Product Variant'!$B:$B,MATCH($A351,'Product Variant'!$A:$A,0))</f>
        <v>PRODUCT-00060</v>
      </c>
      <c r="C351" s="18" t="str">
        <f>INDEX(Product!$B:$B,MATCH($B351,Product!$A:$A,0))</f>
        <v>[Hapaku] Đai chườm thảo dược vai gáy cổ làm nóng bằng điện (35cmx48cm)</v>
      </c>
      <c r="D351" t="s">
        <v>2367</v>
      </c>
      <c r="E351" s="18" t="str">
        <f>INDEX('Attribute Definition'!$B:$B,MATCH($D351,'Attribute Definition'!$A:$A,0))</f>
        <v>Chất liệu</v>
      </c>
      <c r="F351" s="34" t="s">
        <v>2488</v>
      </c>
    </row>
    <row r="352" spans="1:6" x14ac:dyDescent="0.25">
      <c r="A352" t="s">
        <v>1749</v>
      </c>
      <c r="B352" s="18" t="str">
        <f>INDEX('Product Variant'!$B:$B,MATCH($A352,'Product Variant'!$A:$A,0))</f>
        <v>PRODUCT-00060</v>
      </c>
      <c r="C352" s="18" t="str">
        <f>INDEX(Product!$B:$B,MATCH($B352,Product!$A:$A,0))</f>
        <v>[Hapaku] Đai chườm thảo dược vai gáy cổ làm nóng bằng điện (35cmx48cm)</v>
      </c>
      <c r="D352" t="s">
        <v>2434</v>
      </c>
      <c r="E352" s="18" t="str">
        <f>INDEX('Attribute Definition'!$B:$B,MATCH($D352,'Attribute Definition'!$A:$A,0))</f>
        <v>Nguồn điện</v>
      </c>
      <c r="F352" s="34" t="s">
        <v>2541</v>
      </c>
    </row>
    <row r="353" spans="1:6" x14ac:dyDescent="0.25">
      <c r="A353" t="s">
        <v>1749</v>
      </c>
      <c r="B353" s="18" t="str">
        <f>INDEX('Product Variant'!$B:$B,MATCH($A353,'Product Variant'!$A:$A,0))</f>
        <v>PRODUCT-00060</v>
      </c>
      <c r="C353" s="18" t="str">
        <f>INDEX(Product!$B:$B,MATCH($B353,Product!$A:$A,0))</f>
        <v>[Hapaku] Đai chườm thảo dược vai gáy cổ làm nóng bằng điện (35cmx48cm)</v>
      </c>
      <c r="D353" t="s">
        <v>2439</v>
      </c>
      <c r="E353" s="18" t="str">
        <f>INDEX('Attribute Definition'!$B:$B,MATCH($D353,'Attribute Definition'!$A:$A,0))</f>
        <v>Vị trí sử dụng trên cơ thể</v>
      </c>
      <c r="F353" s="34" t="s">
        <v>2547</v>
      </c>
    </row>
    <row r="354" spans="1:6" x14ac:dyDescent="0.25">
      <c r="A354" t="s">
        <v>1749</v>
      </c>
      <c r="B354" s="18" t="str">
        <f>INDEX('Product Variant'!$B:$B,MATCH($A354,'Product Variant'!$A:$A,0))</f>
        <v>PRODUCT-00060</v>
      </c>
      <c r="C354" s="18" t="str">
        <f>INDEX(Product!$B:$B,MATCH($B354,Product!$A:$A,0))</f>
        <v>[Hapaku] Đai chườm thảo dược vai gáy cổ làm nóng bằng điện (35cmx48cm)</v>
      </c>
      <c r="D354" t="s">
        <v>2471</v>
      </c>
      <c r="E354" s="18" t="str">
        <f>INDEX('Attribute Definition'!$B:$B,MATCH($D354,'Attribute Definition'!$A:$A,0))</f>
        <v>Dạng sản phẩm</v>
      </c>
      <c r="F354" s="34" t="s">
        <v>2536</v>
      </c>
    </row>
    <row r="355" spans="1:6" x14ac:dyDescent="0.25">
      <c r="A355" t="s">
        <v>1750</v>
      </c>
      <c r="B355" s="18" t="str">
        <f>INDEX('Product Variant'!$B:$B,MATCH($A355,'Product Variant'!$A:$A,0))</f>
        <v>PRODUCT-00061</v>
      </c>
      <c r="C355" s="18" t="str">
        <f>INDEX(Product!$B:$B,MATCH($B355,Product!$A:$A,0))</f>
        <v>[Hapaku] Gối chườm thảo dược đa năng làm nóng bằng điện (34cmx24cm)</v>
      </c>
      <c r="D355" t="s">
        <v>2342</v>
      </c>
      <c r="E355" s="18" t="str">
        <f>INDEX('Attribute Definition'!$B:$B,MATCH($D355,'Attribute Definition'!$A:$A,0))</f>
        <v>Kích thước</v>
      </c>
      <c r="F355" s="34" t="s">
        <v>2548</v>
      </c>
    </row>
    <row r="356" spans="1:6" x14ac:dyDescent="0.25">
      <c r="A356" t="s">
        <v>1750</v>
      </c>
      <c r="B356" s="18" t="str">
        <f>INDEX('Product Variant'!$B:$B,MATCH($A356,'Product Variant'!$A:$A,0))</f>
        <v>PRODUCT-00061</v>
      </c>
      <c r="C356" s="18" t="str">
        <f>INDEX(Product!$B:$B,MATCH($B356,Product!$A:$A,0))</f>
        <v>[Hapaku] Gối chườm thảo dược đa năng làm nóng bằng điện (34cmx24cm)</v>
      </c>
      <c r="D356" t="s">
        <v>2367</v>
      </c>
      <c r="E356" s="18" t="str">
        <f>INDEX('Attribute Definition'!$B:$B,MATCH($D356,'Attribute Definition'!$A:$A,0))</f>
        <v>Chất liệu</v>
      </c>
      <c r="F356" s="34" t="s">
        <v>2488</v>
      </c>
    </row>
    <row r="357" spans="1:6" x14ac:dyDescent="0.25">
      <c r="A357" t="s">
        <v>1750</v>
      </c>
      <c r="B357" s="18" t="str">
        <f>INDEX('Product Variant'!$B:$B,MATCH($A357,'Product Variant'!$A:$A,0))</f>
        <v>PRODUCT-00061</v>
      </c>
      <c r="C357" s="18" t="str">
        <f>INDEX(Product!$B:$B,MATCH($B357,Product!$A:$A,0))</f>
        <v>[Hapaku] Gối chườm thảo dược đa năng làm nóng bằng điện (34cmx24cm)</v>
      </c>
      <c r="D357" t="s">
        <v>2434</v>
      </c>
      <c r="E357" s="18" t="str">
        <f>INDEX('Attribute Definition'!$B:$B,MATCH($D357,'Attribute Definition'!$A:$A,0))</f>
        <v>Nguồn điện</v>
      </c>
      <c r="F357" s="34" t="s">
        <v>2541</v>
      </c>
    </row>
    <row r="358" spans="1:6" x14ac:dyDescent="0.25">
      <c r="A358" t="s">
        <v>1750</v>
      </c>
      <c r="B358" s="18" t="str">
        <f>INDEX('Product Variant'!$B:$B,MATCH($A358,'Product Variant'!$A:$A,0))</f>
        <v>PRODUCT-00061</v>
      </c>
      <c r="C358" s="18" t="str">
        <f>INDEX(Product!$B:$B,MATCH($B358,Product!$A:$A,0))</f>
        <v>[Hapaku] Gối chườm thảo dược đa năng làm nóng bằng điện (34cmx24cm)</v>
      </c>
      <c r="D358" t="s">
        <v>2471</v>
      </c>
      <c r="E358" s="18" t="str">
        <f>INDEX('Attribute Definition'!$B:$B,MATCH($D358,'Attribute Definition'!$A:$A,0))</f>
        <v>Dạng sản phẩm</v>
      </c>
      <c r="F358" s="34" t="s">
        <v>2536</v>
      </c>
    </row>
    <row r="359" spans="1:6" x14ac:dyDescent="0.25">
      <c r="A359" t="s">
        <v>1751</v>
      </c>
      <c r="B359" s="18" t="str">
        <f>INDEX('Product Variant'!$B:$B,MATCH($A359,'Product Variant'!$A:$A,0))</f>
        <v>PRODUCT-00062</v>
      </c>
      <c r="C359" s="18" t="str">
        <f>INDEX(Product!$B:$B,MATCH($B359,Product!$A:$A,0))</f>
        <v>[Merisocks] Đai hỗ trợ đầu gối</v>
      </c>
      <c r="D359" t="s">
        <v>2439</v>
      </c>
      <c r="E359" s="18" t="str">
        <f>INDEX('Attribute Definition'!$B:$B,MATCH($D359,'Attribute Definition'!$A:$A,0))</f>
        <v>Vị trí sử dụng trên cơ thể</v>
      </c>
      <c r="F359" s="34" t="s">
        <v>2535</v>
      </c>
    </row>
    <row r="360" spans="1:6" x14ac:dyDescent="0.25">
      <c r="A360" t="s">
        <v>1751</v>
      </c>
      <c r="B360" s="18" t="str">
        <f>INDEX('Product Variant'!$B:$B,MATCH($A360,'Product Variant'!$A:$A,0))</f>
        <v>PRODUCT-00062</v>
      </c>
      <c r="C360" s="18" t="str">
        <f>INDEX(Product!$B:$B,MATCH($B360,Product!$A:$A,0))</f>
        <v>[Merisocks] Đai hỗ trợ đầu gối</v>
      </c>
      <c r="D360" t="s">
        <v>2471</v>
      </c>
      <c r="E360" s="18" t="str">
        <f>INDEX('Attribute Definition'!$B:$B,MATCH($D360,'Attribute Definition'!$A:$A,0))</f>
        <v>Dạng sản phẩm</v>
      </c>
      <c r="F360" s="34" t="s">
        <v>2536</v>
      </c>
    </row>
    <row r="361" spans="1:6" x14ac:dyDescent="0.25">
      <c r="A361" t="s">
        <v>1751</v>
      </c>
      <c r="B361" s="18" t="str">
        <f>INDEX('Product Variant'!$B:$B,MATCH($A361,'Product Variant'!$A:$A,0))</f>
        <v>PRODUCT-00062</v>
      </c>
      <c r="C361" s="18" t="str">
        <f>INDEX(Product!$B:$B,MATCH($B361,Product!$A:$A,0))</f>
        <v>[Merisocks] Đai hỗ trợ đầu gối</v>
      </c>
      <c r="D361" t="s">
        <v>2656</v>
      </c>
      <c r="E361" s="18" t="str">
        <f>INDEX('Attribute Definition'!$B:$B,MATCH($D361,'Attribute Definition'!$A:$A,0))</f>
        <v>Kích cỡ</v>
      </c>
      <c r="F361" s="34" t="s">
        <v>1156</v>
      </c>
    </row>
    <row r="362" spans="1:6" x14ac:dyDescent="0.25">
      <c r="A362" t="s">
        <v>1752</v>
      </c>
      <c r="B362" s="18" t="str">
        <f>INDEX('Product Variant'!$B:$B,MATCH($A362,'Product Variant'!$A:$A,0))</f>
        <v>PRODUCT-00062</v>
      </c>
      <c r="C362" s="18" t="str">
        <f>INDEX(Product!$B:$B,MATCH($B362,Product!$A:$A,0))</f>
        <v>[Merisocks] Đai hỗ trợ đầu gối</v>
      </c>
      <c r="D362" t="s">
        <v>2439</v>
      </c>
      <c r="E362" s="18" t="str">
        <f>INDEX('Attribute Definition'!$B:$B,MATCH($D362,'Attribute Definition'!$A:$A,0))</f>
        <v>Vị trí sử dụng trên cơ thể</v>
      </c>
      <c r="F362" s="34" t="s">
        <v>2535</v>
      </c>
    </row>
    <row r="363" spans="1:6" x14ac:dyDescent="0.25">
      <c r="A363" t="s">
        <v>1752</v>
      </c>
      <c r="B363" s="18" t="str">
        <f>INDEX('Product Variant'!$B:$B,MATCH($A363,'Product Variant'!$A:$A,0))</f>
        <v>PRODUCT-00062</v>
      </c>
      <c r="C363" s="18" t="str">
        <f>INDEX(Product!$B:$B,MATCH($B363,Product!$A:$A,0))</f>
        <v>[Merisocks] Đai hỗ trợ đầu gối</v>
      </c>
      <c r="D363" t="s">
        <v>2471</v>
      </c>
      <c r="E363" s="18" t="str">
        <f>INDEX('Attribute Definition'!$B:$B,MATCH($D363,'Attribute Definition'!$A:$A,0))</f>
        <v>Dạng sản phẩm</v>
      </c>
      <c r="F363" s="34" t="s">
        <v>2536</v>
      </c>
    </row>
    <row r="364" spans="1:6" x14ac:dyDescent="0.25">
      <c r="A364" t="s">
        <v>1752</v>
      </c>
      <c r="B364" s="18" t="str">
        <f>INDEX('Product Variant'!$B:$B,MATCH($A364,'Product Variant'!$A:$A,0))</f>
        <v>PRODUCT-00062</v>
      </c>
      <c r="C364" s="18" t="str">
        <f>INDEX(Product!$B:$B,MATCH($B364,Product!$A:$A,0))</f>
        <v>[Merisocks] Đai hỗ trợ đầu gối</v>
      </c>
      <c r="D364" t="s">
        <v>2656</v>
      </c>
      <c r="E364" s="18" t="str">
        <f>INDEX('Attribute Definition'!$B:$B,MATCH($D364,'Attribute Definition'!$A:$A,0))</f>
        <v>Kích cỡ</v>
      </c>
      <c r="F364" s="34" t="s">
        <v>1157</v>
      </c>
    </row>
    <row r="365" spans="1:6" x14ac:dyDescent="0.25">
      <c r="A365" t="s">
        <v>1753</v>
      </c>
      <c r="B365" s="18" t="str">
        <f>INDEX('Product Variant'!$B:$B,MATCH($A365,'Product Variant'!$A:$A,0))</f>
        <v>PRODUCT-00062</v>
      </c>
      <c r="C365" s="18" t="str">
        <f>INDEX(Product!$B:$B,MATCH($B365,Product!$A:$A,0))</f>
        <v>[Merisocks] Đai hỗ trợ đầu gối</v>
      </c>
      <c r="D365" t="s">
        <v>2439</v>
      </c>
      <c r="E365" s="18" t="str">
        <f>INDEX('Attribute Definition'!$B:$B,MATCH($D365,'Attribute Definition'!$A:$A,0))</f>
        <v>Vị trí sử dụng trên cơ thể</v>
      </c>
      <c r="F365" s="34" t="s">
        <v>2535</v>
      </c>
    </row>
    <row r="366" spans="1:6" x14ac:dyDescent="0.25">
      <c r="A366" t="s">
        <v>1753</v>
      </c>
      <c r="B366" s="18" t="str">
        <f>INDEX('Product Variant'!$B:$B,MATCH($A366,'Product Variant'!$A:$A,0))</f>
        <v>PRODUCT-00062</v>
      </c>
      <c r="C366" s="18" t="str">
        <f>INDEX(Product!$B:$B,MATCH($B366,Product!$A:$A,0))</f>
        <v>[Merisocks] Đai hỗ trợ đầu gối</v>
      </c>
      <c r="D366" t="s">
        <v>2471</v>
      </c>
      <c r="E366" s="18" t="str">
        <f>INDEX('Attribute Definition'!$B:$B,MATCH($D366,'Attribute Definition'!$A:$A,0))</f>
        <v>Dạng sản phẩm</v>
      </c>
      <c r="F366" s="34" t="s">
        <v>2536</v>
      </c>
    </row>
    <row r="367" spans="1:6" x14ac:dyDescent="0.25">
      <c r="A367" t="s">
        <v>1753</v>
      </c>
      <c r="B367" s="18" t="str">
        <f>INDEX('Product Variant'!$B:$B,MATCH($A367,'Product Variant'!$A:$A,0))</f>
        <v>PRODUCT-00062</v>
      </c>
      <c r="C367" s="18" t="str">
        <f>INDEX(Product!$B:$B,MATCH($B367,Product!$A:$A,0))</f>
        <v>[Merisocks] Đai hỗ trợ đầu gối</v>
      </c>
      <c r="D367" t="s">
        <v>2656</v>
      </c>
      <c r="E367" s="18" t="str">
        <f>INDEX('Attribute Definition'!$B:$B,MATCH($D367,'Attribute Definition'!$A:$A,0))</f>
        <v>Kích cỡ</v>
      </c>
      <c r="F367" s="34" t="s">
        <v>1159</v>
      </c>
    </row>
    <row r="368" spans="1:6" x14ac:dyDescent="0.25">
      <c r="A368" t="s">
        <v>1754</v>
      </c>
      <c r="B368" s="18" t="str">
        <f>INDEX('Product Variant'!$B:$B,MATCH($A368,'Product Variant'!$A:$A,0))</f>
        <v>PRODUCT-00063</v>
      </c>
      <c r="C368" s="18" t="str">
        <f>INDEX(Product!$B:$B,MATCH($B368,Product!$A:$A,0))</f>
        <v>[Merisocks] Vớ nén bắp chân chống suy giãn tĩnh mạch</v>
      </c>
      <c r="D368" t="s">
        <v>2439</v>
      </c>
      <c r="E368" s="18" t="str">
        <f>INDEX('Attribute Definition'!$B:$B,MATCH($D368,'Attribute Definition'!$A:$A,0))</f>
        <v>Vị trí sử dụng trên cơ thể</v>
      </c>
      <c r="F368" s="34" t="s">
        <v>2549</v>
      </c>
    </row>
    <row r="369" spans="1:6" x14ac:dyDescent="0.25">
      <c r="A369" t="s">
        <v>1754</v>
      </c>
      <c r="B369" s="18" t="str">
        <f>INDEX('Product Variant'!$B:$B,MATCH($A369,'Product Variant'!$A:$A,0))</f>
        <v>PRODUCT-00063</v>
      </c>
      <c r="C369" s="18" t="str">
        <f>INDEX(Product!$B:$B,MATCH($B369,Product!$A:$A,0))</f>
        <v>[Merisocks] Vớ nén bắp chân chống suy giãn tĩnh mạch</v>
      </c>
      <c r="D369" t="s">
        <v>2471</v>
      </c>
      <c r="E369" s="18" t="str">
        <f>INDEX('Attribute Definition'!$B:$B,MATCH($D369,'Attribute Definition'!$A:$A,0))</f>
        <v>Dạng sản phẩm</v>
      </c>
      <c r="F369" s="34" t="s">
        <v>2539</v>
      </c>
    </row>
    <row r="370" spans="1:6" x14ac:dyDescent="0.25">
      <c r="A370" t="s">
        <v>1754</v>
      </c>
      <c r="B370" s="18" t="str">
        <f>INDEX('Product Variant'!$B:$B,MATCH($A370,'Product Variant'!$A:$A,0))</f>
        <v>PRODUCT-00063</v>
      </c>
      <c r="C370" s="18" t="str">
        <f>INDEX(Product!$B:$B,MATCH($B370,Product!$A:$A,0))</f>
        <v>[Merisocks] Vớ nén bắp chân chống suy giãn tĩnh mạch</v>
      </c>
      <c r="D370" t="s">
        <v>2656</v>
      </c>
      <c r="E370" s="18" t="str">
        <f>INDEX('Attribute Definition'!$B:$B,MATCH($D370,'Attribute Definition'!$A:$A,0))</f>
        <v>Kích cỡ</v>
      </c>
      <c r="F370" s="34" t="s">
        <v>1155</v>
      </c>
    </row>
    <row r="371" spans="1:6" x14ac:dyDescent="0.25">
      <c r="A371" t="s">
        <v>1755</v>
      </c>
      <c r="B371" s="18" t="str">
        <f>INDEX('Product Variant'!$B:$B,MATCH($A371,'Product Variant'!$A:$A,0))</f>
        <v>PRODUCT-00063</v>
      </c>
      <c r="C371" s="18" t="str">
        <f>INDEX(Product!$B:$B,MATCH($B371,Product!$A:$A,0))</f>
        <v>[Merisocks] Vớ nén bắp chân chống suy giãn tĩnh mạch</v>
      </c>
      <c r="D371" t="s">
        <v>2439</v>
      </c>
      <c r="E371" s="18" t="str">
        <f>INDEX('Attribute Definition'!$B:$B,MATCH($D371,'Attribute Definition'!$A:$A,0))</f>
        <v>Vị trí sử dụng trên cơ thể</v>
      </c>
      <c r="F371" s="34" t="s">
        <v>2549</v>
      </c>
    </row>
    <row r="372" spans="1:6" x14ac:dyDescent="0.25">
      <c r="A372" t="s">
        <v>1755</v>
      </c>
      <c r="B372" s="18" t="str">
        <f>INDEX('Product Variant'!$B:$B,MATCH($A372,'Product Variant'!$A:$A,0))</f>
        <v>PRODUCT-00063</v>
      </c>
      <c r="C372" s="18" t="str">
        <f>INDEX(Product!$B:$B,MATCH($B372,Product!$A:$A,0))</f>
        <v>[Merisocks] Vớ nén bắp chân chống suy giãn tĩnh mạch</v>
      </c>
      <c r="D372" t="s">
        <v>2471</v>
      </c>
      <c r="E372" s="18" t="str">
        <f>INDEX('Attribute Definition'!$B:$B,MATCH($D372,'Attribute Definition'!$A:$A,0))</f>
        <v>Dạng sản phẩm</v>
      </c>
      <c r="F372" s="34" t="s">
        <v>2539</v>
      </c>
    </row>
    <row r="373" spans="1:6" x14ac:dyDescent="0.25">
      <c r="A373" t="s">
        <v>1755</v>
      </c>
      <c r="B373" s="18" t="str">
        <f>INDEX('Product Variant'!$B:$B,MATCH($A373,'Product Variant'!$A:$A,0))</f>
        <v>PRODUCT-00063</v>
      </c>
      <c r="C373" s="18" t="str">
        <f>INDEX(Product!$B:$B,MATCH($B373,Product!$A:$A,0))</f>
        <v>[Merisocks] Vớ nén bắp chân chống suy giãn tĩnh mạch</v>
      </c>
      <c r="D373" t="s">
        <v>2656</v>
      </c>
      <c r="E373" s="18" t="str">
        <f>INDEX('Attribute Definition'!$B:$B,MATCH($D373,'Attribute Definition'!$A:$A,0))</f>
        <v>Kích cỡ</v>
      </c>
      <c r="F373" s="34" t="s">
        <v>1156</v>
      </c>
    </row>
    <row r="374" spans="1:6" x14ac:dyDescent="0.25">
      <c r="A374" t="s">
        <v>1756</v>
      </c>
      <c r="B374" s="18" t="str">
        <f>INDEX('Product Variant'!$B:$B,MATCH($A374,'Product Variant'!$A:$A,0))</f>
        <v>PRODUCT-00063</v>
      </c>
      <c r="C374" s="18" t="str">
        <f>INDEX(Product!$B:$B,MATCH($B374,Product!$A:$A,0))</f>
        <v>[Merisocks] Vớ nén bắp chân chống suy giãn tĩnh mạch</v>
      </c>
      <c r="D374" t="s">
        <v>2439</v>
      </c>
      <c r="E374" s="18" t="str">
        <f>INDEX('Attribute Definition'!$B:$B,MATCH($D374,'Attribute Definition'!$A:$A,0))</f>
        <v>Vị trí sử dụng trên cơ thể</v>
      </c>
      <c r="F374" s="34" t="s">
        <v>2549</v>
      </c>
    </row>
    <row r="375" spans="1:6" x14ac:dyDescent="0.25">
      <c r="A375" t="s">
        <v>1756</v>
      </c>
      <c r="B375" s="18" t="str">
        <f>INDEX('Product Variant'!$B:$B,MATCH($A375,'Product Variant'!$A:$A,0))</f>
        <v>PRODUCT-00063</v>
      </c>
      <c r="C375" s="18" t="str">
        <f>INDEX(Product!$B:$B,MATCH($B375,Product!$A:$A,0))</f>
        <v>[Merisocks] Vớ nén bắp chân chống suy giãn tĩnh mạch</v>
      </c>
      <c r="D375" t="s">
        <v>2471</v>
      </c>
      <c r="E375" s="18" t="str">
        <f>INDEX('Attribute Definition'!$B:$B,MATCH($D375,'Attribute Definition'!$A:$A,0))</f>
        <v>Dạng sản phẩm</v>
      </c>
      <c r="F375" s="34" t="s">
        <v>2539</v>
      </c>
    </row>
    <row r="376" spans="1:6" x14ac:dyDescent="0.25">
      <c r="A376" t="s">
        <v>1756</v>
      </c>
      <c r="B376" s="18" t="str">
        <f>INDEX('Product Variant'!$B:$B,MATCH($A376,'Product Variant'!$A:$A,0))</f>
        <v>PRODUCT-00063</v>
      </c>
      <c r="C376" s="18" t="str">
        <f>INDEX(Product!$B:$B,MATCH($B376,Product!$A:$A,0))</f>
        <v>[Merisocks] Vớ nén bắp chân chống suy giãn tĩnh mạch</v>
      </c>
      <c r="D376" t="s">
        <v>2656</v>
      </c>
      <c r="E376" s="18" t="str">
        <f>INDEX('Attribute Definition'!$B:$B,MATCH($D376,'Attribute Definition'!$A:$A,0))</f>
        <v>Kích cỡ</v>
      </c>
      <c r="F376" s="34" t="s">
        <v>1157</v>
      </c>
    </row>
    <row r="377" spans="1:6" x14ac:dyDescent="0.25">
      <c r="A377" t="s">
        <v>1757</v>
      </c>
      <c r="B377" s="18" t="str">
        <f>INDEX('Product Variant'!$B:$B,MATCH($A377,'Product Variant'!$A:$A,0))</f>
        <v>PRODUCT-00063</v>
      </c>
      <c r="C377" s="18" t="str">
        <f>INDEX(Product!$B:$B,MATCH($B377,Product!$A:$A,0))</f>
        <v>[Merisocks] Vớ nén bắp chân chống suy giãn tĩnh mạch</v>
      </c>
      <c r="D377" t="s">
        <v>2439</v>
      </c>
      <c r="E377" s="18" t="str">
        <f>INDEX('Attribute Definition'!$B:$B,MATCH($D377,'Attribute Definition'!$A:$A,0))</f>
        <v>Vị trí sử dụng trên cơ thể</v>
      </c>
      <c r="F377" s="34" t="s">
        <v>2549</v>
      </c>
    </row>
    <row r="378" spans="1:6" x14ac:dyDescent="0.25">
      <c r="A378" t="s">
        <v>1757</v>
      </c>
      <c r="B378" s="18" t="str">
        <f>INDEX('Product Variant'!$B:$B,MATCH($A378,'Product Variant'!$A:$A,0))</f>
        <v>PRODUCT-00063</v>
      </c>
      <c r="C378" s="18" t="str">
        <f>INDEX(Product!$B:$B,MATCH($B378,Product!$A:$A,0))</f>
        <v>[Merisocks] Vớ nén bắp chân chống suy giãn tĩnh mạch</v>
      </c>
      <c r="D378" t="s">
        <v>2471</v>
      </c>
      <c r="E378" s="18" t="str">
        <f>INDEX('Attribute Definition'!$B:$B,MATCH($D378,'Attribute Definition'!$A:$A,0))</f>
        <v>Dạng sản phẩm</v>
      </c>
      <c r="F378" s="34" t="s">
        <v>2539</v>
      </c>
    </row>
    <row r="379" spans="1:6" x14ac:dyDescent="0.25">
      <c r="A379" t="s">
        <v>1757</v>
      </c>
      <c r="B379" s="18" t="str">
        <f>INDEX('Product Variant'!$B:$B,MATCH($A379,'Product Variant'!$A:$A,0))</f>
        <v>PRODUCT-00063</v>
      </c>
      <c r="C379" s="18" t="str">
        <f>INDEX(Product!$B:$B,MATCH($B379,Product!$A:$A,0))</f>
        <v>[Merisocks] Vớ nén bắp chân chống suy giãn tĩnh mạch</v>
      </c>
      <c r="D379" t="s">
        <v>2656</v>
      </c>
      <c r="E379" s="18" t="str">
        <f>INDEX('Attribute Definition'!$B:$B,MATCH($D379,'Attribute Definition'!$A:$A,0))</f>
        <v>Kích cỡ</v>
      </c>
      <c r="F379" s="34" t="s">
        <v>1159</v>
      </c>
    </row>
    <row r="380" spans="1:6" x14ac:dyDescent="0.25">
      <c r="A380" t="s">
        <v>1758</v>
      </c>
      <c r="B380" s="18" t="str">
        <f>INDEX('Product Variant'!$B:$B,MATCH($A380,'Product Variant'!$A:$A,0))</f>
        <v>PRODUCT-00063</v>
      </c>
      <c r="C380" s="18" t="str">
        <f>INDEX(Product!$B:$B,MATCH($B380,Product!$A:$A,0))</f>
        <v>[Merisocks] Vớ nén bắp chân chống suy giãn tĩnh mạch</v>
      </c>
      <c r="D380" t="s">
        <v>2439</v>
      </c>
      <c r="E380" s="18" t="str">
        <f>INDEX('Attribute Definition'!$B:$B,MATCH($D380,'Attribute Definition'!$A:$A,0))</f>
        <v>Vị trí sử dụng trên cơ thể</v>
      </c>
      <c r="F380" s="34" t="s">
        <v>2549</v>
      </c>
    </row>
    <row r="381" spans="1:6" x14ac:dyDescent="0.25">
      <c r="A381" t="s">
        <v>1758</v>
      </c>
      <c r="B381" s="18" t="str">
        <f>INDEX('Product Variant'!$B:$B,MATCH($A381,'Product Variant'!$A:$A,0))</f>
        <v>PRODUCT-00063</v>
      </c>
      <c r="C381" s="18" t="str">
        <f>INDEX(Product!$B:$B,MATCH($B381,Product!$A:$A,0))</f>
        <v>[Merisocks] Vớ nén bắp chân chống suy giãn tĩnh mạch</v>
      </c>
      <c r="D381" t="s">
        <v>2464</v>
      </c>
      <c r="E381" s="18" t="str">
        <f>INDEX('Attribute Definition'!$B:$B,MATCH($D381,'Attribute Definition'!$A:$A,0))</f>
        <v>Màu sắc</v>
      </c>
      <c r="F381" s="34" t="s">
        <v>1160</v>
      </c>
    </row>
    <row r="382" spans="1:6" x14ac:dyDescent="0.25">
      <c r="A382" t="s">
        <v>1758</v>
      </c>
      <c r="B382" s="18" t="str">
        <f>INDEX('Product Variant'!$B:$B,MATCH($A382,'Product Variant'!$A:$A,0))</f>
        <v>PRODUCT-00063</v>
      </c>
      <c r="C382" s="18" t="str">
        <f>INDEX(Product!$B:$B,MATCH($B382,Product!$A:$A,0))</f>
        <v>[Merisocks] Vớ nén bắp chân chống suy giãn tĩnh mạch</v>
      </c>
      <c r="D382" t="s">
        <v>2471</v>
      </c>
      <c r="E382" s="18" t="str">
        <f>INDEX('Attribute Definition'!$B:$B,MATCH($D382,'Attribute Definition'!$A:$A,0))</f>
        <v>Dạng sản phẩm</v>
      </c>
      <c r="F382" s="34" t="s">
        <v>2539</v>
      </c>
    </row>
    <row r="383" spans="1:6" x14ac:dyDescent="0.25">
      <c r="A383" t="s">
        <v>1758</v>
      </c>
      <c r="B383" s="18" t="str">
        <f>INDEX('Product Variant'!$B:$B,MATCH($A383,'Product Variant'!$A:$A,0))</f>
        <v>PRODUCT-00063</v>
      </c>
      <c r="C383" s="18" t="str">
        <f>INDEX(Product!$B:$B,MATCH($B383,Product!$A:$A,0))</f>
        <v>[Merisocks] Vớ nén bắp chân chống suy giãn tĩnh mạch</v>
      </c>
      <c r="D383" t="s">
        <v>2656</v>
      </c>
      <c r="E383" s="18" t="str">
        <f>INDEX('Attribute Definition'!$B:$B,MATCH($D383,'Attribute Definition'!$A:$A,0))</f>
        <v>Kích cỡ</v>
      </c>
      <c r="F383" s="34" t="s">
        <v>1155</v>
      </c>
    </row>
    <row r="384" spans="1:6" x14ac:dyDescent="0.25">
      <c r="A384" t="s">
        <v>1759</v>
      </c>
      <c r="B384" s="18" t="str">
        <f>INDEX('Product Variant'!$B:$B,MATCH($A384,'Product Variant'!$A:$A,0))</f>
        <v>PRODUCT-00063</v>
      </c>
      <c r="C384" s="18" t="str">
        <f>INDEX(Product!$B:$B,MATCH($B384,Product!$A:$A,0))</f>
        <v>[Merisocks] Vớ nén bắp chân chống suy giãn tĩnh mạch</v>
      </c>
      <c r="D384" t="s">
        <v>2439</v>
      </c>
      <c r="E384" s="18" t="str">
        <f>INDEX('Attribute Definition'!$B:$B,MATCH($D384,'Attribute Definition'!$A:$A,0))</f>
        <v>Vị trí sử dụng trên cơ thể</v>
      </c>
      <c r="F384" s="34" t="s">
        <v>2549</v>
      </c>
    </row>
    <row r="385" spans="1:6" x14ac:dyDescent="0.25">
      <c r="A385" t="s">
        <v>1759</v>
      </c>
      <c r="B385" s="18" t="str">
        <f>INDEX('Product Variant'!$B:$B,MATCH($A385,'Product Variant'!$A:$A,0))</f>
        <v>PRODUCT-00063</v>
      </c>
      <c r="C385" s="18" t="str">
        <f>INDEX(Product!$B:$B,MATCH($B385,Product!$A:$A,0))</f>
        <v>[Merisocks] Vớ nén bắp chân chống suy giãn tĩnh mạch</v>
      </c>
      <c r="D385" t="s">
        <v>2464</v>
      </c>
      <c r="E385" s="18" t="str">
        <f>INDEX('Attribute Definition'!$B:$B,MATCH($D385,'Attribute Definition'!$A:$A,0))</f>
        <v>Màu sắc</v>
      </c>
      <c r="F385" s="34" t="s">
        <v>1160</v>
      </c>
    </row>
    <row r="386" spans="1:6" x14ac:dyDescent="0.25">
      <c r="A386" t="s">
        <v>1759</v>
      </c>
      <c r="B386" s="18" t="str">
        <f>INDEX('Product Variant'!$B:$B,MATCH($A386,'Product Variant'!$A:$A,0))</f>
        <v>PRODUCT-00063</v>
      </c>
      <c r="C386" s="18" t="str">
        <f>INDEX(Product!$B:$B,MATCH($B386,Product!$A:$A,0))</f>
        <v>[Merisocks] Vớ nén bắp chân chống suy giãn tĩnh mạch</v>
      </c>
      <c r="D386" t="s">
        <v>2471</v>
      </c>
      <c r="E386" s="18" t="str">
        <f>INDEX('Attribute Definition'!$B:$B,MATCH($D386,'Attribute Definition'!$A:$A,0))</f>
        <v>Dạng sản phẩm</v>
      </c>
      <c r="F386" s="34" t="s">
        <v>2539</v>
      </c>
    </row>
    <row r="387" spans="1:6" x14ac:dyDescent="0.25">
      <c r="A387" t="s">
        <v>1759</v>
      </c>
      <c r="B387" s="18" t="str">
        <f>INDEX('Product Variant'!$B:$B,MATCH($A387,'Product Variant'!$A:$A,0))</f>
        <v>PRODUCT-00063</v>
      </c>
      <c r="C387" s="18" t="str">
        <f>INDEX(Product!$B:$B,MATCH($B387,Product!$A:$A,0))</f>
        <v>[Merisocks] Vớ nén bắp chân chống suy giãn tĩnh mạch</v>
      </c>
      <c r="D387" t="s">
        <v>2656</v>
      </c>
      <c r="E387" s="18" t="str">
        <f>INDEX('Attribute Definition'!$B:$B,MATCH($D387,'Attribute Definition'!$A:$A,0))</f>
        <v>Kích cỡ</v>
      </c>
      <c r="F387" s="34" t="s">
        <v>1156</v>
      </c>
    </row>
    <row r="388" spans="1:6" x14ac:dyDescent="0.25">
      <c r="A388" t="s">
        <v>1760</v>
      </c>
      <c r="B388" s="18" t="str">
        <f>INDEX('Product Variant'!$B:$B,MATCH($A388,'Product Variant'!$A:$A,0))</f>
        <v>PRODUCT-00063</v>
      </c>
      <c r="C388" s="18" t="str">
        <f>INDEX(Product!$B:$B,MATCH($B388,Product!$A:$A,0))</f>
        <v>[Merisocks] Vớ nén bắp chân chống suy giãn tĩnh mạch</v>
      </c>
      <c r="D388" t="s">
        <v>2439</v>
      </c>
      <c r="E388" s="18" t="str">
        <f>INDEX('Attribute Definition'!$B:$B,MATCH($D388,'Attribute Definition'!$A:$A,0))</f>
        <v>Vị trí sử dụng trên cơ thể</v>
      </c>
      <c r="F388" s="34" t="s">
        <v>2549</v>
      </c>
    </row>
    <row r="389" spans="1:6" x14ac:dyDescent="0.25">
      <c r="A389" t="s">
        <v>1760</v>
      </c>
      <c r="B389" s="18" t="str">
        <f>INDEX('Product Variant'!$B:$B,MATCH($A389,'Product Variant'!$A:$A,0))</f>
        <v>PRODUCT-00063</v>
      </c>
      <c r="C389" s="18" t="str">
        <f>INDEX(Product!$B:$B,MATCH($B389,Product!$A:$A,0))</f>
        <v>[Merisocks] Vớ nén bắp chân chống suy giãn tĩnh mạch</v>
      </c>
      <c r="D389" t="s">
        <v>2464</v>
      </c>
      <c r="E389" s="18" t="str">
        <f>INDEX('Attribute Definition'!$B:$B,MATCH($D389,'Attribute Definition'!$A:$A,0))</f>
        <v>Màu sắc</v>
      </c>
      <c r="F389" s="34" t="s">
        <v>1160</v>
      </c>
    </row>
    <row r="390" spans="1:6" x14ac:dyDescent="0.25">
      <c r="A390" t="s">
        <v>1760</v>
      </c>
      <c r="B390" s="18" t="str">
        <f>INDEX('Product Variant'!$B:$B,MATCH($A390,'Product Variant'!$A:$A,0))</f>
        <v>PRODUCT-00063</v>
      </c>
      <c r="C390" s="18" t="str">
        <f>INDEX(Product!$B:$B,MATCH($B390,Product!$A:$A,0))</f>
        <v>[Merisocks] Vớ nén bắp chân chống suy giãn tĩnh mạch</v>
      </c>
      <c r="D390" t="s">
        <v>2471</v>
      </c>
      <c r="E390" s="18" t="str">
        <f>INDEX('Attribute Definition'!$B:$B,MATCH($D390,'Attribute Definition'!$A:$A,0))</f>
        <v>Dạng sản phẩm</v>
      </c>
      <c r="F390" s="34" t="s">
        <v>2539</v>
      </c>
    </row>
    <row r="391" spans="1:6" x14ac:dyDescent="0.25">
      <c r="A391" t="s">
        <v>1760</v>
      </c>
      <c r="B391" s="18" t="str">
        <f>INDEX('Product Variant'!$B:$B,MATCH($A391,'Product Variant'!$A:$A,0))</f>
        <v>PRODUCT-00063</v>
      </c>
      <c r="C391" s="18" t="str">
        <f>INDEX(Product!$B:$B,MATCH($B391,Product!$A:$A,0))</f>
        <v>[Merisocks] Vớ nén bắp chân chống suy giãn tĩnh mạch</v>
      </c>
      <c r="D391" t="s">
        <v>2656</v>
      </c>
      <c r="E391" s="18" t="str">
        <f>INDEX('Attribute Definition'!$B:$B,MATCH($D391,'Attribute Definition'!$A:$A,0))</f>
        <v>Kích cỡ</v>
      </c>
      <c r="F391" s="34" t="s">
        <v>1157</v>
      </c>
    </row>
    <row r="392" spans="1:6" x14ac:dyDescent="0.25">
      <c r="A392" t="s">
        <v>1761</v>
      </c>
      <c r="B392" s="18" t="str">
        <f>INDEX('Product Variant'!$B:$B,MATCH($A392,'Product Variant'!$A:$A,0))</f>
        <v>PRODUCT-00063</v>
      </c>
      <c r="C392" s="18" t="str">
        <f>INDEX(Product!$B:$B,MATCH($B392,Product!$A:$A,0))</f>
        <v>[Merisocks] Vớ nén bắp chân chống suy giãn tĩnh mạch</v>
      </c>
      <c r="D392" t="s">
        <v>2439</v>
      </c>
      <c r="E392" s="18" t="str">
        <f>INDEX('Attribute Definition'!$B:$B,MATCH($D392,'Attribute Definition'!$A:$A,0))</f>
        <v>Vị trí sử dụng trên cơ thể</v>
      </c>
      <c r="F392" s="34" t="s">
        <v>2549</v>
      </c>
    </row>
    <row r="393" spans="1:6" x14ac:dyDescent="0.25">
      <c r="A393" t="s">
        <v>1761</v>
      </c>
      <c r="B393" s="18" t="str">
        <f>INDEX('Product Variant'!$B:$B,MATCH($A393,'Product Variant'!$A:$A,0))</f>
        <v>PRODUCT-00063</v>
      </c>
      <c r="C393" s="18" t="str">
        <f>INDEX(Product!$B:$B,MATCH($B393,Product!$A:$A,0))</f>
        <v>[Merisocks] Vớ nén bắp chân chống suy giãn tĩnh mạch</v>
      </c>
      <c r="D393" t="s">
        <v>2464</v>
      </c>
      <c r="E393" s="18" t="str">
        <f>INDEX('Attribute Definition'!$B:$B,MATCH($D393,'Attribute Definition'!$A:$A,0))</f>
        <v>Màu sắc</v>
      </c>
      <c r="F393" s="34" t="s">
        <v>1160</v>
      </c>
    </row>
    <row r="394" spans="1:6" x14ac:dyDescent="0.25">
      <c r="A394" t="s">
        <v>1761</v>
      </c>
      <c r="B394" s="18" t="str">
        <f>INDEX('Product Variant'!$B:$B,MATCH($A394,'Product Variant'!$A:$A,0))</f>
        <v>PRODUCT-00063</v>
      </c>
      <c r="C394" s="18" t="str">
        <f>INDEX(Product!$B:$B,MATCH($B394,Product!$A:$A,0))</f>
        <v>[Merisocks] Vớ nén bắp chân chống suy giãn tĩnh mạch</v>
      </c>
      <c r="D394" t="s">
        <v>2471</v>
      </c>
      <c r="E394" s="18" t="str">
        <f>INDEX('Attribute Definition'!$B:$B,MATCH($D394,'Attribute Definition'!$A:$A,0))</f>
        <v>Dạng sản phẩm</v>
      </c>
      <c r="F394" s="34" t="s">
        <v>2539</v>
      </c>
    </row>
    <row r="395" spans="1:6" x14ac:dyDescent="0.25">
      <c r="A395" t="s">
        <v>1761</v>
      </c>
      <c r="B395" s="18" t="str">
        <f>INDEX('Product Variant'!$B:$B,MATCH($A395,'Product Variant'!$A:$A,0))</f>
        <v>PRODUCT-00063</v>
      </c>
      <c r="C395" s="18" t="str">
        <f>INDEX(Product!$B:$B,MATCH($B395,Product!$A:$A,0))</f>
        <v>[Merisocks] Vớ nén bắp chân chống suy giãn tĩnh mạch</v>
      </c>
      <c r="D395" t="s">
        <v>2656</v>
      </c>
      <c r="E395" s="18" t="str">
        <f>INDEX('Attribute Definition'!$B:$B,MATCH($D395,'Attribute Definition'!$A:$A,0))</f>
        <v>Kích cỡ</v>
      </c>
      <c r="F395" s="34" t="s">
        <v>1159</v>
      </c>
    </row>
    <row r="396" spans="1:6" x14ac:dyDescent="0.25">
      <c r="A396" t="s">
        <v>1762</v>
      </c>
      <c r="B396" s="18" t="str">
        <f>INDEX('Product Variant'!$B:$B,MATCH($A396,'Product Variant'!$A:$A,0))</f>
        <v>PRODUCT-00063</v>
      </c>
      <c r="C396" s="18" t="str">
        <f>INDEX(Product!$B:$B,MATCH($B396,Product!$A:$A,0))</f>
        <v>[Merisocks] Vớ nén bắp chân chống suy giãn tĩnh mạch</v>
      </c>
      <c r="D396" t="s">
        <v>2439</v>
      </c>
      <c r="E396" s="18" t="str">
        <f>INDEX('Attribute Definition'!$B:$B,MATCH($D396,'Attribute Definition'!$A:$A,0))</f>
        <v>Vị trí sử dụng trên cơ thể</v>
      </c>
      <c r="F396" s="34" t="s">
        <v>2549</v>
      </c>
    </row>
    <row r="397" spans="1:6" x14ac:dyDescent="0.25">
      <c r="A397" t="s">
        <v>1762</v>
      </c>
      <c r="B397" s="18" t="str">
        <f>INDEX('Product Variant'!$B:$B,MATCH($A397,'Product Variant'!$A:$A,0))</f>
        <v>PRODUCT-00063</v>
      </c>
      <c r="C397" s="18" t="str">
        <f>INDEX(Product!$B:$B,MATCH($B397,Product!$A:$A,0))</f>
        <v>[Merisocks] Vớ nén bắp chân chống suy giãn tĩnh mạch</v>
      </c>
      <c r="D397" t="s">
        <v>2464</v>
      </c>
      <c r="E397" s="18" t="str">
        <f>INDEX('Attribute Definition'!$B:$B,MATCH($D397,'Attribute Definition'!$A:$A,0))</f>
        <v>Màu sắc</v>
      </c>
      <c r="F397" s="34" t="s">
        <v>1161</v>
      </c>
    </row>
    <row r="398" spans="1:6" x14ac:dyDescent="0.25">
      <c r="A398" t="s">
        <v>1762</v>
      </c>
      <c r="B398" s="18" t="str">
        <f>INDEX('Product Variant'!$B:$B,MATCH($A398,'Product Variant'!$A:$A,0))</f>
        <v>PRODUCT-00063</v>
      </c>
      <c r="C398" s="18" t="str">
        <f>INDEX(Product!$B:$B,MATCH($B398,Product!$A:$A,0))</f>
        <v>[Merisocks] Vớ nén bắp chân chống suy giãn tĩnh mạch</v>
      </c>
      <c r="D398" t="s">
        <v>2471</v>
      </c>
      <c r="E398" s="18" t="str">
        <f>INDEX('Attribute Definition'!$B:$B,MATCH($D398,'Attribute Definition'!$A:$A,0))</f>
        <v>Dạng sản phẩm</v>
      </c>
      <c r="F398" s="34" t="s">
        <v>2539</v>
      </c>
    </row>
    <row r="399" spans="1:6" x14ac:dyDescent="0.25">
      <c r="A399" t="s">
        <v>1762</v>
      </c>
      <c r="B399" s="18" t="str">
        <f>INDEX('Product Variant'!$B:$B,MATCH($A399,'Product Variant'!$A:$A,0))</f>
        <v>PRODUCT-00063</v>
      </c>
      <c r="C399" s="18" t="str">
        <f>INDEX(Product!$B:$B,MATCH($B399,Product!$A:$A,0))</f>
        <v>[Merisocks] Vớ nén bắp chân chống suy giãn tĩnh mạch</v>
      </c>
      <c r="D399" t="s">
        <v>2656</v>
      </c>
      <c r="E399" s="18" t="str">
        <f>INDEX('Attribute Definition'!$B:$B,MATCH($D399,'Attribute Definition'!$A:$A,0))</f>
        <v>Kích cỡ</v>
      </c>
      <c r="F399" s="34" t="s">
        <v>1155</v>
      </c>
    </row>
    <row r="400" spans="1:6" x14ac:dyDescent="0.25">
      <c r="A400" t="s">
        <v>1763</v>
      </c>
      <c r="B400" s="18" t="str">
        <f>INDEX('Product Variant'!$B:$B,MATCH($A400,'Product Variant'!$A:$A,0))</f>
        <v>PRODUCT-00063</v>
      </c>
      <c r="C400" s="18" t="str">
        <f>INDEX(Product!$B:$B,MATCH($B400,Product!$A:$A,0))</f>
        <v>[Merisocks] Vớ nén bắp chân chống suy giãn tĩnh mạch</v>
      </c>
      <c r="D400" t="s">
        <v>2439</v>
      </c>
      <c r="E400" s="18" t="str">
        <f>INDEX('Attribute Definition'!$B:$B,MATCH($D400,'Attribute Definition'!$A:$A,0))</f>
        <v>Vị trí sử dụng trên cơ thể</v>
      </c>
      <c r="F400" s="34" t="s">
        <v>2549</v>
      </c>
    </row>
    <row r="401" spans="1:6" x14ac:dyDescent="0.25">
      <c r="A401" t="s">
        <v>1763</v>
      </c>
      <c r="B401" s="18" t="str">
        <f>INDEX('Product Variant'!$B:$B,MATCH($A401,'Product Variant'!$A:$A,0))</f>
        <v>PRODUCT-00063</v>
      </c>
      <c r="C401" s="18" t="str">
        <f>INDEX(Product!$B:$B,MATCH($B401,Product!$A:$A,0))</f>
        <v>[Merisocks] Vớ nén bắp chân chống suy giãn tĩnh mạch</v>
      </c>
      <c r="D401" t="s">
        <v>2464</v>
      </c>
      <c r="E401" s="18" t="str">
        <f>INDEX('Attribute Definition'!$B:$B,MATCH($D401,'Attribute Definition'!$A:$A,0))</f>
        <v>Màu sắc</v>
      </c>
      <c r="F401" s="34" t="s">
        <v>1161</v>
      </c>
    </row>
    <row r="402" spans="1:6" x14ac:dyDescent="0.25">
      <c r="A402" t="s">
        <v>1763</v>
      </c>
      <c r="B402" s="18" t="str">
        <f>INDEX('Product Variant'!$B:$B,MATCH($A402,'Product Variant'!$A:$A,0))</f>
        <v>PRODUCT-00063</v>
      </c>
      <c r="C402" s="18" t="str">
        <f>INDEX(Product!$B:$B,MATCH($B402,Product!$A:$A,0))</f>
        <v>[Merisocks] Vớ nén bắp chân chống suy giãn tĩnh mạch</v>
      </c>
      <c r="D402" t="s">
        <v>2471</v>
      </c>
      <c r="E402" s="18" t="str">
        <f>INDEX('Attribute Definition'!$B:$B,MATCH($D402,'Attribute Definition'!$A:$A,0))</f>
        <v>Dạng sản phẩm</v>
      </c>
      <c r="F402" s="34" t="s">
        <v>2539</v>
      </c>
    </row>
    <row r="403" spans="1:6" x14ac:dyDescent="0.25">
      <c r="A403" t="s">
        <v>1763</v>
      </c>
      <c r="B403" s="18" t="str">
        <f>INDEX('Product Variant'!$B:$B,MATCH($A403,'Product Variant'!$A:$A,0))</f>
        <v>PRODUCT-00063</v>
      </c>
      <c r="C403" s="18" t="str">
        <f>INDEX(Product!$B:$B,MATCH($B403,Product!$A:$A,0))</f>
        <v>[Merisocks] Vớ nén bắp chân chống suy giãn tĩnh mạch</v>
      </c>
      <c r="D403" t="s">
        <v>2656</v>
      </c>
      <c r="E403" s="18" t="str">
        <f>INDEX('Attribute Definition'!$B:$B,MATCH($D403,'Attribute Definition'!$A:$A,0))</f>
        <v>Kích cỡ</v>
      </c>
      <c r="F403" s="34" t="s">
        <v>1156</v>
      </c>
    </row>
    <row r="404" spans="1:6" x14ac:dyDescent="0.25">
      <c r="A404" t="s">
        <v>1764</v>
      </c>
      <c r="B404" s="18" t="str">
        <f>INDEX('Product Variant'!$B:$B,MATCH($A404,'Product Variant'!$A:$A,0))</f>
        <v>PRODUCT-00063</v>
      </c>
      <c r="C404" s="18" t="str">
        <f>INDEX(Product!$B:$B,MATCH($B404,Product!$A:$A,0))</f>
        <v>[Merisocks] Vớ nén bắp chân chống suy giãn tĩnh mạch</v>
      </c>
      <c r="D404" t="s">
        <v>2439</v>
      </c>
      <c r="E404" s="18" t="str">
        <f>INDEX('Attribute Definition'!$B:$B,MATCH($D404,'Attribute Definition'!$A:$A,0))</f>
        <v>Vị trí sử dụng trên cơ thể</v>
      </c>
      <c r="F404" s="34" t="s">
        <v>2549</v>
      </c>
    </row>
    <row r="405" spans="1:6" x14ac:dyDescent="0.25">
      <c r="A405" t="s">
        <v>1764</v>
      </c>
      <c r="B405" s="18" t="str">
        <f>INDEX('Product Variant'!$B:$B,MATCH($A405,'Product Variant'!$A:$A,0))</f>
        <v>PRODUCT-00063</v>
      </c>
      <c r="C405" s="18" t="str">
        <f>INDEX(Product!$B:$B,MATCH($B405,Product!$A:$A,0))</f>
        <v>[Merisocks] Vớ nén bắp chân chống suy giãn tĩnh mạch</v>
      </c>
      <c r="D405" t="s">
        <v>2464</v>
      </c>
      <c r="E405" s="18" t="str">
        <f>INDEX('Attribute Definition'!$B:$B,MATCH($D405,'Attribute Definition'!$A:$A,0))</f>
        <v>Màu sắc</v>
      </c>
      <c r="F405" s="34" t="s">
        <v>1161</v>
      </c>
    </row>
    <row r="406" spans="1:6" x14ac:dyDescent="0.25">
      <c r="A406" t="s">
        <v>1764</v>
      </c>
      <c r="B406" s="18" t="str">
        <f>INDEX('Product Variant'!$B:$B,MATCH($A406,'Product Variant'!$A:$A,0))</f>
        <v>PRODUCT-00063</v>
      </c>
      <c r="C406" s="18" t="str">
        <f>INDEX(Product!$B:$B,MATCH($B406,Product!$A:$A,0))</f>
        <v>[Merisocks] Vớ nén bắp chân chống suy giãn tĩnh mạch</v>
      </c>
      <c r="D406" t="s">
        <v>2471</v>
      </c>
      <c r="E406" s="18" t="str">
        <f>INDEX('Attribute Definition'!$B:$B,MATCH($D406,'Attribute Definition'!$A:$A,0))</f>
        <v>Dạng sản phẩm</v>
      </c>
      <c r="F406" s="34" t="s">
        <v>2539</v>
      </c>
    </row>
    <row r="407" spans="1:6" x14ac:dyDescent="0.25">
      <c r="A407" t="s">
        <v>1764</v>
      </c>
      <c r="B407" s="18" t="str">
        <f>INDEX('Product Variant'!$B:$B,MATCH($A407,'Product Variant'!$A:$A,0))</f>
        <v>PRODUCT-00063</v>
      </c>
      <c r="C407" s="18" t="str">
        <f>INDEX(Product!$B:$B,MATCH($B407,Product!$A:$A,0))</f>
        <v>[Merisocks] Vớ nén bắp chân chống suy giãn tĩnh mạch</v>
      </c>
      <c r="D407" t="s">
        <v>2656</v>
      </c>
      <c r="E407" s="18" t="str">
        <f>INDEX('Attribute Definition'!$B:$B,MATCH($D407,'Attribute Definition'!$A:$A,0))</f>
        <v>Kích cỡ</v>
      </c>
      <c r="F407" s="34" t="s">
        <v>1157</v>
      </c>
    </row>
    <row r="408" spans="1:6" x14ac:dyDescent="0.25">
      <c r="A408" t="s">
        <v>1765</v>
      </c>
      <c r="B408" s="18" t="str">
        <f>INDEX('Product Variant'!$B:$B,MATCH($A408,'Product Variant'!$A:$A,0))</f>
        <v>PRODUCT-00063</v>
      </c>
      <c r="C408" s="18" t="str">
        <f>INDEX(Product!$B:$B,MATCH($B408,Product!$A:$A,0))</f>
        <v>[Merisocks] Vớ nén bắp chân chống suy giãn tĩnh mạch</v>
      </c>
      <c r="D408" t="s">
        <v>2439</v>
      </c>
      <c r="E408" s="18" t="str">
        <f>INDEX('Attribute Definition'!$B:$B,MATCH($D408,'Attribute Definition'!$A:$A,0))</f>
        <v>Vị trí sử dụng trên cơ thể</v>
      </c>
      <c r="F408" s="34" t="s">
        <v>2549</v>
      </c>
    </row>
    <row r="409" spans="1:6" x14ac:dyDescent="0.25">
      <c r="A409" t="s">
        <v>1765</v>
      </c>
      <c r="B409" s="18" t="str">
        <f>INDEX('Product Variant'!$B:$B,MATCH($A409,'Product Variant'!$A:$A,0))</f>
        <v>PRODUCT-00063</v>
      </c>
      <c r="C409" s="18" t="str">
        <f>INDEX(Product!$B:$B,MATCH($B409,Product!$A:$A,0))</f>
        <v>[Merisocks] Vớ nén bắp chân chống suy giãn tĩnh mạch</v>
      </c>
      <c r="D409" t="s">
        <v>2464</v>
      </c>
      <c r="E409" s="18" t="str">
        <f>INDEX('Attribute Definition'!$B:$B,MATCH($D409,'Attribute Definition'!$A:$A,0))</f>
        <v>Màu sắc</v>
      </c>
      <c r="F409" s="34" t="s">
        <v>1161</v>
      </c>
    </row>
    <row r="410" spans="1:6" x14ac:dyDescent="0.25">
      <c r="A410" t="s">
        <v>1765</v>
      </c>
      <c r="B410" s="18" t="str">
        <f>INDEX('Product Variant'!$B:$B,MATCH($A410,'Product Variant'!$A:$A,0))</f>
        <v>PRODUCT-00063</v>
      </c>
      <c r="C410" s="18" t="str">
        <f>INDEX(Product!$B:$B,MATCH($B410,Product!$A:$A,0))</f>
        <v>[Merisocks] Vớ nén bắp chân chống suy giãn tĩnh mạch</v>
      </c>
      <c r="D410" t="s">
        <v>2471</v>
      </c>
      <c r="E410" s="18" t="str">
        <f>INDEX('Attribute Definition'!$B:$B,MATCH($D410,'Attribute Definition'!$A:$A,0))</f>
        <v>Dạng sản phẩm</v>
      </c>
      <c r="F410" s="34" t="s">
        <v>2539</v>
      </c>
    </row>
    <row r="411" spans="1:6" x14ac:dyDescent="0.25">
      <c r="A411" t="s">
        <v>1765</v>
      </c>
      <c r="B411" s="18" t="str">
        <f>INDEX('Product Variant'!$B:$B,MATCH($A411,'Product Variant'!$A:$A,0))</f>
        <v>PRODUCT-00063</v>
      </c>
      <c r="C411" s="18" t="str">
        <f>INDEX(Product!$B:$B,MATCH($B411,Product!$A:$A,0))</f>
        <v>[Merisocks] Vớ nén bắp chân chống suy giãn tĩnh mạch</v>
      </c>
      <c r="D411" t="s">
        <v>2656</v>
      </c>
      <c r="E411" s="18" t="str">
        <f>INDEX('Attribute Definition'!$B:$B,MATCH($D411,'Attribute Definition'!$A:$A,0))</f>
        <v>Kích cỡ</v>
      </c>
      <c r="F411" s="34" t="s">
        <v>1159</v>
      </c>
    </row>
    <row r="412" spans="1:6" x14ac:dyDescent="0.25">
      <c r="A412" t="s">
        <v>1766</v>
      </c>
      <c r="B412" s="18" t="str">
        <f>INDEX('Product Variant'!$B:$B,MATCH($A412,'Product Variant'!$A:$A,0))</f>
        <v>PRODUCT-00064</v>
      </c>
      <c r="C412" s="18" t="str">
        <f>INDEX(Product!$B:$B,MATCH($B412,Product!$A:$A,0))</f>
        <v>[Omron] Máy massage xung điện trị liệu - HV-F013</v>
      </c>
      <c r="D412" t="s">
        <v>2471</v>
      </c>
      <c r="E412" s="18" t="str">
        <f>INDEX('Attribute Definition'!$B:$B,MATCH($D412,'Attribute Definition'!$A:$A,0))</f>
        <v>Dạng sản phẩm</v>
      </c>
      <c r="F412" s="34" t="s">
        <v>2481</v>
      </c>
    </row>
    <row r="413" spans="1:6" x14ac:dyDescent="0.25">
      <c r="A413" t="s">
        <v>1767</v>
      </c>
      <c r="B413" s="18" t="str">
        <f>INDEX('Product Variant'!$B:$B,MATCH($A413,'Product Variant'!$A:$A,0))</f>
        <v>PRODUCT-00065</v>
      </c>
      <c r="C413" s="18" t="str">
        <f>INDEX(Product!$B:$B,MATCH($B413,Product!$A:$A,0))</f>
        <v>[Omron] Máy massage xung điện trị liệu - HV-F127</v>
      </c>
      <c r="D413" t="s">
        <v>2471</v>
      </c>
      <c r="E413" s="18" t="str">
        <f>INDEX('Attribute Definition'!$B:$B,MATCH($D413,'Attribute Definition'!$A:$A,0))</f>
        <v>Dạng sản phẩm</v>
      </c>
      <c r="F413" s="34" t="s">
        <v>2481</v>
      </c>
    </row>
    <row r="414" spans="1:6" x14ac:dyDescent="0.25">
      <c r="A414" t="s">
        <v>1768</v>
      </c>
      <c r="B414" s="18" t="str">
        <f>INDEX('Product Variant'!$B:$B,MATCH($A414,'Product Variant'!$A:$A,0))</f>
        <v>PRODUCT-00066</v>
      </c>
      <c r="C414" s="18" t="str">
        <f>INDEX(Product!$B:$B,MATCH($B414,Product!$A:$A,0))</f>
        <v>[Omron] Máy massage xung điện trị liệu - HV-F128</v>
      </c>
      <c r="D414" t="s">
        <v>2471</v>
      </c>
      <c r="E414" s="18" t="str">
        <f>INDEX('Attribute Definition'!$B:$B,MATCH($D414,'Attribute Definition'!$A:$A,0))</f>
        <v>Dạng sản phẩm</v>
      </c>
      <c r="F414" s="34" t="s">
        <v>2481</v>
      </c>
    </row>
    <row r="415" spans="1:6" x14ac:dyDescent="0.25">
      <c r="A415" t="s">
        <v>1769</v>
      </c>
      <c r="B415" s="18" t="str">
        <f>INDEX('Product Variant'!$B:$B,MATCH($A415,'Product Variant'!$A:$A,0))</f>
        <v>PRODUCT-00067</v>
      </c>
      <c r="C415" s="18" t="str">
        <f>INDEX(Product!$B:$B,MATCH($B415,Product!$A:$A,0))</f>
        <v>[Omron] Miếng dán điện cực máy massage xung điện - Long Life Pad HV-LLPAD-C1</v>
      </c>
      <c r="D415" t="s">
        <v>2471</v>
      </c>
      <c r="E415" s="18" t="str">
        <f>INDEX('Attribute Definition'!$B:$B,MATCH($D415,'Attribute Definition'!$A:$A,0))</f>
        <v>Dạng sản phẩm</v>
      </c>
      <c r="F415" s="34" t="s">
        <v>2486</v>
      </c>
    </row>
    <row r="416" spans="1:6" x14ac:dyDescent="0.25">
      <c r="A416" t="s">
        <v>1770</v>
      </c>
      <c r="B416" s="18" t="str">
        <f>INDEX('Product Variant'!$B:$B,MATCH($A416,'Product Variant'!$A:$A,0))</f>
        <v>PRODUCT-00068</v>
      </c>
      <c r="C416" s="18" t="str">
        <f>INDEX(Product!$B:$B,MATCH($B416,Product!$A:$A,0))</f>
        <v>[Orbe] Đai chống gù lưng</v>
      </c>
      <c r="D416" t="s">
        <v>2439</v>
      </c>
      <c r="E416" s="18" t="str">
        <f>INDEX('Attribute Definition'!$B:$B,MATCH($D416,'Attribute Definition'!$A:$A,0))</f>
        <v>Vị trí sử dụng trên cơ thể</v>
      </c>
      <c r="F416" s="34" t="s">
        <v>2537</v>
      </c>
    </row>
    <row r="417" spans="1:6" x14ac:dyDescent="0.25">
      <c r="A417" t="s">
        <v>1770</v>
      </c>
      <c r="B417" s="18" t="str">
        <f>INDEX('Product Variant'!$B:$B,MATCH($A417,'Product Variant'!$A:$A,0))</f>
        <v>PRODUCT-00068</v>
      </c>
      <c r="C417" s="18" t="str">
        <f>INDEX(Product!$B:$B,MATCH($B417,Product!$A:$A,0))</f>
        <v>[Orbe] Đai chống gù lưng</v>
      </c>
      <c r="D417" t="s">
        <v>2471</v>
      </c>
      <c r="E417" s="18" t="str">
        <f>INDEX('Attribute Definition'!$B:$B,MATCH($D417,'Attribute Definition'!$A:$A,0))</f>
        <v>Dạng sản phẩm</v>
      </c>
      <c r="F417" s="34" t="s">
        <v>2536</v>
      </c>
    </row>
    <row r="418" spans="1:6" x14ac:dyDescent="0.25">
      <c r="A418" t="s">
        <v>1770</v>
      </c>
      <c r="B418" s="18" t="str">
        <f>INDEX('Product Variant'!$B:$B,MATCH($A418,'Product Variant'!$A:$A,0))</f>
        <v>PRODUCT-00068</v>
      </c>
      <c r="C418" s="18" t="str">
        <f>INDEX(Product!$B:$B,MATCH($B418,Product!$A:$A,0))</f>
        <v>[Orbe] Đai chống gù lưng</v>
      </c>
      <c r="D418" t="s">
        <v>2656</v>
      </c>
      <c r="E418" s="18" t="str">
        <f>INDEX('Attribute Definition'!$B:$B,MATCH($D418,'Attribute Definition'!$A:$A,0))</f>
        <v>Kích cỡ</v>
      </c>
      <c r="F418" s="34" t="s">
        <v>1162</v>
      </c>
    </row>
    <row r="419" spans="1:6" x14ac:dyDescent="0.25">
      <c r="A419" t="s">
        <v>1771</v>
      </c>
      <c r="B419" s="18" t="str">
        <f>INDEX('Product Variant'!$B:$B,MATCH($A419,'Product Variant'!$A:$A,0))</f>
        <v>PRODUCT-00068</v>
      </c>
      <c r="C419" s="18" t="str">
        <f>INDEX(Product!$B:$B,MATCH($B419,Product!$A:$A,0))</f>
        <v>[Orbe] Đai chống gù lưng</v>
      </c>
      <c r="D419" t="s">
        <v>2439</v>
      </c>
      <c r="E419" s="18" t="str">
        <f>INDEX('Attribute Definition'!$B:$B,MATCH($D419,'Attribute Definition'!$A:$A,0))</f>
        <v>Vị trí sử dụng trên cơ thể</v>
      </c>
      <c r="F419" s="34" t="s">
        <v>2537</v>
      </c>
    </row>
    <row r="420" spans="1:6" x14ac:dyDescent="0.25">
      <c r="A420" t="s">
        <v>1771</v>
      </c>
      <c r="B420" s="18" t="str">
        <f>INDEX('Product Variant'!$B:$B,MATCH($A420,'Product Variant'!$A:$A,0))</f>
        <v>PRODUCT-00068</v>
      </c>
      <c r="C420" s="18" t="str">
        <f>INDEX(Product!$B:$B,MATCH($B420,Product!$A:$A,0))</f>
        <v>[Orbe] Đai chống gù lưng</v>
      </c>
      <c r="D420" t="s">
        <v>2471</v>
      </c>
      <c r="E420" s="18" t="str">
        <f>INDEX('Attribute Definition'!$B:$B,MATCH($D420,'Attribute Definition'!$A:$A,0))</f>
        <v>Dạng sản phẩm</v>
      </c>
      <c r="F420" s="34" t="s">
        <v>2536</v>
      </c>
    </row>
    <row r="421" spans="1:6" x14ac:dyDescent="0.25">
      <c r="A421" t="s">
        <v>1771</v>
      </c>
      <c r="B421" s="18" t="str">
        <f>INDEX('Product Variant'!$B:$B,MATCH($A421,'Product Variant'!$A:$A,0))</f>
        <v>PRODUCT-00068</v>
      </c>
      <c r="C421" s="18" t="str">
        <f>INDEX(Product!$B:$B,MATCH($B421,Product!$A:$A,0))</f>
        <v>[Orbe] Đai chống gù lưng</v>
      </c>
      <c r="D421" t="s">
        <v>2656</v>
      </c>
      <c r="E421" s="18" t="str">
        <f>INDEX('Attribute Definition'!$B:$B,MATCH($D421,'Attribute Definition'!$A:$A,0))</f>
        <v>Kích cỡ</v>
      </c>
      <c r="F421" s="34" t="s">
        <v>1155</v>
      </c>
    </row>
    <row r="422" spans="1:6" x14ac:dyDescent="0.25">
      <c r="A422" t="s">
        <v>1772</v>
      </c>
      <c r="B422" s="18" t="str">
        <f>INDEX('Product Variant'!$B:$B,MATCH($A422,'Product Variant'!$A:$A,0))</f>
        <v>PRODUCT-00068</v>
      </c>
      <c r="C422" s="18" t="str">
        <f>INDEX(Product!$B:$B,MATCH($B422,Product!$A:$A,0))</f>
        <v>[Orbe] Đai chống gù lưng</v>
      </c>
      <c r="D422" t="s">
        <v>2439</v>
      </c>
      <c r="E422" s="18" t="str">
        <f>INDEX('Attribute Definition'!$B:$B,MATCH($D422,'Attribute Definition'!$A:$A,0))</f>
        <v>Vị trí sử dụng trên cơ thể</v>
      </c>
      <c r="F422" s="34" t="s">
        <v>2537</v>
      </c>
    </row>
    <row r="423" spans="1:6" x14ac:dyDescent="0.25">
      <c r="A423" t="s">
        <v>1772</v>
      </c>
      <c r="B423" s="18" t="str">
        <f>INDEX('Product Variant'!$B:$B,MATCH($A423,'Product Variant'!$A:$A,0))</f>
        <v>PRODUCT-00068</v>
      </c>
      <c r="C423" s="18" t="str">
        <f>INDEX(Product!$B:$B,MATCH($B423,Product!$A:$A,0))</f>
        <v>[Orbe] Đai chống gù lưng</v>
      </c>
      <c r="D423" t="s">
        <v>2471</v>
      </c>
      <c r="E423" s="18" t="str">
        <f>INDEX('Attribute Definition'!$B:$B,MATCH($D423,'Attribute Definition'!$A:$A,0))</f>
        <v>Dạng sản phẩm</v>
      </c>
      <c r="F423" s="34" t="s">
        <v>2536</v>
      </c>
    </row>
    <row r="424" spans="1:6" x14ac:dyDescent="0.25">
      <c r="A424" t="s">
        <v>1772</v>
      </c>
      <c r="B424" s="18" t="str">
        <f>INDEX('Product Variant'!$B:$B,MATCH($A424,'Product Variant'!$A:$A,0))</f>
        <v>PRODUCT-00068</v>
      </c>
      <c r="C424" s="18" t="str">
        <f>INDEX(Product!$B:$B,MATCH($B424,Product!$A:$A,0))</f>
        <v>[Orbe] Đai chống gù lưng</v>
      </c>
      <c r="D424" t="s">
        <v>2656</v>
      </c>
      <c r="E424" s="18" t="str">
        <f>INDEX('Attribute Definition'!$B:$B,MATCH($D424,'Attribute Definition'!$A:$A,0))</f>
        <v>Kích cỡ</v>
      </c>
      <c r="F424" s="34" t="s">
        <v>1156</v>
      </c>
    </row>
    <row r="425" spans="1:6" x14ac:dyDescent="0.25">
      <c r="A425" t="s">
        <v>1773</v>
      </c>
      <c r="B425" s="18" t="str">
        <f>INDEX('Product Variant'!$B:$B,MATCH($A425,'Product Variant'!$A:$A,0))</f>
        <v>PRODUCT-00068</v>
      </c>
      <c r="C425" s="18" t="str">
        <f>INDEX(Product!$B:$B,MATCH($B425,Product!$A:$A,0))</f>
        <v>[Orbe] Đai chống gù lưng</v>
      </c>
      <c r="D425" t="s">
        <v>2439</v>
      </c>
      <c r="E425" s="18" t="str">
        <f>INDEX('Attribute Definition'!$B:$B,MATCH($D425,'Attribute Definition'!$A:$A,0))</f>
        <v>Vị trí sử dụng trên cơ thể</v>
      </c>
      <c r="F425" s="34" t="s">
        <v>2537</v>
      </c>
    </row>
    <row r="426" spans="1:6" x14ac:dyDescent="0.25">
      <c r="A426" t="s">
        <v>1773</v>
      </c>
      <c r="B426" s="18" t="str">
        <f>INDEX('Product Variant'!$B:$B,MATCH($A426,'Product Variant'!$A:$A,0))</f>
        <v>PRODUCT-00068</v>
      </c>
      <c r="C426" s="18" t="str">
        <f>INDEX(Product!$B:$B,MATCH($B426,Product!$A:$A,0))</f>
        <v>[Orbe] Đai chống gù lưng</v>
      </c>
      <c r="D426" t="s">
        <v>2471</v>
      </c>
      <c r="E426" s="18" t="str">
        <f>INDEX('Attribute Definition'!$B:$B,MATCH($D426,'Attribute Definition'!$A:$A,0))</f>
        <v>Dạng sản phẩm</v>
      </c>
      <c r="F426" s="34" t="s">
        <v>2536</v>
      </c>
    </row>
    <row r="427" spans="1:6" x14ac:dyDescent="0.25">
      <c r="A427" t="s">
        <v>1773</v>
      </c>
      <c r="B427" s="18" t="str">
        <f>INDEX('Product Variant'!$B:$B,MATCH($A427,'Product Variant'!$A:$A,0))</f>
        <v>PRODUCT-00068</v>
      </c>
      <c r="C427" s="18" t="str">
        <f>INDEX(Product!$B:$B,MATCH($B427,Product!$A:$A,0))</f>
        <v>[Orbe] Đai chống gù lưng</v>
      </c>
      <c r="D427" t="s">
        <v>2656</v>
      </c>
      <c r="E427" s="18" t="str">
        <f>INDEX('Attribute Definition'!$B:$B,MATCH($D427,'Attribute Definition'!$A:$A,0))</f>
        <v>Kích cỡ</v>
      </c>
      <c r="F427" s="34" t="s">
        <v>1157</v>
      </c>
    </row>
    <row r="428" spans="1:6" x14ac:dyDescent="0.25">
      <c r="A428" t="s">
        <v>1774</v>
      </c>
      <c r="B428" s="18" t="str">
        <f>INDEX('Product Variant'!$B:$B,MATCH($A428,'Product Variant'!$A:$A,0))</f>
        <v>PRODUCT-00068</v>
      </c>
      <c r="C428" s="18" t="str">
        <f>INDEX(Product!$B:$B,MATCH($B428,Product!$A:$A,0))</f>
        <v>[Orbe] Đai chống gù lưng</v>
      </c>
      <c r="D428" t="s">
        <v>2439</v>
      </c>
      <c r="E428" s="18" t="str">
        <f>INDEX('Attribute Definition'!$B:$B,MATCH($D428,'Attribute Definition'!$A:$A,0))</f>
        <v>Vị trí sử dụng trên cơ thể</v>
      </c>
      <c r="F428" s="34" t="s">
        <v>2537</v>
      </c>
    </row>
    <row r="429" spans="1:6" x14ac:dyDescent="0.25">
      <c r="A429" t="s">
        <v>1774</v>
      </c>
      <c r="B429" s="18" t="str">
        <f>INDEX('Product Variant'!$B:$B,MATCH($A429,'Product Variant'!$A:$A,0))</f>
        <v>PRODUCT-00068</v>
      </c>
      <c r="C429" s="18" t="str">
        <f>INDEX(Product!$B:$B,MATCH($B429,Product!$A:$A,0))</f>
        <v>[Orbe] Đai chống gù lưng</v>
      </c>
      <c r="D429" t="s">
        <v>2471</v>
      </c>
      <c r="E429" s="18" t="str">
        <f>INDEX('Attribute Definition'!$B:$B,MATCH($D429,'Attribute Definition'!$A:$A,0))</f>
        <v>Dạng sản phẩm</v>
      </c>
      <c r="F429" s="34" t="s">
        <v>2536</v>
      </c>
    </row>
    <row r="430" spans="1:6" x14ac:dyDescent="0.25">
      <c r="A430" t="s">
        <v>1774</v>
      </c>
      <c r="B430" s="18" t="str">
        <f>INDEX('Product Variant'!$B:$B,MATCH($A430,'Product Variant'!$A:$A,0))</f>
        <v>PRODUCT-00068</v>
      </c>
      <c r="C430" s="18" t="str">
        <f>INDEX(Product!$B:$B,MATCH($B430,Product!$A:$A,0))</f>
        <v>[Orbe] Đai chống gù lưng</v>
      </c>
      <c r="D430" t="s">
        <v>2656</v>
      </c>
      <c r="E430" s="18" t="str">
        <f>INDEX('Attribute Definition'!$B:$B,MATCH($D430,'Attribute Definition'!$A:$A,0))</f>
        <v>Kích cỡ</v>
      </c>
      <c r="F430" s="34" t="s">
        <v>1158</v>
      </c>
    </row>
    <row r="431" spans="1:6" x14ac:dyDescent="0.25">
      <c r="A431" t="s">
        <v>1775</v>
      </c>
      <c r="B431" s="18" t="str">
        <f>INDEX('Product Variant'!$B:$B,MATCH($A431,'Product Variant'!$A:$A,0))</f>
        <v>PRODUCT-00069</v>
      </c>
      <c r="C431" s="18" t="str">
        <f>INDEX(Product!$B:$B,MATCH($B431,Product!$A:$A,0))</f>
        <v>[Orbe] Đai thắt lưng cột sống cao cấp - Olumba</v>
      </c>
      <c r="D431" t="s">
        <v>2439</v>
      </c>
      <c r="E431" s="18" t="str">
        <f>INDEX('Attribute Definition'!$B:$B,MATCH($D431,'Attribute Definition'!$A:$A,0))</f>
        <v>Vị trí sử dụng trên cơ thể</v>
      </c>
      <c r="F431" s="34" t="s">
        <v>2537</v>
      </c>
    </row>
    <row r="432" spans="1:6" x14ac:dyDescent="0.25">
      <c r="A432" t="s">
        <v>1775</v>
      </c>
      <c r="B432" s="18" t="str">
        <f>INDEX('Product Variant'!$B:$B,MATCH($A432,'Product Variant'!$A:$A,0))</f>
        <v>PRODUCT-00069</v>
      </c>
      <c r="C432" s="18" t="str">
        <f>INDEX(Product!$B:$B,MATCH($B432,Product!$A:$A,0))</f>
        <v>[Orbe] Đai thắt lưng cột sống cao cấp - Olumba</v>
      </c>
      <c r="D432" t="s">
        <v>2471</v>
      </c>
      <c r="E432" s="18" t="str">
        <f>INDEX('Attribute Definition'!$B:$B,MATCH($D432,'Attribute Definition'!$A:$A,0))</f>
        <v>Dạng sản phẩm</v>
      </c>
      <c r="F432" s="34" t="s">
        <v>2536</v>
      </c>
    </row>
    <row r="433" spans="1:6" x14ac:dyDescent="0.25">
      <c r="A433" t="s">
        <v>1775</v>
      </c>
      <c r="B433" s="18" t="str">
        <f>INDEX('Product Variant'!$B:$B,MATCH($A433,'Product Variant'!$A:$A,0))</f>
        <v>PRODUCT-00069</v>
      </c>
      <c r="C433" s="18" t="str">
        <f>INDEX(Product!$B:$B,MATCH($B433,Product!$A:$A,0))</f>
        <v>[Orbe] Đai thắt lưng cột sống cao cấp - Olumba</v>
      </c>
      <c r="D433" t="s">
        <v>2656</v>
      </c>
      <c r="E433" s="18" t="str">
        <f>INDEX('Attribute Definition'!$B:$B,MATCH($D433,'Attribute Definition'!$A:$A,0))</f>
        <v>Kích cỡ</v>
      </c>
      <c r="F433" s="34" t="s">
        <v>1155</v>
      </c>
    </row>
    <row r="434" spans="1:6" x14ac:dyDescent="0.25">
      <c r="A434" t="s">
        <v>1776</v>
      </c>
      <c r="B434" s="18" t="str">
        <f>INDEX('Product Variant'!$B:$B,MATCH($A434,'Product Variant'!$A:$A,0))</f>
        <v>PRODUCT-00069</v>
      </c>
      <c r="C434" s="18" t="str">
        <f>INDEX(Product!$B:$B,MATCH($B434,Product!$A:$A,0))</f>
        <v>[Orbe] Đai thắt lưng cột sống cao cấp - Olumba</v>
      </c>
      <c r="D434" t="s">
        <v>2439</v>
      </c>
      <c r="E434" s="18" t="str">
        <f>INDEX('Attribute Definition'!$B:$B,MATCH($D434,'Attribute Definition'!$A:$A,0))</f>
        <v>Vị trí sử dụng trên cơ thể</v>
      </c>
      <c r="F434" s="34" t="s">
        <v>2537</v>
      </c>
    </row>
    <row r="435" spans="1:6" x14ac:dyDescent="0.25">
      <c r="A435" t="s">
        <v>1776</v>
      </c>
      <c r="B435" s="18" t="str">
        <f>INDEX('Product Variant'!$B:$B,MATCH($A435,'Product Variant'!$A:$A,0))</f>
        <v>PRODUCT-00069</v>
      </c>
      <c r="C435" s="18" t="str">
        <f>INDEX(Product!$B:$B,MATCH($B435,Product!$A:$A,0))</f>
        <v>[Orbe] Đai thắt lưng cột sống cao cấp - Olumba</v>
      </c>
      <c r="D435" t="s">
        <v>2471</v>
      </c>
      <c r="E435" s="18" t="str">
        <f>INDEX('Attribute Definition'!$B:$B,MATCH($D435,'Attribute Definition'!$A:$A,0))</f>
        <v>Dạng sản phẩm</v>
      </c>
      <c r="F435" s="34" t="s">
        <v>2536</v>
      </c>
    </row>
    <row r="436" spans="1:6" x14ac:dyDescent="0.25">
      <c r="A436" t="s">
        <v>1776</v>
      </c>
      <c r="B436" s="18" t="str">
        <f>INDEX('Product Variant'!$B:$B,MATCH($A436,'Product Variant'!$A:$A,0))</f>
        <v>PRODUCT-00069</v>
      </c>
      <c r="C436" s="18" t="str">
        <f>INDEX(Product!$B:$B,MATCH($B436,Product!$A:$A,0))</f>
        <v>[Orbe] Đai thắt lưng cột sống cao cấp - Olumba</v>
      </c>
      <c r="D436" t="s">
        <v>2656</v>
      </c>
      <c r="E436" s="18" t="str">
        <f>INDEX('Attribute Definition'!$B:$B,MATCH($D436,'Attribute Definition'!$A:$A,0))</f>
        <v>Kích cỡ</v>
      </c>
      <c r="F436" s="34" t="s">
        <v>1156</v>
      </c>
    </row>
    <row r="437" spans="1:6" x14ac:dyDescent="0.25">
      <c r="A437" t="s">
        <v>1777</v>
      </c>
      <c r="B437" s="18" t="str">
        <f>INDEX('Product Variant'!$B:$B,MATCH($A437,'Product Variant'!$A:$A,0))</f>
        <v>PRODUCT-00069</v>
      </c>
      <c r="C437" s="18" t="str">
        <f>INDEX(Product!$B:$B,MATCH($B437,Product!$A:$A,0))</f>
        <v>[Orbe] Đai thắt lưng cột sống cao cấp - Olumba</v>
      </c>
      <c r="D437" t="s">
        <v>2439</v>
      </c>
      <c r="E437" s="18" t="str">
        <f>INDEX('Attribute Definition'!$B:$B,MATCH($D437,'Attribute Definition'!$A:$A,0))</f>
        <v>Vị trí sử dụng trên cơ thể</v>
      </c>
      <c r="F437" s="34" t="s">
        <v>2537</v>
      </c>
    </row>
    <row r="438" spans="1:6" x14ac:dyDescent="0.25">
      <c r="A438" t="s">
        <v>1777</v>
      </c>
      <c r="B438" s="18" t="str">
        <f>INDEX('Product Variant'!$B:$B,MATCH($A438,'Product Variant'!$A:$A,0))</f>
        <v>PRODUCT-00069</v>
      </c>
      <c r="C438" s="18" t="str">
        <f>INDEX(Product!$B:$B,MATCH($B438,Product!$A:$A,0))</f>
        <v>[Orbe] Đai thắt lưng cột sống cao cấp - Olumba</v>
      </c>
      <c r="D438" t="s">
        <v>2471</v>
      </c>
      <c r="E438" s="18" t="str">
        <f>INDEX('Attribute Definition'!$B:$B,MATCH($D438,'Attribute Definition'!$A:$A,0))</f>
        <v>Dạng sản phẩm</v>
      </c>
      <c r="F438" s="34" t="s">
        <v>2536</v>
      </c>
    </row>
    <row r="439" spans="1:6" x14ac:dyDescent="0.25">
      <c r="A439" t="s">
        <v>1777</v>
      </c>
      <c r="B439" s="18" t="str">
        <f>INDEX('Product Variant'!$B:$B,MATCH($A439,'Product Variant'!$A:$A,0))</f>
        <v>PRODUCT-00069</v>
      </c>
      <c r="C439" s="18" t="str">
        <f>INDEX(Product!$B:$B,MATCH($B439,Product!$A:$A,0))</f>
        <v>[Orbe] Đai thắt lưng cột sống cao cấp - Olumba</v>
      </c>
      <c r="D439" t="s">
        <v>2656</v>
      </c>
      <c r="E439" s="18" t="str">
        <f>INDEX('Attribute Definition'!$B:$B,MATCH($D439,'Attribute Definition'!$A:$A,0))</f>
        <v>Kích cỡ</v>
      </c>
      <c r="F439" s="34" t="s">
        <v>1157</v>
      </c>
    </row>
    <row r="440" spans="1:6" x14ac:dyDescent="0.25">
      <c r="A440" t="s">
        <v>1778</v>
      </c>
      <c r="B440" s="18" t="str">
        <f>INDEX('Product Variant'!$B:$B,MATCH($A440,'Product Variant'!$A:$A,0))</f>
        <v>PRODUCT-00069</v>
      </c>
      <c r="C440" s="18" t="str">
        <f>INDEX(Product!$B:$B,MATCH($B440,Product!$A:$A,0))</f>
        <v>[Orbe] Đai thắt lưng cột sống cao cấp - Olumba</v>
      </c>
      <c r="D440" t="s">
        <v>2439</v>
      </c>
      <c r="E440" s="18" t="str">
        <f>INDEX('Attribute Definition'!$B:$B,MATCH($D440,'Attribute Definition'!$A:$A,0))</f>
        <v>Vị trí sử dụng trên cơ thể</v>
      </c>
      <c r="F440" s="34" t="s">
        <v>2537</v>
      </c>
    </row>
    <row r="441" spans="1:6" x14ac:dyDescent="0.25">
      <c r="A441" t="s">
        <v>1778</v>
      </c>
      <c r="B441" s="18" t="str">
        <f>INDEX('Product Variant'!$B:$B,MATCH($A441,'Product Variant'!$A:$A,0))</f>
        <v>PRODUCT-00069</v>
      </c>
      <c r="C441" s="18" t="str">
        <f>INDEX(Product!$B:$B,MATCH($B441,Product!$A:$A,0))</f>
        <v>[Orbe] Đai thắt lưng cột sống cao cấp - Olumba</v>
      </c>
      <c r="D441" t="s">
        <v>2471</v>
      </c>
      <c r="E441" s="18" t="str">
        <f>INDEX('Attribute Definition'!$B:$B,MATCH($D441,'Attribute Definition'!$A:$A,0))</f>
        <v>Dạng sản phẩm</v>
      </c>
      <c r="F441" s="34" t="s">
        <v>2536</v>
      </c>
    </row>
    <row r="442" spans="1:6" x14ac:dyDescent="0.25">
      <c r="A442" t="s">
        <v>1778</v>
      </c>
      <c r="B442" s="18" t="str">
        <f>INDEX('Product Variant'!$B:$B,MATCH($A442,'Product Variant'!$A:$A,0))</f>
        <v>PRODUCT-00069</v>
      </c>
      <c r="C442" s="18" t="str">
        <f>INDEX(Product!$B:$B,MATCH($B442,Product!$A:$A,0))</f>
        <v>[Orbe] Đai thắt lưng cột sống cao cấp - Olumba</v>
      </c>
      <c r="D442" t="s">
        <v>2656</v>
      </c>
      <c r="E442" s="18" t="str">
        <f>INDEX('Attribute Definition'!$B:$B,MATCH($D442,'Attribute Definition'!$A:$A,0))</f>
        <v>Kích cỡ</v>
      </c>
      <c r="F442" s="34" t="s">
        <v>1158</v>
      </c>
    </row>
    <row r="443" spans="1:6" x14ac:dyDescent="0.25">
      <c r="A443" t="s">
        <v>1779</v>
      </c>
      <c r="B443" s="18" t="str">
        <f>INDEX('Product Variant'!$B:$B,MATCH($A443,'Product Variant'!$A:$A,0))</f>
        <v>PRODUCT-00069</v>
      </c>
      <c r="C443" s="18" t="str">
        <f>INDEX(Product!$B:$B,MATCH($B443,Product!$A:$A,0))</f>
        <v>[Orbe] Đai thắt lưng cột sống cao cấp - Olumba</v>
      </c>
      <c r="D443" t="s">
        <v>2439</v>
      </c>
      <c r="E443" s="18" t="str">
        <f>INDEX('Attribute Definition'!$B:$B,MATCH($D443,'Attribute Definition'!$A:$A,0))</f>
        <v>Vị trí sử dụng trên cơ thể</v>
      </c>
      <c r="F443" s="34" t="s">
        <v>2537</v>
      </c>
    </row>
    <row r="444" spans="1:6" x14ac:dyDescent="0.25">
      <c r="A444" t="s">
        <v>1779</v>
      </c>
      <c r="B444" s="18" t="str">
        <f>INDEX('Product Variant'!$B:$B,MATCH($A444,'Product Variant'!$A:$A,0))</f>
        <v>PRODUCT-00069</v>
      </c>
      <c r="C444" s="18" t="str">
        <f>INDEX(Product!$B:$B,MATCH($B444,Product!$A:$A,0))</f>
        <v>[Orbe] Đai thắt lưng cột sống cao cấp - Olumba</v>
      </c>
      <c r="D444" t="s">
        <v>2471</v>
      </c>
      <c r="E444" s="18" t="str">
        <f>INDEX('Attribute Definition'!$B:$B,MATCH($D444,'Attribute Definition'!$A:$A,0))</f>
        <v>Dạng sản phẩm</v>
      </c>
      <c r="F444" s="34" t="s">
        <v>2536</v>
      </c>
    </row>
    <row r="445" spans="1:6" x14ac:dyDescent="0.25">
      <c r="A445" t="s">
        <v>1779</v>
      </c>
      <c r="B445" s="18" t="str">
        <f>INDEX('Product Variant'!$B:$B,MATCH($A445,'Product Variant'!$A:$A,0))</f>
        <v>PRODUCT-00069</v>
      </c>
      <c r="C445" s="18" t="str">
        <f>INDEX(Product!$B:$B,MATCH($B445,Product!$A:$A,0))</f>
        <v>[Orbe] Đai thắt lưng cột sống cao cấp - Olumba</v>
      </c>
      <c r="D445" t="s">
        <v>2656</v>
      </c>
      <c r="E445" s="18" t="str">
        <f>INDEX('Attribute Definition'!$B:$B,MATCH($D445,'Attribute Definition'!$A:$A,0))</f>
        <v>Kích cỡ</v>
      </c>
      <c r="F445" s="34" t="s">
        <v>1163</v>
      </c>
    </row>
    <row r="446" spans="1:6" x14ac:dyDescent="0.25">
      <c r="A446" t="s">
        <v>1780</v>
      </c>
      <c r="B446" s="18" t="str">
        <f>INDEX('Product Variant'!$B:$B,MATCH($A446,'Product Variant'!$A:$A,0))</f>
        <v>PRODUCT-00070</v>
      </c>
      <c r="C446" s="18" t="str">
        <f>INDEX(Product!$B:$B,MATCH($B446,Product!$A:$A,0))</f>
        <v>[Timelock] Găng tay robot phục hồi chức năng bàn tay (Bên trái)</v>
      </c>
      <c r="D446" t="s">
        <v>2439</v>
      </c>
      <c r="E446" s="18" t="str">
        <f>INDEX('Attribute Definition'!$B:$B,MATCH($D446,'Attribute Definition'!$A:$A,0))</f>
        <v>Vị trí sử dụng trên cơ thể</v>
      </c>
      <c r="F446" s="34" t="s">
        <v>2550</v>
      </c>
    </row>
    <row r="447" spans="1:6" x14ac:dyDescent="0.25">
      <c r="A447" t="s">
        <v>1780</v>
      </c>
      <c r="B447" s="18" t="str">
        <f>INDEX('Product Variant'!$B:$B,MATCH($A447,'Product Variant'!$A:$A,0))</f>
        <v>PRODUCT-00070</v>
      </c>
      <c r="C447" s="18" t="str">
        <f>INDEX(Product!$B:$B,MATCH($B447,Product!$A:$A,0))</f>
        <v>[Timelock] Găng tay robot phục hồi chức năng bàn tay (Bên trái)</v>
      </c>
      <c r="D447" t="s">
        <v>2444</v>
      </c>
      <c r="E447" s="18" t="str">
        <f>INDEX('Attribute Definition'!$B:$B,MATCH($D447,'Attribute Definition'!$A:$A,0))</f>
        <v>Bên</v>
      </c>
      <c r="F447" s="34" t="s">
        <v>2551</v>
      </c>
    </row>
    <row r="448" spans="1:6" x14ac:dyDescent="0.25">
      <c r="A448" t="s">
        <v>1780</v>
      </c>
      <c r="B448" s="18" t="str">
        <f>INDEX('Product Variant'!$B:$B,MATCH($A448,'Product Variant'!$A:$A,0))</f>
        <v>PRODUCT-00070</v>
      </c>
      <c r="C448" s="18" t="str">
        <f>INDEX(Product!$B:$B,MATCH($B448,Product!$A:$A,0))</f>
        <v>[Timelock] Găng tay robot phục hồi chức năng bàn tay (Bên trái)</v>
      </c>
      <c r="D448" t="s">
        <v>2471</v>
      </c>
      <c r="E448" s="18" t="str">
        <f>INDEX('Attribute Definition'!$B:$B,MATCH($D448,'Attribute Definition'!$A:$A,0))</f>
        <v>Dạng sản phẩm</v>
      </c>
      <c r="F448" s="34" t="s">
        <v>2481</v>
      </c>
    </row>
    <row r="449" spans="1:6" x14ac:dyDescent="0.25">
      <c r="A449" t="s">
        <v>1780</v>
      </c>
      <c r="B449" s="18" t="str">
        <f>INDEX('Product Variant'!$B:$B,MATCH($A449,'Product Variant'!$A:$A,0))</f>
        <v>PRODUCT-00070</v>
      </c>
      <c r="C449" s="18" t="str">
        <f>INDEX(Product!$B:$B,MATCH($B449,Product!$A:$A,0))</f>
        <v>[Timelock] Găng tay robot phục hồi chức năng bàn tay (Bên trái)</v>
      </c>
      <c r="D449" t="s">
        <v>2656</v>
      </c>
      <c r="E449" s="18" t="str">
        <f>INDEX('Attribute Definition'!$B:$B,MATCH($D449,'Attribute Definition'!$A:$A,0))</f>
        <v>Kích cỡ</v>
      </c>
      <c r="F449" s="34" t="s">
        <v>1156</v>
      </c>
    </row>
    <row r="450" spans="1:6" x14ac:dyDescent="0.25">
      <c r="A450" t="s">
        <v>1781</v>
      </c>
      <c r="B450" s="18" t="str">
        <f>INDEX('Product Variant'!$B:$B,MATCH($A450,'Product Variant'!$A:$A,0))</f>
        <v>PRODUCT-00297</v>
      </c>
      <c r="C450" s="18" t="str">
        <f>INDEX(Product!$B:$B,MATCH($B450,Product!$A:$A,0))</f>
        <v>[Timelock] Găng tay robot phục hồi chức năng bàn tay (Bên phải)</v>
      </c>
      <c r="D450" t="s">
        <v>2439</v>
      </c>
      <c r="E450" s="18" t="str">
        <f>INDEX('Attribute Definition'!$B:$B,MATCH($D450,'Attribute Definition'!$A:$A,0))</f>
        <v>Vị trí sử dụng trên cơ thể</v>
      </c>
      <c r="F450" s="34" t="s">
        <v>2550</v>
      </c>
    </row>
    <row r="451" spans="1:6" x14ac:dyDescent="0.25">
      <c r="A451" t="s">
        <v>1781</v>
      </c>
      <c r="B451" s="18" t="str">
        <f>INDEX('Product Variant'!$B:$B,MATCH($A451,'Product Variant'!$A:$A,0))</f>
        <v>PRODUCT-00297</v>
      </c>
      <c r="C451" s="18" t="str">
        <f>INDEX(Product!$B:$B,MATCH($B451,Product!$A:$A,0))</f>
        <v>[Timelock] Găng tay robot phục hồi chức năng bàn tay (Bên phải)</v>
      </c>
      <c r="D451" t="s">
        <v>2444</v>
      </c>
      <c r="E451" s="18" t="str">
        <f>INDEX('Attribute Definition'!$B:$B,MATCH($D451,'Attribute Definition'!$A:$A,0))</f>
        <v>Bên</v>
      </c>
      <c r="F451" s="34" t="s">
        <v>2654</v>
      </c>
    </row>
    <row r="452" spans="1:6" x14ac:dyDescent="0.25">
      <c r="A452" t="s">
        <v>1781</v>
      </c>
      <c r="B452" s="18" t="str">
        <f>INDEX('Product Variant'!$B:$B,MATCH($A452,'Product Variant'!$A:$A,0))</f>
        <v>PRODUCT-00297</v>
      </c>
      <c r="C452" s="18" t="str">
        <f>INDEX(Product!$B:$B,MATCH($B452,Product!$A:$A,0))</f>
        <v>[Timelock] Găng tay robot phục hồi chức năng bàn tay (Bên phải)</v>
      </c>
      <c r="D452" t="s">
        <v>2471</v>
      </c>
      <c r="E452" s="18" t="str">
        <f>INDEX('Attribute Definition'!$B:$B,MATCH($D452,'Attribute Definition'!$A:$A,0))</f>
        <v>Dạng sản phẩm</v>
      </c>
      <c r="F452" s="34" t="s">
        <v>2481</v>
      </c>
    </row>
    <row r="453" spans="1:6" x14ac:dyDescent="0.25">
      <c r="A453" t="s">
        <v>1781</v>
      </c>
      <c r="B453" s="18" t="str">
        <f>INDEX('Product Variant'!$B:$B,MATCH($A453,'Product Variant'!$A:$A,0))</f>
        <v>PRODUCT-00297</v>
      </c>
      <c r="C453" s="18" t="str">
        <f>INDEX(Product!$B:$B,MATCH($B453,Product!$A:$A,0))</f>
        <v>[Timelock] Găng tay robot phục hồi chức năng bàn tay (Bên phải)</v>
      </c>
      <c r="D453" t="s">
        <v>2656</v>
      </c>
      <c r="E453" s="18" t="str">
        <f>INDEX('Attribute Definition'!$B:$B,MATCH($D453,'Attribute Definition'!$A:$A,0))</f>
        <v>Kích cỡ</v>
      </c>
      <c r="F453" s="34" t="s">
        <v>1156</v>
      </c>
    </row>
    <row r="454" spans="1:6" x14ac:dyDescent="0.25">
      <c r="A454" t="s">
        <v>1782</v>
      </c>
      <c r="B454" s="18" t="str">
        <f>INDEX('Product Variant'!$B:$B,MATCH($A454,'Product Variant'!$A:$A,0))</f>
        <v>PRODUCT-00070</v>
      </c>
      <c r="C454" s="18" t="str">
        <f>INDEX(Product!$B:$B,MATCH($B454,Product!$A:$A,0))</f>
        <v>[Timelock] Găng tay robot phục hồi chức năng bàn tay (Bên trái)</v>
      </c>
      <c r="D454" t="s">
        <v>2439</v>
      </c>
      <c r="E454" s="18" t="str">
        <f>INDEX('Attribute Definition'!$B:$B,MATCH($D454,'Attribute Definition'!$A:$A,0))</f>
        <v>Vị trí sử dụng trên cơ thể</v>
      </c>
      <c r="F454" s="34" t="s">
        <v>2550</v>
      </c>
    </row>
    <row r="455" spans="1:6" x14ac:dyDescent="0.25">
      <c r="A455" t="s">
        <v>1782</v>
      </c>
      <c r="B455" s="18" t="str">
        <f>INDEX('Product Variant'!$B:$B,MATCH($A455,'Product Variant'!$A:$A,0))</f>
        <v>PRODUCT-00070</v>
      </c>
      <c r="C455" s="18" t="str">
        <f>INDEX(Product!$B:$B,MATCH($B455,Product!$A:$A,0))</f>
        <v>[Timelock] Găng tay robot phục hồi chức năng bàn tay (Bên trái)</v>
      </c>
      <c r="D455" t="s">
        <v>2444</v>
      </c>
      <c r="E455" s="18" t="str">
        <f>INDEX('Attribute Definition'!$B:$B,MATCH($D455,'Attribute Definition'!$A:$A,0))</f>
        <v>Bên</v>
      </c>
      <c r="F455" s="34" t="s">
        <v>2551</v>
      </c>
    </row>
    <row r="456" spans="1:6" x14ac:dyDescent="0.25">
      <c r="A456" t="s">
        <v>1782</v>
      </c>
      <c r="B456" s="18" t="str">
        <f>INDEX('Product Variant'!$B:$B,MATCH($A456,'Product Variant'!$A:$A,0))</f>
        <v>PRODUCT-00070</v>
      </c>
      <c r="C456" s="18" t="str">
        <f>INDEX(Product!$B:$B,MATCH($B456,Product!$A:$A,0))</f>
        <v>[Timelock] Găng tay robot phục hồi chức năng bàn tay (Bên trái)</v>
      </c>
      <c r="D456" t="s">
        <v>2471</v>
      </c>
      <c r="E456" s="18" t="str">
        <f>INDEX('Attribute Definition'!$B:$B,MATCH($D456,'Attribute Definition'!$A:$A,0))</f>
        <v>Dạng sản phẩm</v>
      </c>
      <c r="F456" s="34" t="s">
        <v>2481</v>
      </c>
    </row>
    <row r="457" spans="1:6" x14ac:dyDescent="0.25">
      <c r="A457" t="s">
        <v>1782</v>
      </c>
      <c r="B457" s="18" t="str">
        <f>INDEX('Product Variant'!$B:$B,MATCH($A457,'Product Variant'!$A:$A,0))</f>
        <v>PRODUCT-00070</v>
      </c>
      <c r="C457" s="18" t="str">
        <f>INDEX(Product!$B:$B,MATCH($B457,Product!$A:$A,0))</f>
        <v>[Timelock] Găng tay robot phục hồi chức năng bàn tay (Bên trái)</v>
      </c>
      <c r="D457" t="s">
        <v>2656</v>
      </c>
      <c r="E457" s="18" t="str">
        <f>INDEX('Attribute Definition'!$B:$B,MATCH($D457,'Attribute Definition'!$A:$A,0))</f>
        <v>Kích cỡ</v>
      </c>
      <c r="F457" s="34" t="s">
        <v>1157</v>
      </c>
    </row>
    <row r="458" spans="1:6" x14ac:dyDescent="0.25">
      <c r="A458" t="s">
        <v>1783</v>
      </c>
      <c r="B458" s="18" t="str">
        <f>INDEX('Product Variant'!$B:$B,MATCH($A458,'Product Variant'!$A:$A,0))</f>
        <v>PRODUCT-00297</v>
      </c>
      <c r="C458" s="18" t="str">
        <f>INDEX(Product!$B:$B,MATCH($B458,Product!$A:$A,0))</f>
        <v>[Timelock] Găng tay robot phục hồi chức năng bàn tay (Bên phải)</v>
      </c>
      <c r="D458" t="s">
        <v>2439</v>
      </c>
      <c r="E458" s="18" t="str">
        <f>INDEX('Attribute Definition'!$B:$B,MATCH($D458,'Attribute Definition'!$A:$A,0))</f>
        <v>Vị trí sử dụng trên cơ thể</v>
      </c>
      <c r="F458" s="34" t="s">
        <v>2550</v>
      </c>
    </row>
    <row r="459" spans="1:6" x14ac:dyDescent="0.25">
      <c r="A459" t="s">
        <v>1783</v>
      </c>
      <c r="B459" s="18" t="str">
        <f>INDEX('Product Variant'!$B:$B,MATCH($A459,'Product Variant'!$A:$A,0))</f>
        <v>PRODUCT-00297</v>
      </c>
      <c r="C459" s="18" t="str">
        <f>INDEX(Product!$B:$B,MATCH($B459,Product!$A:$A,0))</f>
        <v>[Timelock] Găng tay robot phục hồi chức năng bàn tay (Bên phải)</v>
      </c>
      <c r="D459" t="s">
        <v>2444</v>
      </c>
      <c r="E459" s="18" t="str">
        <f>INDEX('Attribute Definition'!$B:$B,MATCH($D459,'Attribute Definition'!$A:$A,0))</f>
        <v>Bên</v>
      </c>
      <c r="F459" s="34" t="s">
        <v>2654</v>
      </c>
    </row>
    <row r="460" spans="1:6" x14ac:dyDescent="0.25">
      <c r="A460" t="s">
        <v>1783</v>
      </c>
      <c r="B460" s="18" t="str">
        <f>INDEX('Product Variant'!$B:$B,MATCH($A460,'Product Variant'!$A:$A,0))</f>
        <v>PRODUCT-00297</v>
      </c>
      <c r="C460" s="18" t="str">
        <f>INDEX(Product!$B:$B,MATCH($B460,Product!$A:$A,0))</f>
        <v>[Timelock] Găng tay robot phục hồi chức năng bàn tay (Bên phải)</v>
      </c>
      <c r="D460" t="s">
        <v>2471</v>
      </c>
      <c r="E460" s="18" t="str">
        <f>INDEX('Attribute Definition'!$B:$B,MATCH($D460,'Attribute Definition'!$A:$A,0))</f>
        <v>Dạng sản phẩm</v>
      </c>
      <c r="F460" s="34" t="s">
        <v>2481</v>
      </c>
    </row>
    <row r="461" spans="1:6" x14ac:dyDescent="0.25">
      <c r="A461" t="s">
        <v>1783</v>
      </c>
      <c r="B461" s="18" t="str">
        <f>INDEX('Product Variant'!$B:$B,MATCH($A461,'Product Variant'!$A:$A,0))</f>
        <v>PRODUCT-00297</v>
      </c>
      <c r="C461" s="18" t="str">
        <f>INDEX(Product!$B:$B,MATCH($B461,Product!$A:$A,0))</f>
        <v>[Timelock] Găng tay robot phục hồi chức năng bàn tay (Bên phải)</v>
      </c>
      <c r="D461" t="s">
        <v>2656</v>
      </c>
      <c r="E461" s="18" t="str">
        <f>INDEX('Attribute Definition'!$B:$B,MATCH($D461,'Attribute Definition'!$A:$A,0))</f>
        <v>Kích cỡ</v>
      </c>
      <c r="F461" s="34" t="s">
        <v>1157</v>
      </c>
    </row>
    <row r="462" spans="1:6" x14ac:dyDescent="0.25">
      <c r="A462" t="s">
        <v>1784</v>
      </c>
      <c r="B462" s="18" t="str">
        <f>INDEX('Product Variant'!$B:$B,MATCH($A462,'Product Variant'!$A:$A,0))</f>
        <v>PRODUCT-00071</v>
      </c>
      <c r="C462" s="18" t="str">
        <f>INDEX(Product!$B:$B,MATCH($B462,Product!$A:$A,0))</f>
        <v>[Venosan] Vớ y khoa hỗ trợ điều trị suy giãn tĩnh mạch - Venosan 6000</v>
      </c>
      <c r="D462" t="s">
        <v>2471</v>
      </c>
      <c r="E462" s="18" t="str">
        <f>INDEX('Attribute Definition'!$B:$B,MATCH($D462,'Attribute Definition'!$A:$A,0))</f>
        <v>Dạng sản phẩm</v>
      </c>
      <c r="F462" s="34" t="s">
        <v>2539</v>
      </c>
    </row>
    <row r="463" spans="1:6" x14ac:dyDescent="0.25">
      <c r="A463" t="s">
        <v>1784</v>
      </c>
      <c r="B463" s="18" t="str">
        <f>INDEX('Product Variant'!$B:$B,MATCH($A463,'Product Variant'!$A:$A,0))</f>
        <v>PRODUCT-00071</v>
      </c>
      <c r="C463" s="18" t="str">
        <f>INDEX(Product!$B:$B,MATCH($B463,Product!$A:$A,0))</f>
        <v>[Venosan] Vớ y khoa hỗ trợ điều trị suy giãn tĩnh mạch - Venosan 6000</v>
      </c>
      <c r="D463" t="s">
        <v>2656</v>
      </c>
      <c r="E463" s="18" t="str">
        <f>INDEX('Attribute Definition'!$B:$B,MATCH($D463,'Attribute Definition'!$A:$A,0))</f>
        <v>Kích cỡ</v>
      </c>
      <c r="F463" s="34" t="s">
        <v>1162</v>
      </c>
    </row>
    <row r="464" spans="1:6" x14ac:dyDescent="0.25">
      <c r="A464" t="s">
        <v>1785</v>
      </c>
      <c r="B464" s="18" t="str">
        <f>INDEX('Product Variant'!$B:$B,MATCH($A464,'Product Variant'!$A:$A,0))</f>
        <v>PRODUCT-00071</v>
      </c>
      <c r="C464" s="18" t="str">
        <f>INDEX(Product!$B:$B,MATCH($B464,Product!$A:$A,0))</f>
        <v>[Venosan] Vớ y khoa hỗ trợ điều trị suy giãn tĩnh mạch - Venosan 6000</v>
      </c>
      <c r="D464" t="s">
        <v>2471</v>
      </c>
      <c r="E464" s="18" t="str">
        <f>INDEX('Attribute Definition'!$B:$B,MATCH($D464,'Attribute Definition'!$A:$A,0))</f>
        <v>Dạng sản phẩm</v>
      </c>
      <c r="F464" s="34" t="s">
        <v>2539</v>
      </c>
    </row>
    <row r="465" spans="1:6" x14ac:dyDescent="0.25">
      <c r="A465" t="s">
        <v>1785</v>
      </c>
      <c r="B465" s="18" t="str">
        <f>INDEX('Product Variant'!$B:$B,MATCH($A465,'Product Variant'!$A:$A,0))</f>
        <v>PRODUCT-00071</v>
      </c>
      <c r="C465" s="18" t="str">
        <f>INDEX(Product!$B:$B,MATCH($B465,Product!$A:$A,0))</f>
        <v>[Venosan] Vớ y khoa hỗ trợ điều trị suy giãn tĩnh mạch - Venosan 6000</v>
      </c>
      <c r="D465" t="s">
        <v>2656</v>
      </c>
      <c r="E465" s="18" t="str">
        <f>INDEX('Attribute Definition'!$B:$B,MATCH($D465,'Attribute Definition'!$A:$A,0))</f>
        <v>Kích cỡ</v>
      </c>
      <c r="F465" s="34" t="s">
        <v>1155</v>
      </c>
    </row>
    <row r="466" spans="1:6" x14ac:dyDescent="0.25">
      <c r="A466" t="s">
        <v>1786</v>
      </c>
      <c r="B466" s="18" t="str">
        <f>INDEX('Product Variant'!$B:$B,MATCH($A466,'Product Variant'!$A:$A,0))</f>
        <v>PRODUCT-00071</v>
      </c>
      <c r="C466" s="18" t="str">
        <f>INDEX(Product!$B:$B,MATCH($B466,Product!$A:$A,0))</f>
        <v>[Venosan] Vớ y khoa hỗ trợ điều trị suy giãn tĩnh mạch - Venosan 6000</v>
      </c>
      <c r="D466" t="s">
        <v>2471</v>
      </c>
      <c r="E466" s="18" t="str">
        <f>INDEX('Attribute Definition'!$B:$B,MATCH($D466,'Attribute Definition'!$A:$A,0))</f>
        <v>Dạng sản phẩm</v>
      </c>
      <c r="F466" s="34" t="s">
        <v>2539</v>
      </c>
    </row>
    <row r="467" spans="1:6" x14ac:dyDescent="0.25">
      <c r="A467" t="s">
        <v>1786</v>
      </c>
      <c r="B467" s="18" t="str">
        <f>INDEX('Product Variant'!$B:$B,MATCH($A467,'Product Variant'!$A:$A,0))</f>
        <v>PRODUCT-00071</v>
      </c>
      <c r="C467" s="18" t="str">
        <f>INDEX(Product!$B:$B,MATCH($B467,Product!$A:$A,0))</f>
        <v>[Venosan] Vớ y khoa hỗ trợ điều trị suy giãn tĩnh mạch - Venosan 6000</v>
      </c>
      <c r="D467" t="s">
        <v>2656</v>
      </c>
      <c r="E467" s="18" t="str">
        <f>INDEX('Attribute Definition'!$B:$B,MATCH($D467,'Attribute Definition'!$A:$A,0))</f>
        <v>Kích cỡ</v>
      </c>
      <c r="F467" s="34" t="s">
        <v>1156</v>
      </c>
    </row>
    <row r="468" spans="1:6" x14ac:dyDescent="0.25">
      <c r="A468" t="s">
        <v>1787</v>
      </c>
      <c r="B468" s="18" t="str">
        <f>INDEX('Product Variant'!$B:$B,MATCH($A468,'Product Variant'!$A:$A,0))</f>
        <v>PRODUCT-00071</v>
      </c>
      <c r="C468" s="18" t="str">
        <f>INDEX(Product!$B:$B,MATCH($B468,Product!$A:$A,0))</f>
        <v>[Venosan] Vớ y khoa hỗ trợ điều trị suy giãn tĩnh mạch - Venosan 6000</v>
      </c>
      <c r="D468" t="s">
        <v>2471</v>
      </c>
      <c r="E468" s="18" t="str">
        <f>INDEX('Attribute Definition'!$B:$B,MATCH($D468,'Attribute Definition'!$A:$A,0))</f>
        <v>Dạng sản phẩm</v>
      </c>
      <c r="F468" s="34" t="s">
        <v>2539</v>
      </c>
    </row>
    <row r="469" spans="1:6" x14ac:dyDescent="0.25">
      <c r="A469" t="s">
        <v>1787</v>
      </c>
      <c r="B469" s="18" t="str">
        <f>INDEX('Product Variant'!$B:$B,MATCH($A469,'Product Variant'!$A:$A,0))</f>
        <v>PRODUCT-00071</v>
      </c>
      <c r="C469" s="18" t="str">
        <f>INDEX(Product!$B:$B,MATCH($B469,Product!$A:$A,0))</f>
        <v>[Venosan] Vớ y khoa hỗ trợ điều trị suy giãn tĩnh mạch - Venosan 6000</v>
      </c>
      <c r="D469" t="s">
        <v>2656</v>
      </c>
      <c r="E469" s="18" t="str">
        <f>INDEX('Attribute Definition'!$B:$B,MATCH($D469,'Attribute Definition'!$A:$A,0))</f>
        <v>Kích cỡ</v>
      </c>
      <c r="F469" s="34" t="s">
        <v>1157</v>
      </c>
    </row>
    <row r="470" spans="1:6" x14ac:dyDescent="0.25">
      <c r="A470" t="s">
        <v>1788</v>
      </c>
      <c r="B470" s="18" t="str">
        <f>INDEX('Product Variant'!$B:$B,MATCH($A470,'Product Variant'!$A:$A,0))</f>
        <v>PRODUCT-00071</v>
      </c>
      <c r="C470" s="18" t="str">
        <f>INDEX(Product!$B:$B,MATCH($B470,Product!$A:$A,0))</f>
        <v>[Venosan] Vớ y khoa hỗ trợ điều trị suy giãn tĩnh mạch - Venosan 6000</v>
      </c>
      <c r="D470" t="s">
        <v>2471</v>
      </c>
      <c r="E470" s="18" t="str">
        <f>INDEX('Attribute Definition'!$B:$B,MATCH($D470,'Attribute Definition'!$A:$A,0))</f>
        <v>Dạng sản phẩm</v>
      </c>
      <c r="F470" s="34" t="s">
        <v>2539</v>
      </c>
    </row>
    <row r="471" spans="1:6" x14ac:dyDescent="0.25">
      <c r="A471" t="s">
        <v>1788</v>
      </c>
      <c r="B471" s="18" t="str">
        <f>INDEX('Product Variant'!$B:$B,MATCH($A471,'Product Variant'!$A:$A,0))</f>
        <v>PRODUCT-00071</v>
      </c>
      <c r="C471" s="18" t="str">
        <f>INDEX(Product!$B:$B,MATCH($B471,Product!$A:$A,0))</f>
        <v>[Venosan] Vớ y khoa hỗ trợ điều trị suy giãn tĩnh mạch - Venosan 6000</v>
      </c>
      <c r="D471" t="s">
        <v>2656</v>
      </c>
      <c r="E471" s="18" t="str">
        <f>INDEX('Attribute Definition'!$B:$B,MATCH($D471,'Attribute Definition'!$A:$A,0))</f>
        <v>Kích cỡ</v>
      </c>
      <c r="F471" s="34" t="s">
        <v>1158</v>
      </c>
    </row>
    <row r="472" spans="1:6" x14ac:dyDescent="0.25">
      <c r="A472" t="s">
        <v>1789</v>
      </c>
      <c r="B472" s="18" t="str">
        <f>INDEX('Product Variant'!$B:$B,MATCH($A472,'Product Variant'!$A:$A,0))</f>
        <v>PRODUCT-00298</v>
      </c>
      <c r="C472" s="18" t="str">
        <f>INDEX(Product!$B:$B,MATCH($B472,Product!$A:$A,0))</f>
        <v>[Venosan] Vớ y khoa hỗ trợ điều trị suy giãn tĩnh mạch - Venosan 6000 (Vớ gối)</v>
      </c>
      <c r="D472" t="s">
        <v>2439</v>
      </c>
      <c r="E472" s="18" t="str">
        <f>INDEX('Attribute Definition'!$B:$B,MATCH($D472,'Attribute Definition'!$A:$A,0))</f>
        <v>Vị trí sử dụng trên cơ thể</v>
      </c>
      <c r="F472" s="34" t="s">
        <v>2540</v>
      </c>
    </row>
    <row r="473" spans="1:6" x14ac:dyDescent="0.25">
      <c r="A473" t="s">
        <v>1789</v>
      </c>
      <c r="B473" s="18" t="str">
        <f>INDEX('Product Variant'!$B:$B,MATCH($A473,'Product Variant'!$A:$A,0))</f>
        <v>PRODUCT-00298</v>
      </c>
      <c r="C473" s="18" t="str">
        <f>INDEX(Product!$B:$B,MATCH($B473,Product!$A:$A,0))</f>
        <v>[Venosan] Vớ y khoa hỗ trợ điều trị suy giãn tĩnh mạch - Venosan 6000 (Vớ gối)</v>
      </c>
      <c r="D473" t="s">
        <v>2471</v>
      </c>
      <c r="E473" s="18" t="str">
        <f>INDEX('Attribute Definition'!$B:$B,MATCH($D473,'Attribute Definition'!$A:$A,0))</f>
        <v>Dạng sản phẩm</v>
      </c>
      <c r="F473" s="34" t="s">
        <v>2539</v>
      </c>
    </row>
    <row r="474" spans="1:6" x14ac:dyDescent="0.25">
      <c r="A474" t="s">
        <v>1790</v>
      </c>
      <c r="B474" s="18" t="str">
        <f>INDEX('Product Variant'!$B:$B,MATCH($A474,'Product Variant'!$A:$A,0))</f>
        <v>PRODUCT-00299</v>
      </c>
      <c r="C474" s="18" t="str">
        <f>INDEX(Product!$B:$B,MATCH($B474,Product!$A:$A,0))</f>
        <v>[Venosan] Vớ y khoa hỗ trợ điều trị suy giãn tĩnh mạch - Venosan 6000 (Vớ đùi)</v>
      </c>
      <c r="D474" t="s">
        <v>2439</v>
      </c>
      <c r="E474" s="18" t="str">
        <f>INDEX('Attribute Definition'!$B:$B,MATCH($D474,'Attribute Definition'!$A:$A,0))</f>
        <v>Vị trí sử dụng trên cơ thể</v>
      </c>
      <c r="F474" s="34" t="s">
        <v>2538</v>
      </c>
    </row>
    <row r="475" spans="1:6" x14ac:dyDescent="0.25">
      <c r="A475" t="s">
        <v>1790</v>
      </c>
      <c r="B475" s="18" t="str">
        <f>INDEX('Product Variant'!$B:$B,MATCH($A475,'Product Variant'!$A:$A,0))</f>
        <v>PRODUCT-00299</v>
      </c>
      <c r="C475" s="18" t="str">
        <f>INDEX(Product!$B:$B,MATCH($B475,Product!$A:$A,0))</f>
        <v>[Venosan] Vớ y khoa hỗ trợ điều trị suy giãn tĩnh mạch - Venosan 6000 (Vớ đùi)</v>
      </c>
      <c r="D475" t="s">
        <v>2471</v>
      </c>
      <c r="E475" s="18" t="str">
        <f>INDEX('Attribute Definition'!$B:$B,MATCH($D475,'Attribute Definition'!$A:$A,0))</f>
        <v>Dạng sản phẩm</v>
      </c>
      <c r="F475" s="34" t="s">
        <v>2539</v>
      </c>
    </row>
    <row r="476" spans="1:6" x14ac:dyDescent="0.25">
      <c r="A476" t="s">
        <v>1791</v>
      </c>
      <c r="B476" s="18" t="str">
        <f>INDEX('Product Variant'!$B:$B,MATCH($A476,'Product Variant'!$A:$A,0))</f>
        <v>PRODUCT-00072</v>
      </c>
      <c r="C476" s="18" t="str">
        <f>INDEX(Product!$B:$B,MATCH($B476,Product!$A:$A,0))</f>
        <v>[ConvaTec] Bột hút ẩm chống loét hậu môn nhân tạo (28.3g)</v>
      </c>
      <c r="D476" t="s">
        <v>2356</v>
      </c>
      <c r="E476" s="18" t="str">
        <f>INDEX('Attribute Definition'!$B:$B,MATCH($D476,'Attribute Definition'!$A:$A,0))</f>
        <v>Khối lượng tịnh</v>
      </c>
      <c r="F476" s="34" t="s">
        <v>951</v>
      </c>
    </row>
    <row r="477" spans="1:6" x14ac:dyDescent="0.25">
      <c r="A477" t="s">
        <v>1791</v>
      </c>
      <c r="B477" s="18" t="str">
        <f>INDEX('Product Variant'!$B:$B,MATCH($A477,'Product Variant'!$A:$A,0))</f>
        <v>PRODUCT-00072</v>
      </c>
      <c r="C477" s="18" t="str">
        <f>INDEX(Product!$B:$B,MATCH($B477,Product!$A:$A,0))</f>
        <v>[ConvaTec] Bột hút ẩm chống loét hậu môn nhân tạo (28.3g)</v>
      </c>
      <c r="D477" t="s">
        <v>2471</v>
      </c>
      <c r="E477" s="18" t="str">
        <f>INDEX('Attribute Definition'!$B:$B,MATCH($D477,'Attribute Definition'!$A:$A,0))</f>
        <v>Dạng sản phẩm</v>
      </c>
      <c r="F477" s="34" t="s">
        <v>2552</v>
      </c>
    </row>
    <row r="478" spans="1:6" x14ac:dyDescent="0.25">
      <c r="A478" t="s">
        <v>1792</v>
      </c>
      <c r="B478" s="18" t="str">
        <f>INDEX('Product Variant'!$B:$B,MATCH($A478,'Product Variant'!$A:$A,0))</f>
        <v>PRODUCT-00073</v>
      </c>
      <c r="C478" s="18" t="str">
        <f>INDEX(Product!$B:$B,MATCH($B478,Product!$A:$A,0))</f>
        <v>[ConvaTec] Keo làm đầy chống rò rỉ hậu môn nhân tạo (56.7g)</v>
      </c>
      <c r="D478" t="s">
        <v>2356</v>
      </c>
      <c r="E478" s="18" t="str">
        <f>INDEX('Attribute Definition'!$B:$B,MATCH($D478,'Attribute Definition'!$A:$A,0))</f>
        <v>Khối lượng tịnh</v>
      </c>
      <c r="F478" s="34" t="s">
        <v>2553</v>
      </c>
    </row>
    <row r="479" spans="1:6" x14ac:dyDescent="0.25">
      <c r="A479" t="s">
        <v>1792</v>
      </c>
      <c r="B479" s="18" t="str">
        <f>INDEX('Product Variant'!$B:$B,MATCH($A479,'Product Variant'!$A:$A,0))</f>
        <v>PRODUCT-00073</v>
      </c>
      <c r="C479" s="18" t="str">
        <f>INDEX(Product!$B:$B,MATCH($B479,Product!$A:$A,0))</f>
        <v>[ConvaTec] Keo làm đầy chống rò rỉ hậu môn nhân tạo (56.7g)</v>
      </c>
      <c r="D479" t="s">
        <v>2471</v>
      </c>
      <c r="E479" s="18" t="str">
        <f>INDEX('Attribute Definition'!$B:$B,MATCH($D479,'Attribute Definition'!$A:$A,0))</f>
        <v>Dạng sản phẩm</v>
      </c>
      <c r="F479" s="34" t="s">
        <v>2554</v>
      </c>
    </row>
    <row r="480" spans="1:6" x14ac:dyDescent="0.25">
      <c r="A480" t="s">
        <v>1793</v>
      </c>
      <c r="B480" s="18" t="str">
        <f>INDEX('Product Variant'!$B:$B,MATCH($A480,'Product Variant'!$A:$A,0))</f>
        <v>PRODUCT-00074</v>
      </c>
      <c r="C480" s="18" t="str">
        <f>INDEX(Product!$B:$B,MATCH($B480,Product!$A:$A,0))</f>
        <v>[ConvaTec] Túi hậu môn nhân tạo 1 mảnh loại đục</v>
      </c>
      <c r="D480" t="s">
        <v>2397</v>
      </c>
      <c r="E480" s="18" t="str">
        <f>INDEX('Attribute Definition'!$B:$B,MATCH($D480,'Attribute Definition'!$A:$A,0))</f>
        <v>Hệ thống HMNT</v>
      </c>
      <c r="F480" s="34" t="s">
        <v>2555</v>
      </c>
    </row>
    <row r="481" spans="1:6" x14ac:dyDescent="0.25">
      <c r="A481" t="s">
        <v>1793</v>
      </c>
      <c r="B481" s="18" t="str">
        <f>INDEX('Product Variant'!$B:$B,MATCH($A481,'Product Variant'!$A:$A,0))</f>
        <v>PRODUCT-00074</v>
      </c>
      <c r="C481" s="18" t="str">
        <f>INDEX(Product!$B:$B,MATCH($B481,Product!$A:$A,0))</f>
        <v>[ConvaTec] Túi hậu môn nhân tạo 1 mảnh loại đục</v>
      </c>
      <c r="D481" t="s">
        <v>2406</v>
      </c>
      <c r="E481" s="18" t="str">
        <f>INDEX('Attribute Definition'!$B:$B,MATCH($D481,'Attribute Definition'!$A:$A,0))</f>
        <v>Độ trong của túi</v>
      </c>
      <c r="F481" s="34" t="s">
        <v>2556</v>
      </c>
    </row>
    <row r="482" spans="1:6" x14ac:dyDescent="0.25">
      <c r="A482" t="s">
        <v>1793</v>
      </c>
      <c r="B482" s="18" t="str">
        <f>INDEX('Product Variant'!$B:$B,MATCH($A482,'Product Variant'!$A:$A,0))</f>
        <v>PRODUCT-00074</v>
      </c>
      <c r="C482" s="18" t="str">
        <f>INDEX(Product!$B:$B,MATCH($B482,Product!$A:$A,0))</f>
        <v>[ConvaTec] Túi hậu môn nhân tạo 1 mảnh loại đục</v>
      </c>
      <c r="D482" t="s">
        <v>2471</v>
      </c>
      <c r="E482" s="18" t="str">
        <f>INDEX('Attribute Definition'!$B:$B,MATCH($D482,'Attribute Definition'!$A:$A,0))</f>
        <v>Dạng sản phẩm</v>
      </c>
      <c r="F482" s="34" t="s">
        <v>817</v>
      </c>
    </row>
    <row r="483" spans="1:6" x14ac:dyDescent="0.25">
      <c r="A483" t="s">
        <v>1794</v>
      </c>
      <c r="B483" s="18" t="str">
        <f>INDEX('Product Variant'!$B:$B,MATCH($A483,'Product Variant'!$A:$A,0))</f>
        <v>PRODUCT-00075</v>
      </c>
      <c r="C483" s="18" t="str">
        <f>INDEX(Product!$B:$B,MATCH($B483,Product!$A:$A,0))</f>
        <v>[ConvaTec] Túi hậu môn nhân tạo 1 mảnh trong suốt</v>
      </c>
      <c r="D483" t="s">
        <v>2397</v>
      </c>
      <c r="E483" s="18" t="str">
        <f>INDEX('Attribute Definition'!$B:$B,MATCH($D483,'Attribute Definition'!$A:$A,0))</f>
        <v>Hệ thống HMNT</v>
      </c>
      <c r="F483" s="34" t="s">
        <v>2555</v>
      </c>
    </row>
    <row r="484" spans="1:6" x14ac:dyDescent="0.25">
      <c r="A484" t="s">
        <v>1794</v>
      </c>
      <c r="B484" s="18" t="str">
        <f>INDEX('Product Variant'!$B:$B,MATCH($A484,'Product Variant'!$A:$A,0))</f>
        <v>PRODUCT-00075</v>
      </c>
      <c r="C484" s="18" t="str">
        <f>INDEX(Product!$B:$B,MATCH($B484,Product!$A:$A,0))</f>
        <v>[ConvaTec] Túi hậu môn nhân tạo 1 mảnh trong suốt</v>
      </c>
      <c r="D484" t="s">
        <v>2406</v>
      </c>
      <c r="E484" s="18" t="str">
        <f>INDEX('Attribute Definition'!$B:$B,MATCH($D484,'Attribute Definition'!$A:$A,0))</f>
        <v>Độ trong của túi</v>
      </c>
      <c r="F484" s="34" t="s">
        <v>2525</v>
      </c>
    </row>
    <row r="485" spans="1:6" x14ac:dyDescent="0.25">
      <c r="A485" t="s">
        <v>1794</v>
      </c>
      <c r="B485" s="18" t="str">
        <f>INDEX('Product Variant'!$B:$B,MATCH($A485,'Product Variant'!$A:$A,0))</f>
        <v>PRODUCT-00075</v>
      </c>
      <c r="C485" s="18" t="str">
        <f>INDEX(Product!$B:$B,MATCH($B485,Product!$A:$A,0))</f>
        <v>[ConvaTec] Túi hậu môn nhân tạo 1 mảnh trong suốt</v>
      </c>
      <c r="D485" t="s">
        <v>2471</v>
      </c>
      <c r="E485" s="18" t="str">
        <f>INDEX('Attribute Definition'!$B:$B,MATCH($D485,'Attribute Definition'!$A:$A,0))</f>
        <v>Dạng sản phẩm</v>
      </c>
      <c r="F485" s="34" t="s">
        <v>817</v>
      </c>
    </row>
    <row r="486" spans="1:6" x14ac:dyDescent="0.25">
      <c r="A486" t="s">
        <v>1795</v>
      </c>
      <c r="B486" s="18" t="str">
        <f>INDEX('Product Variant'!$B:$B,MATCH($A486,'Product Variant'!$A:$A,0))</f>
        <v>PRODUCT-00076</v>
      </c>
      <c r="C486" s="18" t="str">
        <f>INDEX(Product!$B:$B,MATCH($B486,Product!$A:$A,0))</f>
        <v>[ConvaTec] Túi hậu môn nhân tạo 1 mảnh trong suốt - ActiveLife 22771</v>
      </c>
      <c r="D486" t="s">
        <v>2397</v>
      </c>
      <c r="E486" s="18" t="str">
        <f>INDEX('Attribute Definition'!$B:$B,MATCH($D486,'Attribute Definition'!$A:$A,0))</f>
        <v>Hệ thống HMNT</v>
      </c>
      <c r="F486" s="34" t="s">
        <v>2555</v>
      </c>
    </row>
    <row r="487" spans="1:6" x14ac:dyDescent="0.25">
      <c r="A487" t="s">
        <v>1795</v>
      </c>
      <c r="B487" s="18" t="str">
        <f>INDEX('Product Variant'!$B:$B,MATCH($A487,'Product Variant'!$A:$A,0))</f>
        <v>PRODUCT-00076</v>
      </c>
      <c r="C487" s="18" t="str">
        <f>INDEX(Product!$B:$B,MATCH($B487,Product!$A:$A,0))</f>
        <v>[ConvaTec] Túi hậu môn nhân tạo 1 mảnh trong suốt - ActiveLife 22771</v>
      </c>
      <c r="D487" t="s">
        <v>2406</v>
      </c>
      <c r="E487" s="18" t="str">
        <f>INDEX('Attribute Definition'!$B:$B,MATCH($D487,'Attribute Definition'!$A:$A,0))</f>
        <v>Độ trong của túi</v>
      </c>
      <c r="F487" s="34" t="s">
        <v>2525</v>
      </c>
    </row>
    <row r="488" spans="1:6" x14ac:dyDescent="0.25">
      <c r="A488" t="s">
        <v>1795</v>
      </c>
      <c r="B488" s="18" t="str">
        <f>INDEX('Product Variant'!$B:$B,MATCH($A488,'Product Variant'!$A:$A,0))</f>
        <v>PRODUCT-00076</v>
      </c>
      <c r="C488" s="18" t="str">
        <f>INDEX(Product!$B:$B,MATCH($B488,Product!$A:$A,0))</f>
        <v>[ConvaTec] Túi hậu môn nhân tạo 1 mảnh trong suốt - ActiveLife 22771</v>
      </c>
      <c r="D488" t="s">
        <v>2471</v>
      </c>
      <c r="E488" s="18" t="str">
        <f>INDEX('Attribute Definition'!$B:$B,MATCH($D488,'Attribute Definition'!$A:$A,0))</f>
        <v>Dạng sản phẩm</v>
      </c>
      <c r="F488" s="34" t="s">
        <v>817</v>
      </c>
    </row>
    <row r="489" spans="1:6" x14ac:dyDescent="0.25">
      <c r="A489" t="s">
        <v>1796</v>
      </c>
      <c r="B489" s="18" t="str">
        <f>INDEX('Product Variant'!$B:$B,MATCH($A489,'Product Variant'!$A:$A,0))</f>
        <v>PRODUCT-00077</v>
      </c>
      <c r="C489" s="18" t="str">
        <f>INDEX(Product!$B:$B,MATCH($B489,Product!$A:$A,0))</f>
        <v>[Hollister] Túi hậu môn nhân tạo 1 mảnh - 8631</v>
      </c>
      <c r="D489" t="s">
        <v>2397</v>
      </c>
      <c r="E489" s="18" t="str">
        <f>INDEX('Attribute Definition'!$B:$B,MATCH($D489,'Attribute Definition'!$A:$A,0))</f>
        <v>Hệ thống HMNT</v>
      </c>
      <c r="F489" s="34" t="s">
        <v>2555</v>
      </c>
    </row>
    <row r="490" spans="1:6" x14ac:dyDescent="0.25">
      <c r="A490" t="s">
        <v>1796</v>
      </c>
      <c r="B490" s="18" t="str">
        <f>INDEX('Product Variant'!$B:$B,MATCH($A490,'Product Variant'!$A:$A,0))</f>
        <v>PRODUCT-00077</v>
      </c>
      <c r="C490" s="18" t="str">
        <f>INDEX(Product!$B:$B,MATCH($B490,Product!$A:$A,0))</f>
        <v>[Hollister] Túi hậu môn nhân tạo 1 mảnh - 8631</v>
      </c>
      <c r="D490" t="s">
        <v>2471</v>
      </c>
      <c r="E490" s="18" t="str">
        <f>INDEX('Attribute Definition'!$B:$B,MATCH($D490,'Attribute Definition'!$A:$A,0))</f>
        <v>Dạng sản phẩm</v>
      </c>
      <c r="F490" s="34" t="s">
        <v>817</v>
      </c>
    </row>
    <row r="491" spans="1:6" x14ac:dyDescent="0.25">
      <c r="A491" t="s">
        <v>1797</v>
      </c>
      <c r="B491" s="18" t="str">
        <f>INDEX('Product Variant'!$B:$B,MATCH($A491,'Product Variant'!$A:$A,0))</f>
        <v>PRODUCT-00078</v>
      </c>
      <c r="C491" s="18" t="str">
        <f>INDEX(Product!$B:$B,MATCH($B491,Product!$A:$A,0))</f>
        <v>[Hollister] Túi hậu môn nhân tạo cho trẻ sơ sinh - 3778</v>
      </c>
      <c r="D491" t="s">
        <v>2449</v>
      </c>
      <c r="E491" s="18" t="str">
        <f>INDEX('Attribute Definition'!$B:$B,MATCH($D491,'Attribute Definition'!$A:$A,0))</f>
        <v>Đối tượng sử dụng</v>
      </c>
      <c r="F491" s="34" t="s">
        <v>2557</v>
      </c>
    </row>
    <row r="492" spans="1:6" x14ac:dyDescent="0.25">
      <c r="A492" t="s">
        <v>1797</v>
      </c>
      <c r="B492" s="18" t="str">
        <f>INDEX('Product Variant'!$B:$B,MATCH($A492,'Product Variant'!$A:$A,0))</f>
        <v>PRODUCT-00078</v>
      </c>
      <c r="C492" s="18" t="str">
        <f>INDEX(Product!$B:$B,MATCH($B492,Product!$A:$A,0))</f>
        <v>[Hollister] Túi hậu môn nhân tạo cho trẻ sơ sinh - 3778</v>
      </c>
      <c r="D492" t="s">
        <v>2471</v>
      </c>
      <c r="E492" s="18" t="str">
        <f>INDEX('Attribute Definition'!$B:$B,MATCH($D492,'Attribute Definition'!$A:$A,0))</f>
        <v>Dạng sản phẩm</v>
      </c>
      <c r="F492" s="34" t="s">
        <v>817</v>
      </c>
    </row>
    <row r="493" spans="1:6" x14ac:dyDescent="0.25">
      <c r="A493" t="s">
        <v>1798</v>
      </c>
      <c r="B493" s="18" t="str">
        <f>INDEX('Product Variant'!$B:$B,MATCH($A493,'Product Variant'!$A:$A,0))</f>
        <v>PRODUCT-00079</v>
      </c>
      <c r="C493" s="18" t="str">
        <f>INDEX(Product!$B:$B,MATCH($B493,Product!$A:$A,0))</f>
        <v>[Hollister] Bột hút ẩm chống loét hậu môn nhân tạo - Adapt Stoma Powder 7906 (28.3g)</v>
      </c>
      <c r="D493" t="s">
        <v>2356</v>
      </c>
      <c r="E493" s="18" t="str">
        <f>INDEX('Attribute Definition'!$B:$B,MATCH($D493,'Attribute Definition'!$A:$A,0))</f>
        <v>Khối lượng tịnh</v>
      </c>
      <c r="F493" s="34" t="s">
        <v>951</v>
      </c>
    </row>
    <row r="494" spans="1:6" x14ac:dyDescent="0.25">
      <c r="A494" t="s">
        <v>1798</v>
      </c>
      <c r="B494" s="18" t="str">
        <f>INDEX('Product Variant'!$B:$B,MATCH($A494,'Product Variant'!$A:$A,0))</f>
        <v>PRODUCT-00079</v>
      </c>
      <c r="C494" s="18" t="str">
        <f>INDEX(Product!$B:$B,MATCH($B494,Product!$A:$A,0))</f>
        <v>[Hollister] Bột hút ẩm chống loét hậu môn nhân tạo - Adapt Stoma Powder 7906 (28.3g)</v>
      </c>
      <c r="D494" t="s">
        <v>2471</v>
      </c>
      <c r="E494" s="18" t="str">
        <f>INDEX('Attribute Definition'!$B:$B,MATCH($D494,'Attribute Definition'!$A:$A,0))</f>
        <v>Dạng sản phẩm</v>
      </c>
      <c r="F494" s="34" t="s">
        <v>2552</v>
      </c>
    </row>
    <row r="495" spans="1:6" x14ac:dyDescent="0.25">
      <c r="A495" t="s">
        <v>1799</v>
      </c>
      <c r="B495" s="18" t="str">
        <f>INDEX('Product Variant'!$B:$B,MATCH($A495,'Product Variant'!$A:$A,0))</f>
        <v>PRODUCT-00080</v>
      </c>
      <c r="C495" s="18" t="str">
        <f>INDEX(Product!$B:$B,MATCH($B495,Product!$A:$A,0))</f>
        <v>[Hollister] Chai xịt tẩy chất keo - 7737</v>
      </c>
      <c r="D495" t="s">
        <v>2471</v>
      </c>
      <c r="E495" s="18" t="str">
        <f>INDEX('Attribute Definition'!$B:$B,MATCH($D495,'Attribute Definition'!$A:$A,0))</f>
        <v>Dạng sản phẩm</v>
      </c>
      <c r="F495" s="34" t="s">
        <v>2493</v>
      </c>
    </row>
    <row r="496" spans="1:6" x14ac:dyDescent="0.25">
      <c r="A496" t="s">
        <v>1800</v>
      </c>
      <c r="B496" s="18" t="str">
        <f>INDEX('Product Variant'!$B:$B,MATCH($A496,'Product Variant'!$A:$A,0))</f>
        <v>PRODUCT-00081</v>
      </c>
      <c r="C496" s="18" t="str">
        <f>INDEX(Product!$B:$B,MATCH($B496,Product!$A:$A,0))</f>
        <v>[Hollister] Dây nịt đeo túi hậu môn nhân tạo - 7300</v>
      </c>
      <c r="D496" t="s">
        <v>2471</v>
      </c>
      <c r="E496" s="18" t="str">
        <f>INDEX('Attribute Definition'!$B:$B,MATCH($D496,'Attribute Definition'!$A:$A,0))</f>
        <v>Dạng sản phẩm</v>
      </c>
      <c r="F496" s="34" t="s">
        <v>2536</v>
      </c>
    </row>
    <row r="497" spans="1:6" x14ac:dyDescent="0.25">
      <c r="A497" t="s">
        <v>1801</v>
      </c>
      <c r="B497" s="18" t="str">
        <f>INDEX('Product Variant'!$B:$B,MATCH($A497,'Product Variant'!$A:$A,0))</f>
        <v>PRODUCT-00082</v>
      </c>
      <c r="C497" s="18" t="str">
        <f>INDEX(Product!$B:$B,MATCH($B497,Product!$A:$A,0))</f>
        <v>[Hollister] Đế lồi túi hậu môn nhân tạo 2 mảnh</v>
      </c>
      <c r="D497" t="s">
        <v>2397</v>
      </c>
      <c r="E497" s="18" t="str">
        <f>INDEX('Attribute Definition'!$B:$B,MATCH($D497,'Attribute Definition'!$A:$A,0))</f>
        <v>Hệ thống HMNT</v>
      </c>
      <c r="F497" s="34" t="s">
        <v>2558</v>
      </c>
    </row>
    <row r="498" spans="1:6" x14ac:dyDescent="0.25">
      <c r="A498" t="s">
        <v>1801</v>
      </c>
      <c r="B498" s="18" t="str">
        <f>INDEX('Product Variant'!$B:$B,MATCH($A498,'Product Variant'!$A:$A,0))</f>
        <v>PRODUCT-00082</v>
      </c>
      <c r="C498" s="18" t="str">
        <f>INDEX(Product!$B:$B,MATCH($B498,Product!$A:$A,0))</f>
        <v>[Hollister] Đế lồi túi hậu môn nhân tạo 2 mảnh</v>
      </c>
      <c r="D498" t="s">
        <v>2471</v>
      </c>
      <c r="E498" s="18" t="str">
        <f>INDEX('Attribute Definition'!$B:$B,MATCH($D498,'Attribute Definition'!$A:$A,0))</f>
        <v>Dạng sản phẩm</v>
      </c>
      <c r="F498" s="34" t="s">
        <v>2559</v>
      </c>
    </row>
    <row r="499" spans="1:6" x14ac:dyDescent="0.25">
      <c r="A499" t="s">
        <v>1802</v>
      </c>
      <c r="B499" s="18" t="str">
        <f>INDEX('Product Variant'!$B:$B,MATCH($A499,'Product Variant'!$A:$A,0))</f>
        <v>PRODUCT-00083</v>
      </c>
      <c r="C499" s="18" t="str">
        <f>INDEX(Product!$B:$B,MATCH($B499,Product!$A:$A,0))</f>
        <v>[Hollister] Đế rời túi hậu môn nhân tạo 2 mảnh</v>
      </c>
      <c r="D499" t="s">
        <v>2397</v>
      </c>
      <c r="E499" s="18" t="str">
        <f>INDEX('Attribute Definition'!$B:$B,MATCH($D499,'Attribute Definition'!$A:$A,0))</f>
        <v>Hệ thống HMNT</v>
      </c>
      <c r="F499" s="34" t="s">
        <v>2558</v>
      </c>
    </row>
    <row r="500" spans="1:6" x14ac:dyDescent="0.25">
      <c r="A500" t="s">
        <v>1802</v>
      </c>
      <c r="B500" s="18" t="str">
        <f>INDEX('Product Variant'!$B:$B,MATCH($A500,'Product Variant'!$A:$A,0))</f>
        <v>PRODUCT-00083</v>
      </c>
      <c r="C500" s="18" t="str">
        <f>INDEX(Product!$B:$B,MATCH($B500,Product!$A:$A,0))</f>
        <v>[Hollister] Đế rời túi hậu môn nhân tạo 2 mảnh</v>
      </c>
      <c r="D500" t="s">
        <v>2471</v>
      </c>
      <c r="E500" s="18" t="str">
        <f>INDEX('Attribute Definition'!$B:$B,MATCH($D500,'Attribute Definition'!$A:$A,0))</f>
        <v>Dạng sản phẩm</v>
      </c>
      <c r="F500" s="34" t="s">
        <v>2559</v>
      </c>
    </row>
    <row r="501" spans="1:6" x14ac:dyDescent="0.25">
      <c r="A501" t="s">
        <v>1803</v>
      </c>
      <c r="B501" s="18" t="str">
        <f>INDEX('Product Variant'!$B:$B,MATCH($A501,'Product Variant'!$A:$A,0))</f>
        <v>PRODUCT-00084</v>
      </c>
      <c r="C501" s="18" t="str">
        <f>INDEX(Product!$B:$B,MATCH($B501,Product!$A:$A,0))</f>
        <v>[Hollister] Kem chống xì hậu môn nhân tạo - Adapt Paste 79300 (60g)</v>
      </c>
      <c r="D501" t="s">
        <v>2356</v>
      </c>
      <c r="E501" s="18" t="str">
        <f>INDEX('Attribute Definition'!$B:$B,MATCH($D501,'Attribute Definition'!$A:$A,0))</f>
        <v>Khối lượng tịnh</v>
      </c>
      <c r="F501" s="34" t="s">
        <v>2560</v>
      </c>
    </row>
    <row r="502" spans="1:6" x14ac:dyDescent="0.25">
      <c r="A502" t="s">
        <v>1803</v>
      </c>
      <c r="B502" s="18" t="str">
        <f>INDEX('Product Variant'!$B:$B,MATCH($A502,'Product Variant'!$A:$A,0))</f>
        <v>PRODUCT-00084</v>
      </c>
      <c r="C502" s="18" t="str">
        <f>INDEX(Product!$B:$B,MATCH($B502,Product!$A:$A,0))</f>
        <v>[Hollister] Kem chống xì hậu môn nhân tạo - Adapt Paste 79300 (60g)</v>
      </c>
      <c r="D502" t="s">
        <v>2471</v>
      </c>
      <c r="E502" s="18" t="str">
        <f>INDEX('Attribute Definition'!$B:$B,MATCH($D502,'Attribute Definition'!$A:$A,0))</f>
        <v>Dạng sản phẩm</v>
      </c>
      <c r="F502" s="34" t="s">
        <v>2496</v>
      </c>
    </row>
    <row r="503" spans="1:6" x14ac:dyDescent="0.25">
      <c r="A503" t="s">
        <v>1804</v>
      </c>
      <c r="B503" s="18" t="str">
        <f>INDEX('Product Variant'!$B:$B,MATCH($A503,'Product Variant'!$A:$A,0))</f>
        <v>PRODUCT-00085</v>
      </c>
      <c r="C503" s="18" t="str">
        <f>INDEX(Product!$B:$B,MATCH($B503,Product!$A:$A,0))</f>
        <v>[Hollister] Khóa kẹp túi hậu môn nhân tạo - 8770</v>
      </c>
      <c r="D503" t="s">
        <v>2471</v>
      </c>
      <c r="E503" s="18" t="str">
        <f>INDEX('Attribute Definition'!$B:$B,MATCH($D503,'Attribute Definition'!$A:$A,0))</f>
        <v>Dạng sản phẩm</v>
      </c>
      <c r="F503" s="34" t="s">
        <v>2561</v>
      </c>
    </row>
    <row r="504" spans="1:6" x14ac:dyDescent="0.25">
      <c r="A504" t="s">
        <v>1805</v>
      </c>
      <c r="B504" s="18" t="str">
        <f>INDEX('Product Variant'!$B:$B,MATCH($A504,'Product Variant'!$A:$A,0))</f>
        <v>PRODUCT-00086</v>
      </c>
      <c r="C504" s="18" t="str">
        <f>INDEX(Product!$B:$B,MATCH($B504,Product!$A:$A,0))</f>
        <v>[Mepro] Túi hậu môn nhân tạo 1 mảnh - Kẹp rời</v>
      </c>
      <c r="D504" t="s">
        <v>2397</v>
      </c>
      <c r="E504" s="18" t="str">
        <f>INDEX('Attribute Definition'!$B:$B,MATCH($D504,'Attribute Definition'!$A:$A,0))</f>
        <v>Hệ thống HMNT</v>
      </c>
      <c r="F504" s="34" t="s">
        <v>2555</v>
      </c>
    </row>
    <row r="505" spans="1:6" x14ac:dyDescent="0.25">
      <c r="A505" t="s">
        <v>1805</v>
      </c>
      <c r="B505" s="18" t="str">
        <f>INDEX('Product Variant'!$B:$B,MATCH($A505,'Product Variant'!$A:$A,0))</f>
        <v>PRODUCT-00086</v>
      </c>
      <c r="C505" s="18" t="str">
        <f>INDEX(Product!$B:$B,MATCH($B505,Product!$A:$A,0))</f>
        <v>[Mepro] Túi hậu môn nhân tạo 1 mảnh - Kẹp rời</v>
      </c>
      <c r="D505" t="s">
        <v>2401</v>
      </c>
      <c r="E505" s="18" t="str">
        <f>INDEX('Attribute Definition'!$B:$B,MATCH($D505,'Attribute Definition'!$A:$A,0))</f>
        <v>Kiểu khóa / xả</v>
      </c>
      <c r="F505" s="34" t="s">
        <v>2562</v>
      </c>
    </row>
    <row r="506" spans="1:6" x14ac:dyDescent="0.25">
      <c r="A506" t="s">
        <v>1805</v>
      </c>
      <c r="B506" s="18" t="str">
        <f>INDEX('Product Variant'!$B:$B,MATCH($A506,'Product Variant'!$A:$A,0))</f>
        <v>PRODUCT-00086</v>
      </c>
      <c r="C506" s="18" t="str">
        <f>INDEX(Product!$B:$B,MATCH($B506,Product!$A:$A,0))</f>
        <v>[Mepro] Túi hậu môn nhân tạo 1 mảnh - Kẹp rời</v>
      </c>
      <c r="D506" t="s">
        <v>2471</v>
      </c>
      <c r="E506" s="18" t="str">
        <f>INDEX('Attribute Definition'!$B:$B,MATCH($D506,'Attribute Definition'!$A:$A,0))</f>
        <v>Dạng sản phẩm</v>
      </c>
      <c r="F506" s="34" t="s">
        <v>817</v>
      </c>
    </row>
    <row r="507" spans="1:6" x14ac:dyDescent="0.25">
      <c r="A507" t="s">
        <v>1806</v>
      </c>
      <c r="B507" s="18" t="str">
        <f>INDEX('Product Variant'!$B:$B,MATCH($A507,'Product Variant'!$A:$A,0))</f>
        <v>PRODUCT-00087</v>
      </c>
      <c r="C507" s="18" t="str">
        <f>INDEX(Product!$B:$B,MATCH($B507,Product!$A:$A,0))</f>
        <v>[MiKiDo] Túi hậu môn nhân tạo 1 mảnh cho trẻ em</v>
      </c>
      <c r="D507" t="s">
        <v>2397</v>
      </c>
      <c r="E507" s="18" t="str">
        <f>INDEX('Attribute Definition'!$B:$B,MATCH($D507,'Attribute Definition'!$A:$A,0))</f>
        <v>Hệ thống HMNT</v>
      </c>
      <c r="F507" s="34" t="s">
        <v>2555</v>
      </c>
    </row>
    <row r="508" spans="1:6" x14ac:dyDescent="0.25">
      <c r="A508" t="s">
        <v>1806</v>
      </c>
      <c r="B508" s="18" t="str">
        <f>INDEX('Product Variant'!$B:$B,MATCH($A508,'Product Variant'!$A:$A,0))</f>
        <v>PRODUCT-00087</v>
      </c>
      <c r="C508" s="18" t="str">
        <f>INDEX(Product!$B:$B,MATCH($B508,Product!$A:$A,0))</f>
        <v>[MiKiDo] Túi hậu môn nhân tạo 1 mảnh cho trẻ em</v>
      </c>
      <c r="D508" t="s">
        <v>2449</v>
      </c>
      <c r="E508" s="18" t="str">
        <f>INDEX('Attribute Definition'!$B:$B,MATCH($D508,'Attribute Definition'!$A:$A,0))</f>
        <v>Đối tượng sử dụng</v>
      </c>
      <c r="F508" s="34" t="s">
        <v>1176</v>
      </c>
    </row>
    <row r="509" spans="1:6" x14ac:dyDescent="0.25">
      <c r="A509" t="s">
        <v>1806</v>
      </c>
      <c r="B509" s="18" t="str">
        <f>INDEX('Product Variant'!$B:$B,MATCH($A509,'Product Variant'!$A:$A,0))</f>
        <v>PRODUCT-00087</v>
      </c>
      <c r="C509" s="18" t="str">
        <f>INDEX(Product!$B:$B,MATCH($B509,Product!$A:$A,0))</f>
        <v>[MiKiDo] Túi hậu môn nhân tạo 1 mảnh cho trẻ em</v>
      </c>
      <c r="D509" t="s">
        <v>2471</v>
      </c>
      <c r="E509" s="18" t="str">
        <f>INDEX('Attribute Definition'!$B:$B,MATCH($D509,'Attribute Definition'!$A:$A,0))</f>
        <v>Dạng sản phẩm</v>
      </c>
      <c r="F509" s="34" t="s">
        <v>817</v>
      </c>
    </row>
    <row r="510" spans="1:6" x14ac:dyDescent="0.25">
      <c r="A510" t="s">
        <v>1807</v>
      </c>
      <c r="B510" s="18" t="str">
        <f>INDEX('Product Variant'!$B:$B,MATCH($A510,'Product Variant'!$A:$A,0))</f>
        <v>PRODUCT-00088</v>
      </c>
      <c r="C510" s="18" t="str">
        <f>INDEX(Product!$B:$B,MATCH($B510,Product!$A:$A,0))</f>
        <v>[Ostomy Care] Túi hậu môn nhân tạo 1 mảnh - Khóa dán liền</v>
      </c>
      <c r="D510" t="s">
        <v>2397</v>
      </c>
      <c r="E510" s="18" t="str">
        <f>INDEX('Attribute Definition'!$B:$B,MATCH($D510,'Attribute Definition'!$A:$A,0))</f>
        <v>Hệ thống HMNT</v>
      </c>
      <c r="F510" s="34" t="s">
        <v>2555</v>
      </c>
    </row>
    <row r="511" spans="1:6" x14ac:dyDescent="0.25">
      <c r="A511" t="s">
        <v>1807</v>
      </c>
      <c r="B511" s="18" t="str">
        <f>INDEX('Product Variant'!$B:$B,MATCH($A511,'Product Variant'!$A:$A,0))</f>
        <v>PRODUCT-00088</v>
      </c>
      <c r="C511" s="18" t="str">
        <f>INDEX(Product!$B:$B,MATCH($B511,Product!$A:$A,0))</f>
        <v>[Ostomy Care] Túi hậu môn nhân tạo 1 mảnh - Khóa dán liền</v>
      </c>
      <c r="D511" t="s">
        <v>2401</v>
      </c>
      <c r="E511" s="18" t="str">
        <f>INDEX('Attribute Definition'!$B:$B,MATCH($D511,'Attribute Definition'!$A:$A,0))</f>
        <v>Kiểu khóa / xả</v>
      </c>
      <c r="F511" s="34" t="s">
        <v>2563</v>
      </c>
    </row>
    <row r="512" spans="1:6" x14ac:dyDescent="0.25">
      <c r="A512" t="s">
        <v>1807</v>
      </c>
      <c r="B512" s="18" t="str">
        <f>INDEX('Product Variant'!$B:$B,MATCH($A512,'Product Variant'!$A:$A,0))</f>
        <v>PRODUCT-00088</v>
      </c>
      <c r="C512" s="18" t="str">
        <f>INDEX(Product!$B:$B,MATCH($B512,Product!$A:$A,0))</f>
        <v>[Ostomy Care] Túi hậu môn nhân tạo 1 mảnh - Khóa dán liền</v>
      </c>
      <c r="D512" t="s">
        <v>2471</v>
      </c>
      <c r="E512" s="18" t="str">
        <f>INDEX('Attribute Definition'!$B:$B,MATCH($D512,'Attribute Definition'!$A:$A,0))</f>
        <v>Dạng sản phẩm</v>
      </c>
      <c r="F512" s="34" t="s">
        <v>817</v>
      </c>
    </row>
    <row r="513" spans="1:6" x14ac:dyDescent="0.25">
      <c r="A513" t="s">
        <v>1808</v>
      </c>
      <c r="B513" s="18" t="str">
        <f>INDEX('Product Variant'!$B:$B,MATCH($A513,'Product Variant'!$A:$A,0))</f>
        <v>PRODUCT-00089</v>
      </c>
      <c r="C513" s="18" t="str">
        <f>INDEX(Product!$B:$B,MATCH($B513,Product!$A:$A,0))</f>
        <v>[Ostomy Care] Túi hậu môn nhân tạo 1 mảnh - Khóa kẹp</v>
      </c>
      <c r="D513" t="s">
        <v>2397</v>
      </c>
      <c r="E513" s="18" t="str">
        <f>INDEX('Attribute Definition'!$B:$B,MATCH($D513,'Attribute Definition'!$A:$A,0))</f>
        <v>Hệ thống HMNT</v>
      </c>
      <c r="F513" s="34" t="s">
        <v>2555</v>
      </c>
    </row>
    <row r="514" spans="1:6" x14ac:dyDescent="0.25">
      <c r="A514" t="s">
        <v>1808</v>
      </c>
      <c r="B514" s="18" t="str">
        <f>INDEX('Product Variant'!$B:$B,MATCH($A514,'Product Variant'!$A:$A,0))</f>
        <v>PRODUCT-00089</v>
      </c>
      <c r="C514" s="18" t="str">
        <f>INDEX(Product!$B:$B,MATCH($B514,Product!$A:$A,0))</f>
        <v>[Ostomy Care] Túi hậu môn nhân tạo 1 mảnh - Khóa kẹp</v>
      </c>
      <c r="D514" t="s">
        <v>2401</v>
      </c>
      <c r="E514" s="18" t="str">
        <f>INDEX('Attribute Definition'!$B:$B,MATCH($D514,'Attribute Definition'!$A:$A,0))</f>
        <v>Kiểu khóa / xả</v>
      </c>
      <c r="F514" s="34" t="s">
        <v>2564</v>
      </c>
    </row>
    <row r="515" spans="1:6" x14ac:dyDescent="0.25">
      <c r="A515" t="s">
        <v>1808</v>
      </c>
      <c r="B515" s="18" t="str">
        <f>INDEX('Product Variant'!$B:$B,MATCH($A515,'Product Variant'!$A:$A,0))</f>
        <v>PRODUCT-00089</v>
      </c>
      <c r="C515" s="18" t="str">
        <f>INDEX(Product!$B:$B,MATCH($B515,Product!$A:$A,0))</f>
        <v>[Ostomy Care] Túi hậu môn nhân tạo 1 mảnh - Khóa kẹp</v>
      </c>
      <c r="D515" t="s">
        <v>2471</v>
      </c>
      <c r="E515" s="18" t="str">
        <f>INDEX('Attribute Definition'!$B:$B,MATCH($D515,'Attribute Definition'!$A:$A,0))</f>
        <v>Dạng sản phẩm</v>
      </c>
      <c r="F515" s="34" t="s">
        <v>817</v>
      </c>
    </row>
    <row r="516" spans="1:6" x14ac:dyDescent="0.25">
      <c r="A516" t="s">
        <v>1809</v>
      </c>
      <c r="B516" s="18" t="str">
        <f>INDEX('Product Variant'!$B:$B,MATCH($A516,'Product Variant'!$A:$A,0))</f>
        <v>PRODUCT-00090</v>
      </c>
      <c r="C516" s="18" t="str">
        <f>INDEX(Product!$B:$B,MATCH($B516,Product!$A:$A,0))</f>
        <v>[Hollister] Túi nước tiểu nhân tạo 1 mảnh - 8460</v>
      </c>
      <c r="D516" t="s">
        <v>2397</v>
      </c>
      <c r="E516" s="18" t="str">
        <f>INDEX('Attribute Definition'!$B:$B,MATCH($D516,'Attribute Definition'!$A:$A,0))</f>
        <v>Hệ thống HMNT</v>
      </c>
      <c r="F516" s="34" t="s">
        <v>2555</v>
      </c>
    </row>
    <row r="517" spans="1:6" x14ac:dyDescent="0.25">
      <c r="A517" t="s">
        <v>1809</v>
      </c>
      <c r="B517" s="18" t="str">
        <f>INDEX('Product Variant'!$B:$B,MATCH($A517,'Product Variant'!$A:$A,0))</f>
        <v>PRODUCT-00090</v>
      </c>
      <c r="C517" s="18" t="str">
        <f>INDEX(Product!$B:$B,MATCH($B517,Product!$A:$A,0))</f>
        <v>[Hollister] Túi nước tiểu nhân tạo 1 mảnh - 8460</v>
      </c>
      <c r="D517" t="s">
        <v>2471</v>
      </c>
      <c r="E517" s="18" t="str">
        <f>INDEX('Attribute Definition'!$B:$B,MATCH($D517,'Attribute Definition'!$A:$A,0))</f>
        <v>Dạng sản phẩm</v>
      </c>
      <c r="F517" s="34" t="s">
        <v>817</v>
      </c>
    </row>
    <row r="518" spans="1:6" x14ac:dyDescent="0.25">
      <c r="A518" t="s">
        <v>1810</v>
      </c>
      <c r="B518" s="18" t="str">
        <f>INDEX('Product Variant'!$B:$B,MATCH($A518,'Product Variant'!$A:$A,0))</f>
        <v>PRODUCT-00091</v>
      </c>
      <c r="C518" s="18" t="str">
        <f>INDEX(Product!$B:$B,MATCH($B518,Product!$A:$A,0))</f>
        <v>[Hollister] Vòng bảo vệ da chống loét hậu môn nhân tạo (Mẫu 7805)</v>
      </c>
      <c r="D518" t="s">
        <v>2471</v>
      </c>
      <c r="E518" s="18" t="str">
        <f>INDEX('Attribute Definition'!$B:$B,MATCH($D518,'Attribute Definition'!$A:$A,0))</f>
        <v>Dạng sản phẩm</v>
      </c>
      <c r="F518" s="34" t="s">
        <v>2561</v>
      </c>
    </row>
    <row r="519" spans="1:6" x14ac:dyDescent="0.25">
      <c r="A519" t="s">
        <v>1811</v>
      </c>
      <c r="B519" s="18" t="str">
        <f>INDEX('Product Variant'!$B:$B,MATCH($A519,'Product Variant'!$A:$A,0))</f>
        <v>PRODUCT-00300</v>
      </c>
      <c r="C519" s="18" t="str">
        <f>INDEX(Product!$B:$B,MATCH($B519,Product!$A:$A,0))</f>
        <v>[Hollister] Vòng bảo vệ da chống loét hậu môn nhân tạo (Mẫu 7806)</v>
      </c>
      <c r="D519" t="s">
        <v>2471</v>
      </c>
      <c r="E519" s="18" t="str">
        <f>INDEX('Attribute Definition'!$B:$B,MATCH($D519,'Attribute Definition'!$A:$A,0))</f>
        <v>Dạng sản phẩm</v>
      </c>
      <c r="F519" s="34" t="s">
        <v>2561</v>
      </c>
    </row>
    <row r="520" spans="1:6" x14ac:dyDescent="0.25">
      <c r="A520" t="s">
        <v>1812</v>
      </c>
      <c r="B520" s="18" t="str">
        <f>INDEX('Product Variant'!$B:$B,MATCH($A520,'Product Variant'!$A:$A,0))</f>
        <v>PRODUCT-00093</v>
      </c>
      <c r="C520" s="18" t="str">
        <f>INDEX(Product!$B:$B,MATCH($B520,Product!$A:$A,0))</f>
        <v>Túi hậu môn nhân tạo 1 mảnh loại trong</v>
      </c>
      <c r="D520" t="s">
        <v>2397</v>
      </c>
      <c r="E520" s="18" t="str">
        <f>INDEX('Attribute Definition'!$B:$B,MATCH($D520,'Attribute Definition'!$A:$A,0))</f>
        <v>Hệ thống HMNT</v>
      </c>
      <c r="F520" s="34" t="s">
        <v>2555</v>
      </c>
    </row>
    <row r="521" spans="1:6" x14ac:dyDescent="0.25">
      <c r="A521" t="s">
        <v>1812</v>
      </c>
      <c r="B521" s="18" t="str">
        <f>INDEX('Product Variant'!$B:$B,MATCH($A521,'Product Variant'!$A:$A,0))</f>
        <v>PRODUCT-00093</v>
      </c>
      <c r="C521" s="18" t="str">
        <f>INDEX(Product!$B:$B,MATCH($B521,Product!$A:$A,0))</f>
        <v>Túi hậu môn nhân tạo 1 mảnh loại trong</v>
      </c>
      <c r="D521" t="s">
        <v>2406</v>
      </c>
      <c r="E521" s="18" t="str">
        <f>INDEX('Attribute Definition'!$B:$B,MATCH($D521,'Attribute Definition'!$A:$A,0))</f>
        <v>Độ trong của túi</v>
      </c>
      <c r="F521" s="34" t="s">
        <v>2525</v>
      </c>
    </row>
    <row r="522" spans="1:6" x14ac:dyDescent="0.25">
      <c r="A522" t="s">
        <v>1812</v>
      </c>
      <c r="B522" s="18" t="str">
        <f>INDEX('Product Variant'!$B:$B,MATCH($A522,'Product Variant'!$A:$A,0))</f>
        <v>PRODUCT-00093</v>
      </c>
      <c r="C522" s="18" t="str">
        <f>INDEX(Product!$B:$B,MATCH($B522,Product!$A:$A,0))</f>
        <v>Túi hậu môn nhân tạo 1 mảnh loại trong</v>
      </c>
      <c r="D522" t="s">
        <v>2471</v>
      </c>
      <c r="E522" s="18" t="str">
        <f>INDEX('Attribute Definition'!$B:$B,MATCH($D522,'Attribute Definition'!$A:$A,0))</f>
        <v>Dạng sản phẩm</v>
      </c>
      <c r="F522" s="34" t="s">
        <v>817</v>
      </c>
    </row>
    <row r="523" spans="1:6" x14ac:dyDescent="0.25">
      <c r="A523" t="s">
        <v>1813</v>
      </c>
      <c r="B523" s="18" t="str">
        <f>INDEX('Product Variant'!$B:$B,MATCH($A523,'Product Variant'!$A:$A,0))</f>
        <v>PRODUCT-00094</v>
      </c>
      <c r="C523" s="18" t="str">
        <f>INDEX(Product!$B:$B,MATCH($B523,Product!$A:$A,0))</f>
        <v>[Mepro] Đế rời túi hậu môn nhân tạo 2 mảnh viền vải không dệt</v>
      </c>
      <c r="D523" t="s">
        <v>2367</v>
      </c>
      <c r="E523" s="18" t="str">
        <f>INDEX('Attribute Definition'!$B:$B,MATCH($D523,'Attribute Definition'!$A:$A,0))</f>
        <v>Chất liệu</v>
      </c>
      <c r="F523" s="34" t="s">
        <v>2565</v>
      </c>
    </row>
    <row r="524" spans="1:6" x14ac:dyDescent="0.25">
      <c r="A524" t="s">
        <v>1813</v>
      </c>
      <c r="B524" s="18" t="str">
        <f>INDEX('Product Variant'!$B:$B,MATCH($A524,'Product Variant'!$A:$A,0))</f>
        <v>PRODUCT-00094</v>
      </c>
      <c r="C524" s="18" t="str">
        <f>INDEX(Product!$B:$B,MATCH($B524,Product!$A:$A,0))</f>
        <v>[Mepro] Đế rời túi hậu môn nhân tạo 2 mảnh viền vải không dệt</v>
      </c>
      <c r="D524" t="s">
        <v>2391</v>
      </c>
      <c r="E524" s="18" t="str">
        <f>INDEX('Attribute Definition'!$B:$B,MATCH($D524,'Attribute Definition'!$A:$A,0))</f>
        <v>Kiểu viền</v>
      </c>
      <c r="F524" s="34" t="s">
        <v>2566</v>
      </c>
    </row>
    <row r="525" spans="1:6" x14ac:dyDescent="0.25">
      <c r="A525" t="s">
        <v>1813</v>
      </c>
      <c r="B525" s="18" t="str">
        <f>INDEX('Product Variant'!$B:$B,MATCH($A525,'Product Variant'!$A:$A,0))</f>
        <v>PRODUCT-00094</v>
      </c>
      <c r="C525" s="18" t="str">
        <f>INDEX(Product!$B:$B,MATCH($B525,Product!$A:$A,0))</f>
        <v>[Mepro] Đế rời túi hậu môn nhân tạo 2 mảnh viền vải không dệt</v>
      </c>
      <c r="D525" t="s">
        <v>2397</v>
      </c>
      <c r="E525" s="18" t="str">
        <f>INDEX('Attribute Definition'!$B:$B,MATCH($D525,'Attribute Definition'!$A:$A,0))</f>
        <v>Hệ thống HMNT</v>
      </c>
      <c r="F525" s="34" t="s">
        <v>2558</v>
      </c>
    </row>
    <row r="526" spans="1:6" x14ac:dyDescent="0.25">
      <c r="A526" t="s">
        <v>1813</v>
      </c>
      <c r="B526" s="18" t="str">
        <f>INDEX('Product Variant'!$B:$B,MATCH($A526,'Product Variant'!$A:$A,0))</f>
        <v>PRODUCT-00094</v>
      </c>
      <c r="C526" s="18" t="str">
        <f>INDEX(Product!$B:$B,MATCH($B526,Product!$A:$A,0))</f>
        <v>[Mepro] Đế rời túi hậu môn nhân tạo 2 mảnh viền vải không dệt</v>
      </c>
      <c r="D526" t="s">
        <v>2471</v>
      </c>
      <c r="E526" s="18" t="str">
        <f>INDEX('Attribute Definition'!$B:$B,MATCH($D526,'Attribute Definition'!$A:$A,0))</f>
        <v>Dạng sản phẩm</v>
      </c>
      <c r="F526" s="34" t="s">
        <v>2559</v>
      </c>
    </row>
    <row r="527" spans="1:6" x14ac:dyDescent="0.25">
      <c r="A527" t="s">
        <v>1814</v>
      </c>
      <c r="B527" s="18" t="str">
        <f>INDEX('Product Variant'!$B:$B,MATCH($A527,'Product Variant'!$A:$A,0))</f>
        <v>PRODUCT-00095</v>
      </c>
      <c r="C527" s="18" t="str">
        <f>INDEX(Product!$B:$B,MATCH($B527,Product!$A:$A,0))</f>
        <v>[Hollister] Bộ túi hậu môn nhân tạo 2 mảnh - Kẹp rời</v>
      </c>
      <c r="D527" t="s">
        <v>2397</v>
      </c>
      <c r="E527" s="18" t="str">
        <f>INDEX('Attribute Definition'!$B:$B,MATCH($D527,'Attribute Definition'!$A:$A,0))</f>
        <v>Hệ thống HMNT</v>
      </c>
      <c r="F527" s="34" t="s">
        <v>2558</v>
      </c>
    </row>
    <row r="528" spans="1:6" x14ac:dyDescent="0.25">
      <c r="A528" t="s">
        <v>1814</v>
      </c>
      <c r="B528" s="18" t="str">
        <f>INDEX('Product Variant'!$B:$B,MATCH($A528,'Product Variant'!$A:$A,0))</f>
        <v>PRODUCT-00095</v>
      </c>
      <c r="C528" s="18" t="str">
        <f>INDEX(Product!$B:$B,MATCH($B528,Product!$A:$A,0))</f>
        <v>[Hollister] Bộ túi hậu môn nhân tạo 2 mảnh - Kẹp rời</v>
      </c>
      <c r="D528" t="s">
        <v>2401</v>
      </c>
      <c r="E528" s="18" t="str">
        <f>INDEX('Attribute Definition'!$B:$B,MATCH($D528,'Attribute Definition'!$A:$A,0))</f>
        <v>Kiểu khóa / xả</v>
      </c>
      <c r="F528" s="34" t="s">
        <v>2562</v>
      </c>
    </row>
    <row r="529" spans="1:6" x14ac:dyDescent="0.25">
      <c r="A529" t="s">
        <v>1814</v>
      </c>
      <c r="B529" s="18" t="str">
        <f>INDEX('Product Variant'!$B:$B,MATCH($A529,'Product Variant'!$A:$A,0))</f>
        <v>PRODUCT-00095</v>
      </c>
      <c r="C529" s="18" t="str">
        <f>INDEX(Product!$B:$B,MATCH($B529,Product!$A:$A,0))</f>
        <v>[Hollister] Bộ túi hậu môn nhân tạo 2 mảnh - Kẹp rời</v>
      </c>
      <c r="D529" t="s">
        <v>2471</v>
      </c>
      <c r="E529" s="18" t="str">
        <f>INDEX('Attribute Definition'!$B:$B,MATCH($D529,'Attribute Definition'!$A:$A,0))</f>
        <v>Dạng sản phẩm</v>
      </c>
      <c r="F529" s="34" t="s">
        <v>817</v>
      </c>
    </row>
    <row r="530" spans="1:6" x14ac:dyDescent="0.25">
      <c r="A530" t="s">
        <v>1815</v>
      </c>
      <c r="B530" s="18" t="str">
        <f>INDEX('Product Variant'!$B:$B,MATCH($A530,'Product Variant'!$A:$A,0))</f>
        <v>PRODUCT-00096</v>
      </c>
      <c r="C530" s="18" t="str">
        <f>INDEX(Product!$B:$B,MATCH($B530,Product!$A:$A,0))</f>
        <v>[Hollister] Bộ túi hậu môn nhân tạo 2 mảnh - Khóa cuộn</v>
      </c>
      <c r="D530" t="s">
        <v>2397</v>
      </c>
      <c r="E530" s="18" t="str">
        <f>INDEX('Attribute Definition'!$B:$B,MATCH($D530,'Attribute Definition'!$A:$A,0))</f>
        <v>Hệ thống HMNT</v>
      </c>
      <c r="F530" s="34" t="s">
        <v>2558</v>
      </c>
    </row>
    <row r="531" spans="1:6" x14ac:dyDescent="0.25">
      <c r="A531" t="s">
        <v>1815</v>
      </c>
      <c r="B531" s="18" t="str">
        <f>INDEX('Product Variant'!$B:$B,MATCH($A531,'Product Variant'!$A:$A,0))</f>
        <v>PRODUCT-00096</v>
      </c>
      <c r="C531" s="18" t="str">
        <f>INDEX(Product!$B:$B,MATCH($B531,Product!$A:$A,0))</f>
        <v>[Hollister] Bộ túi hậu môn nhân tạo 2 mảnh - Khóa cuộn</v>
      </c>
      <c r="D531" t="s">
        <v>2401</v>
      </c>
      <c r="E531" s="18" t="str">
        <f>INDEX('Attribute Definition'!$B:$B,MATCH($D531,'Attribute Definition'!$A:$A,0))</f>
        <v>Kiểu khóa / xả</v>
      </c>
      <c r="F531" s="34" t="s">
        <v>2567</v>
      </c>
    </row>
    <row r="532" spans="1:6" x14ac:dyDescent="0.25">
      <c r="A532" t="s">
        <v>1815</v>
      </c>
      <c r="B532" s="18" t="str">
        <f>INDEX('Product Variant'!$B:$B,MATCH($A532,'Product Variant'!$A:$A,0))</f>
        <v>PRODUCT-00096</v>
      </c>
      <c r="C532" s="18" t="str">
        <f>INDEX(Product!$B:$B,MATCH($B532,Product!$A:$A,0))</f>
        <v>[Hollister] Bộ túi hậu môn nhân tạo 2 mảnh - Khóa cuộn</v>
      </c>
      <c r="D532" t="s">
        <v>2471</v>
      </c>
      <c r="E532" s="18" t="str">
        <f>INDEX('Attribute Definition'!$B:$B,MATCH($D532,'Attribute Definition'!$A:$A,0))</f>
        <v>Dạng sản phẩm</v>
      </c>
      <c r="F532" s="34" t="s">
        <v>817</v>
      </c>
    </row>
    <row r="533" spans="1:6" x14ac:dyDescent="0.25">
      <c r="A533" t="s">
        <v>1816</v>
      </c>
      <c r="B533" s="18" t="str">
        <f>INDEX('Product Variant'!$B:$B,MATCH($A533,'Product Variant'!$A:$A,0))</f>
        <v>PRODUCT-00097</v>
      </c>
      <c r="C533" s="18" t="str">
        <f>INDEX(Product!$B:$B,MATCH($B533,Product!$A:$A,0))</f>
        <v>[Hollister] Túi hậu môn nhân tạo 2 mảnh có bộ lọc khử mùi xả khí</v>
      </c>
      <c r="D533" t="s">
        <v>2397</v>
      </c>
      <c r="E533" s="18" t="str">
        <f>INDEX('Attribute Definition'!$B:$B,MATCH($D533,'Attribute Definition'!$A:$A,0))</f>
        <v>Hệ thống HMNT</v>
      </c>
      <c r="F533" s="34" t="s">
        <v>2558</v>
      </c>
    </row>
    <row r="534" spans="1:6" x14ac:dyDescent="0.25">
      <c r="A534" t="s">
        <v>1816</v>
      </c>
      <c r="B534" s="18" t="str">
        <f>INDEX('Product Variant'!$B:$B,MATCH($A534,'Product Variant'!$A:$A,0))</f>
        <v>PRODUCT-00097</v>
      </c>
      <c r="C534" s="18" t="str">
        <f>INDEX(Product!$B:$B,MATCH($B534,Product!$A:$A,0))</f>
        <v>[Hollister] Túi hậu môn nhân tạo 2 mảnh có bộ lọc khử mùi xả khí</v>
      </c>
      <c r="D534" t="s">
        <v>2471</v>
      </c>
      <c r="E534" s="18" t="str">
        <f>INDEX('Attribute Definition'!$B:$B,MATCH($D534,'Attribute Definition'!$A:$A,0))</f>
        <v>Dạng sản phẩm</v>
      </c>
      <c r="F534" s="34" t="s">
        <v>817</v>
      </c>
    </row>
    <row r="535" spans="1:6" x14ac:dyDescent="0.25">
      <c r="A535" t="s">
        <v>1817</v>
      </c>
      <c r="B535" s="18" t="str">
        <f>INDEX('Product Variant'!$B:$B,MATCH($A535,'Product Variant'!$A:$A,0))</f>
        <v>PRODUCT-00098</v>
      </c>
      <c r="C535" s="18" t="str">
        <f>INDEX(Product!$B:$B,MATCH($B535,Product!$A:$A,0))</f>
        <v>[Hollister] Túi hậu môn nhân tạo 2 mảnh dùng kèm đế rời</v>
      </c>
      <c r="D535" t="s">
        <v>2397</v>
      </c>
      <c r="E535" s="18" t="str">
        <f>INDEX('Attribute Definition'!$B:$B,MATCH($D535,'Attribute Definition'!$A:$A,0))</f>
        <v>Hệ thống HMNT</v>
      </c>
      <c r="F535" s="34" t="s">
        <v>2558</v>
      </c>
    </row>
    <row r="536" spans="1:6" x14ac:dyDescent="0.25">
      <c r="A536" t="s">
        <v>1817</v>
      </c>
      <c r="B536" s="18" t="str">
        <f>INDEX('Product Variant'!$B:$B,MATCH($A536,'Product Variant'!$A:$A,0))</f>
        <v>PRODUCT-00098</v>
      </c>
      <c r="C536" s="18" t="str">
        <f>INDEX(Product!$B:$B,MATCH($B536,Product!$A:$A,0))</f>
        <v>[Hollister] Túi hậu môn nhân tạo 2 mảnh dùng kèm đế rời</v>
      </c>
      <c r="D536" t="s">
        <v>2471</v>
      </c>
      <c r="E536" s="18" t="str">
        <f>INDEX('Attribute Definition'!$B:$B,MATCH($D536,'Attribute Definition'!$A:$A,0))</f>
        <v>Dạng sản phẩm</v>
      </c>
      <c r="F536" s="34" t="s">
        <v>817</v>
      </c>
    </row>
    <row r="537" spans="1:6" x14ac:dyDescent="0.25">
      <c r="A537" t="s">
        <v>1818</v>
      </c>
      <c r="B537" s="18" t="str">
        <f>INDEX('Product Variant'!$B:$B,MATCH($A537,'Product Variant'!$A:$A,0))</f>
        <v>PRODUCT-00099</v>
      </c>
      <c r="C537" s="18" t="str">
        <f>INDEX(Product!$B:$B,MATCH($B537,Product!$A:$A,0))</f>
        <v>[Mepro] Bộ túi hậu môn nhân tạo 2 mảnh - Kẹp rời</v>
      </c>
      <c r="D537" t="s">
        <v>2397</v>
      </c>
      <c r="E537" s="18" t="str">
        <f>INDEX('Attribute Definition'!$B:$B,MATCH($D537,'Attribute Definition'!$A:$A,0))</f>
        <v>Hệ thống HMNT</v>
      </c>
      <c r="F537" s="34" t="s">
        <v>2558</v>
      </c>
    </row>
    <row r="538" spans="1:6" x14ac:dyDescent="0.25">
      <c r="A538" t="s">
        <v>1818</v>
      </c>
      <c r="B538" s="18" t="str">
        <f>INDEX('Product Variant'!$B:$B,MATCH($A538,'Product Variant'!$A:$A,0))</f>
        <v>PRODUCT-00099</v>
      </c>
      <c r="C538" s="18" t="str">
        <f>INDEX(Product!$B:$B,MATCH($B538,Product!$A:$A,0))</f>
        <v>[Mepro] Bộ túi hậu môn nhân tạo 2 mảnh - Kẹp rời</v>
      </c>
      <c r="D538" t="s">
        <v>2401</v>
      </c>
      <c r="E538" s="18" t="str">
        <f>INDEX('Attribute Definition'!$B:$B,MATCH($D538,'Attribute Definition'!$A:$A,0))</f>
        <v>Kiểu khóa / xả</v>
      </c>
      <c r="F538" s="34" t="s">
        <v>2562</v>
      </c>
    </row>
    <row r="539" spans="1:6" x14ac:dyDescent="0.25">
      <c r="A539" t="s">
        <v>1818</v>
      </c>
      <c r="B539" s="18" t="str">
        <f>INDEX('Product Variant'!$B:$B,MATCH($A539,'Product Variant'!$A:$A,0))</f>
        <v>PRODUCT-00099</v>
      </c>
      <c r="C539" s="18" t="str">
        <f>INDEX(Product!$B:$B,MATCH($B539,Product!$A:$A,0))</f>
        <v>[Mepro] Bộ túi hậu môn nhân tạo 2 mảnh - Kẹp rời</v>
      </c>
      <c r="D539" t="s">
        <v>2471</v>
      </c>
      <c r="E539" s="18" t="str">
        <f>INDEX('Attribute Definition'!$B:$B,MATCH($D539,'Attribute Definition'!$A:$A,0))</f>
        <v>Dạng sản phẩm</v>
      </c>
      <c r="F539" s="34" t="s">
        <v>817</v>
      </c>
    </row>
    <row r="540" spans="1:6" x14ac:dyDescent="0.25">
      <c r="A540" t="s">
        <v>1819</v>
      </c>
      <c r="B540" s="18" t="str">
        <f>INDEX('Product Variant'!$B:$B,MATCH($A540,'Product Variant'!$A:$A,0))</f>
        <v>PRODUCT-00100</v>
      </c>
      <c r="C540" s="18" t="str">
        <f>INDEX(Product!$B:$B,MATCH($B540,Product!$A:$A,0))</f>
        <v>[Ostomy Care] Đế rời túi hậu môn nhân tạo 2 mảnh viền vải không dệt</v>
      </c>
      <c r="D540" t="s">
        <v>2367</v>
      </c>
      <c r="E540" s="18" t="str">
        <f>INDEX('Attribute Definition'!$B:$B,MATCH($D540,'Attribute Definition'!$A:$A,0))</f>
        <v>Chất liệu</v>
      </c>
      <c r="F540" s="34" t="s">
        <v>2565</v>
      </c>
    </row>
    <row r="541" spans="1:6" x14ac:dyDescent="0.25">
      <c r="A541" t="s">
        <v>1819</v>
      </c>
      <c r="B541" s="18" t="str">
        <f>INDEX('Product Variant'!$B:$B,MATCH($A541,'Product Variant'!$A:$A,0))</f>
        <v>PRODUCT-00100</v>
      </c>
      <c r="C541" s="18" t="str">
        <f>INDEX(Product!$B:$B,MATCH($B541,Product!$A:$A,0))</f>
        <v>[Ostomy Care] Đế rời túi hậu môn nhân tạo 2 mảnh viền vải không dệt</v>
      </c>
      <c r="D541" t="s">
        <v>2391</v>
      </c>
      <c r="E541" s="18" t="str">
        <f>INDEX('Attribute Definition'!$B:$B,MATCH($D541,'Attribute Definition'!$A:$A,0))</f>
        <v>Kiểu viền</v>
      </c>
      <c r="F541" s="34" t="s">
        <v>2566</v>
      </c>
    </row>
    <row r="542" spans="1:6" x14ac:dyDescent="0.25">
      <c r="A542" t="s">
        <v>1819</v>
      </c>
      <c r="B542" s="18" t="str">
        <f>INDEX('Product Variant'!$B:$B,MATCH($A542,'Product Variant'!$A:$A,0))</f>
        <v>PRODUCT-00100</v>
      </c>
      <c r="C542" s="18" t="str">
        <f>INDEX(Product!$B:$B,MATCH($B542,Product!$A:$A,0))</f>
        <v>[Ostomy Care] Đế rời túi hậu môn nhân tạo 2 mảnh viền vải không dệt</v>
      </c>
      <c r="D542" t="s">
        <v>2397</v>
      </c>
      <c r="E542" s="18" t="str">
        <f>INDEX('Attribute Definition'!$B:$B,MATCH($D542,'Attribute Definition'!$A:$A,0))</f>
        <v>Hệ thống HMNT</v>
      </c>
      <c r="F542" s="34" t="s">
        <v>2558</v>
      </c>
    </row>
    <row r="543" spans="1:6" x14ac:dyDescent="0.25">
      <c r="A543" t="s">
        <v>1819</v>
      </c>
      <c r="B543" s="18" t="str">
        <f>INDEX('Product Variant'!$B:$B,MATCH($A543,'Product Variant'!$A:$A,0))</f>
        <v>PRODUCT-00100</v>
      </c>
      <c r="C543" s="18" t="str">
        <f>INDEX(Product!$B:$B,MATCH($B543,Product!$A:$A,0))</f>
        <v>[Ostomy Care] Đế rời túi hậu môn nhân tạo 2 mảnh viền vải không dệt</v>
      </c>
      <c r="D543" t="s">
        <v>2471</v>
      </c>
      <c r="E543" s="18" t="str">
        <f>INDEX('Attribute Definition'!$B:$B,MATCH($D543,'Attribute Definition'!$A:$A,0))</f>
        <v>Dạng sản phẩm</v>
      </c>
      <c r="F543" s="34" t="s">
        <v>2559</v>
      </c>
    </row>
    <row r="544" spans="1:6" x14ac:dyDescent="0.25">
      <c r="A544" t="s">
        <v>1820</v>
      </c>
      <c r="B544" s="18" t="str">
        <f>INDEX('Product Variant'!$B:$B,MATCH($A544,'Product Variant'!$A:$A,0))</f>
        <v>PRODUCT-00101</v>
      </c>
      <c r="C544" s="18" t="str">
        <f>INDEX(Product!$B:$B,MATCH($B544,Product!$A:$A,0))</f>
        <v>[Mepro] Bộ túi hậu môn nhân tạo 2 mảnh - Khóa cuộn</v>
      </c>
      <c r="D544" t="s">
        <v>2397</v>
      </c>
      <c r="E544" s="18" t="str">
        <f>INDEX('Attribute Definition'!$B:$B,MATCH($D544,'Attribute Definition'!$A:$A,0))</f>
        <v>Hệ thống HMNT</v>
      </c>
      <c r="F544" s="34" t="s">
        <v>2558</v>
      </c>
    </row>
    <row r="545" spans="1:6" x14ac:dyDescent="0.25">
      <c r="A545" t="s">
        <v>1820</v>
      </c>
      <c r="B545" s="18" t="str">
        <f>INDEX('Product Variant'!$B:$B,MATCH($A545,'Product Variant'!$A:$A,0))</f>
        <v>PRODUCT-00101</v>
      </c>
      <c r="C545" s="18" t="str">
        <f>INDEX(Product!$B:$B,MATCH($B545,Product!$A:$A,0))</f>
        <v>[Mepro] Bộ túi hậu môn nhân tạo 2 mảnh - Khóa cuộn</v>
      </c>
      <c r="D545" t="s">
        <v>2401</v>
      </c>
      <c r="E545" s="18" t="str">
        <f>INDEX('Attribute Definition'!$B:$B,MATCH($D545,'Attribute Definition'!$A:$A,0))</f>
        <v>Kiểu khóa / xả</v>
      </c>
      <c r="F545" s="34" t="s">
        <v>2567</v>
      </c>
    </row>
    <row r="546" spans="1:6" x14ac:dyDescent="0.25">
      <c r="A546" t="s">
        <v>1820</v>
      </c>
      <c r="B546" s="18" t="str">
        <f>INDEX('Product Variant'!$B:$B,MATCH($A546,'Product Variant'!$A:$A,0))</f>
        <v>PRODUCT-00101</v>
      </c>
      <c r="C546" s="18" t="str">
        <f>INDEX(Product!$B:$B,MATCH($B546,Product!$A:$A,0))</f>
        <v>[Mepro] Bộ túi hậu môn nhân tạo 2 mảnh - Khóa cuộn</v>
      </c>
      <c r="D546" t="s">
        <v>2471</v>
      </c>
      <c r="E546" s="18" t="str">
        <f>INDEX('Attribute Definition'!$B:$B,MATCH($D546,'Attribute Definition'!$A:$A,0))</f>
        <v>Dạng sản phẩm</v>
      </c>
      <c r="F546" s="34" t="s">
        <v>817</v>
      </c>
    </row>
    <row r="547" spans="1:6" x14ac:dyDescent="0.25">
      <c r="A547" t="s">
        <v>1821</v>
      </c>
      <c r="B547" s="18" t="str">
        <f>INDEX('Product Variant'!$B:$B,MATCH($A547,'Product Variant'!$A:$A,0))</f>
        <v>PRODUCT-00102</v>
      </c>
      <c r="C547" s="18" t="str">
        <f>INDEX(Product!$B:$B,MATCH($B547,Product!$A:$A,0))</f>
        <v>[Mepro] Túi hậu môn nhân tạo 2 mảnh - Kẹp rời</v>
      </c>
      <c r="D547" t="s">
        <v>2397</v>
      </c>
      <c r="E547" s="18" t="str">
        <f>INDEX('Attribute Definition'!$B:$B,MATCH($D547,'Attribute Definition'!$A:$A,0))</f>
        <v>Hệ thống HMNT</v>
      </c>
      <c r="F547" s="34" t="s">
        <v>2558</v>
      </c>
    </row>
    <row r="548" spans="1:6" x14ac:dyDescent="0.25">
      <c r="A548" t="s">
        <v>1821</v>
      </c>
      <c r="B548" s="18" t="str">
        <f>INDEX('Product Variant'!$B:$B,MATCH($A548,'Product Variant'!$A:$A,0))</f>
        <v>PRODUCT-00102</v>
      </c>
      <c r="C548" s="18" t="str">
        <f>INDEX(Product!$B:$B,MATCH($B548,Product!$A:$A,0))</f>
        <v>[Mepro] Túi hậu môn nhân tạo 2 mảnh - Kẹp rời</v>
      </c>
      <c r="D548" t="s">
        <v>2401</v>
      </c>
      <c r="E548" s="18" t="str">
        <f>INDEX('Attribute Definition'!$B:$B,MATCH($D548,'Attribute Definition'!$A:$A,0))</f>
        <v>Kiểu khóa / xả</v>
      </c>
      <c r="F548" s="34" t="s">
        <v>2562</v>
      </c>
    </row>
    <row r="549" spans="1:6" x14ac:dyDescent="0.25">
      <c r="A549" t="s">
        <v>1821</v>
      </c>
      <c r="B549" s="18" t="str">
        <f>INDEX('Product Variant'!$B:$B,MATCH($A549,'Product Variant'!$A:$A,0))</f>
        <v>PRODUCT-00102</v>
      </c>
      <c r="C549" s="18" t="str">
        <f>INDEX(Product!$B:$B,MATCH($B549,Product!$A:$A,0))</f>
        <v>[Mepro] Túi hậu môn nhân tạo 2 mảnh - Kẹp rời</v>
      </c>
      <c r="D549" t="s">
        <v>2471</v>
      </c>
      <c r="E549" s="18" t="str">
        <f>INDEX('Attribute Definition'!$B:$B,MATCH($D549,'Attribute Definition'!$A:$A,0))</f>
        <v>Dạng sản phẩm</v>
      </c>
      <c r="F549" s="34" t="s">
        <v>817</v>
      </c>
    </row>
    <row r="550" spans="1:6" x14ac:dyDescent="0.25">
      <c r="A550" t="s">
        <v>1822</v>
      </c>
      <c r="B550" s="18" t="str">
        <f>INDEX('Product Variant'!$B:$B,MATCH($A550,'Product Variant'!$A:$A,0))</f>
        <v>PRODUCT-00103</v>
      </c>
      <c r="C550" s="18" t="str">
        <f>INDEX(Product!$B:$B,MATCH($B550,Product!$A:$A,0))</f>
        <v>[Mepro] Túi hậu môn nhân tạo 2 mảnh - Khóa cuộn</v>
      </c>
      <c r="D550" t="s">
        <v>2397</v>
      </c>
      <c r="E550" s="18" t="str">
        <f>INDEX('Attribute Definition'!$B:$B,MATCH($D550,'Attribute Definition'!$A:$A,0))</f>
        <v>Hệ thống HMNT</v>
      </c>
      <c r="F550" s="34" t="s">
        <v>2558</v>
      </c>
    </row>
    <row r="551" spans="1:6" x14ac:dyDescent="0.25">
      <c r="A551" t="s">
        <v>1822</v>
      </c>
      <c r="B551" s="18" t="str">
        <f>INDEX('Product Variant'!$B:$B,MATCH($A551,'Product Variant'!$A:$A,0))</f>
        <v>PRODUCT-00103</v>
      </c>
      <c r="C551" s="18" t="str">
        <f>INDEX(Product!$B:$B,MATCH($B551,Product!$A:$A,0))</f>
        <v>[Mepro] Túi hậu môn nhân tạo 2 mảnh - Khóa cuộn</v>
      </c>
      <c r="D551" t="s">
        <v>2401</v>
      </c>
      <c r="E551" s="18" t="str">
        <f>INDEX('Attribute Definition'!$B:$B,MATCH($D551,'Attribute Definition'!$A:$A,0))</f>
        <v>Kiểu khóa / xả</v>
      </c>
      <c r="F551" s="34" t="s">
        <v>2567</v>
      </c>
    </row>
    <row r="552" spans="1:6" x14ac:dyDescent="0.25">
      <c r="A552" t="s">
        <v>1822</v>
      </c>
      <c r="B552" s="18" t="str">
        <f>INDEX('Product Variant'!$B:$B,MATCH($A552,'Product Variant'!$A:$A,0))</f>
        <v>PRODUCT-00103</v>
      </c>
      <c r="C552" s="18" t="str">
        <f>INDEX(Product!$B:$B,MATCH($B552,Product!$A:$A,0))</f>
        <v>[Mepro] Túi hậu môn nhân tạo 2 mảnh - Khóa cuộn</v>
      </c>
      <c r="D552" t="s">
        <v>2471</v>
      </c>
      <c r="E552" s="18" t="str">
        <f>INDEX('Attribute Definition'!$B:$B,MATCH($D552,'Attribute Definition'!$A:$A,0))</f>
        <v>Dạng sản phẩm</v>
      </c>
      <c r="F552" s="34" t="s">
        <v>817</v>
      </c>
    </row>
    <row r="553" spans="1:6" x14ac:dyDescent="0.25">
      <c r="A553" t="s">
        <v>1823</v>
      </c>
      <c r="B553" s="18" t="str">
        <f>INDEX('Product Variant'!$B:$B,MATCH($A553,'Product Variant'!$A:$A,0))</f>
        <v>PRODUCT-00104</v>
      </c>
      <c r="C553" s="18" t="str">
        <f>INDEX(Product!$B:$B,MATCH($B553,Product!$A:$A,0))</f>
        <v>[SeaSight] Đế rời túi hậu môn nhân tạo 2 mảnh không viền vải</v>
      </c>
      <c r="D553" t="s">
        <v>2367</v>
      </c>
      <c r="E553" s="18" t="str">
        <f>INDEX('Attribute Definition'!$B:$B,MATCH($D553,'Attribute Definition'!$A:$A,0))</f>
        <v>Chất liệu</v>
      </c>
      <c r="F553" s="34" t="s">
        <v>2484</v>
      </c>
    </row>
    <row r="554" spans="1:6" x14ac:dyDescent="0.25">
      <c r="A554" t="s">
        <v>1823</v>
      </c>
      <c r="B554" s="18" t="str">
        <f>INDEX('Product Variant'!$B:$B,MATCH($A554,'Product Variant'!$A:$A,0))</f>
        <v>PRODUCT-00104</v>
      </c>
      <c r="C554" s="18" t="str">
        <f>INDEX(Product!$B:$B,MATCH($B554,Product!$A:$A,0))</f>
        <v>[SeaSight] Đế rời túi hậu môn nhân tạo 2 mảnh không viền vải</v>
      </c>
      <c r="D554" t="s">
        <v>2391</v>
      </c>
      <c r="E554" s="18" t="str">
        <f>INDEX('Attribute Definition'!$B:$B,MATCH($D554,'Attribute Definition'!$A:$A,0))</f>
        <v>Kiểu viền</v>
      </c>
      <c r="F554" s="34" t="s">
        <v>2568</v>
      </c>
    </row>
    <row r="555" spans="1:6" x14ac:dyDescent="0.25">
      <c r="A555" t="s">
        <v>1823</v>
      </c>
      <c r="B555" s="18" t="str">
        <f>INDEX('Product Variant'!$B:$B,MATCH($A555,'Product Variant'!$A:$A,0))</f>
        <v>PRODUCT-00104</v>
      </c>
      <c r="C555" s="18" t="str">
        <f>INDEX(Product!$B:$B,MATCH($B555,Product!$A:$A,0))</f>
        <v>[SeaSight] Đế rời túi hậu môn nhân tạo 2 mảnh không viền vải</v>
      </c>
      <c r="D555" t="s">
        <v>2397</v>
      </c>
      <c r="E555" s="18" t="str">
        <f>INDEX('Attribute Definition'!$B:$B,MATCH($D555,'Attribute Definition'!$A:$A,0))</f>
        <v>Hệ thống HMNT</v>
      </c>
      <c r="F555" s="34" t="s">
        <v>2558</v>
      </c>
    </row>
    <row r="556" spans="1:6" x14ac:dyDescent="0.25">
      <c r="A556" t="s">
        <v>1823</v>
      </c>
      <c r="B556" s="18" t="str">
        <f>INDEX('Product Variant'!$B:$B,MATCH($A556,'Product Variant'!$A:$A,0))</f>
        <v>PRODUCT-00104</v>
      </c>
      <c r="C556" s="18" t="str">
        <f>INDEX(Product!$B:$B,MATCH($B556,Product!$A:$A,0))</f>
        <v>[SeaSight] Đế rời túi hậu môn nhân tạo 2 mảnh không viền vải</v>
      </c>
      <c r="D556" t="s">
        <v>2471</v>
      </c>
      <c r="E556" s="18" t="str">
        <f>INDEX('Attribute Definition'!$B:$B,MATCH($D556,'Attribute Definition'!$A:$A,0))</f>
        <v>Dạng sản phẩm</v>
      </c>
      <c r="F556" s="34" t="s">
        <v>2559</v>
      </c>
    </row>
    <row r="557" spans="1:6" x14ac:dyDescent="0.25">
      <c r="A557" t="s">
        <v>1824</v>
      </c>
      <c r="B557" s="18" t="str">
        <f>INDEX('Product Variant'!$B:$B,MATCH($A557,'Product Variant'!$A:$A,0))</f>
        <v>PRODUCT-00105</v>
      </c>
      <c r="C557" s="18" t="str">
        <f>INDEX(Product!$B:$B,MATCH($B557,Product!$A:$A,0))</f>
        <v>[SeaSight] Túi nước tiểu nhân tạo 1 mảnh</v>
      </c>
      <c r="D557" t="s">
        <v>2397</v>
      </c>
      <c r="E557" s="18" t="str">
        <f>INDEX('Attribute Definition'!$B:$B,MATCH($D557,'Attribute Definition'!$A:$A,0))</f>
        <v>Hệ thống HMNT</v>
      </c>
      <c r="F557" s="34" t="s">
        <v>2555</v>
      </c>
    </row>
    <row r="558" spans="1:6" x14ac:dyDescent="0.25">
      <c r="A558" t="s">
        <v>1824</v>
      </c>
      <c r="B558" s="18" t="str">
        <f>INDEX('Product Variant'!$B:$B,MATCH($A558,'Product Variant'!$A:$A,0))</f>
        <v>PRODUCT-00105</v>
      </c>
      <c r="C558" s="18" t="str">
        <f>INDEX(Product!$B:$B,MATCH($B558,Product!$A:$A,0))</f>
        <v>[SeaSight] Túi nước tiểu nhân tạo 1 mảnh</v>
      </c>
      <c r="D558" t="s">
        <v>2471</v>
      </c>
      <c r="E558" s="18" t="str">
        <f>INDEX('Attribute Definition'!$B:$B,MATCH($D558,'Attribute Definition'!$A:$A,0))</f>
        <v>Dạng sản phẩm</v>
      </c>
      <c r="F558" s="34" t="s">
        <v>817</v>
      </c>
    </row>
    <row r="559" spans="1:6" x14ac:dyDescent="0.25">
      <c r="A559" t="s">
        <v>1825</v>
      </c>
      <c r="B559" s="18" t="str">
        <f>INDEX('Product Variant'!$B:$B,MATCH($A559,'Product Variant'!$A:$A,0))</f>
        <v>PRODUCT-00106</v>
      </c>
      <c r="C559" s="18" t="str">
        <f>INDEX(Product!$B:$B,MATCH($B559,Product!$A:$A,0))</f>
        <v>Keo cong cắt đế hậu môn nhân tạo</v>
      </c>
      <c r="D559" t="s">
        <v>2471</v>
      </c>
      <c r="E559" s="18" t="str">
        <f>INDEX('Attribute Definition'!$B:$B,MATCH($D559,'Attribute Definition'!$A:$A,0))</f>
        <v>Dạng sản phẩm</v>
      </c>
      <c r="F559" s="34" t="s">
        <v>2554</v>
      </c>
    </row>
    <row r="560" spans="1:6" x14ac:dyDescent="0.25">
      <c r="A560" t="s">
        <v>1826</v>
      </c>
      <c r="B560" s="18" t="str">
        <f>INDEX('Product Variant'!$B:$B,MATCH($A560,'Product Variant'!$A:$A,0))</f>
        <v>PRODUCT-00107</v>
      </c>
      <c r="C560" s="18" t="str">
        <f>INDEX(Product!$B:$B,MATCH($B560,Product!$A:$A,0))</f>
        <v>[Ostomy Care] Bộ túi hậu môn nhân tạo 2 mảnh - Khóa cuộn</v>
      </c>
      <c r="D560" t="s">
        <v>2397</v>
      </c>
      <c r="E560" s="18" t="str">
        <f>INDEX('Attribute Definition'!$B:$B,MATCH($D560,'Attribute Definition'!$A:$A,0))</f>
        <v>Hệ thống HMNT</v>
      </c>
      <c r="F560" s="34" t="s">
        <v>2558</v>
      </c>
    </row>
    <row r="561" spans="1:6" x14ac:dyDescent="0.25">
      <c r="A561" t="s">
        <v>1826</v>
      </c>
      <c r="B561" s="18" t="str">
        <f>INDEX('Product Variant'!$B:$B,MATCH($A561,'Product Variant'!$A:$A,0))</f>
        <v>PRODUCT-00107</v>
      </c>
      <c r="C561" s="18" t="str">
        <f>INDEX(Product!$B:$B,MATCH($B561,Product!$A:$A,0))</f>
        <v>[Ostomy Care] Bộ túi hậu môn nhân tạo 2 mảnh - Khóa cuộn</v>
      </c>
      <c r="D561" t="s">
        <v>2401</v>
      </c>
      <c r="E561" s="18" t="str">
        <f>INDEX('Attribute Definition'!$B:$B,MATCH($D561,'Attribute Definition'!$A:$A,0))</f>
        <v>Kiểu khóa / xả</v>
      </c>
      <c r="F561" s="34" t="s">
        <v>2567</v>
      </c>
    </row>
    <row r="562" spans="1:6" x14ac:dyDescent="0.25">
      <c r="A562" t="s">
        <v>1826</v>
      </c>
      <c r="B562" s="18" t="str">
        <f>INDEX('Product Variant'!$B:$B,MATCH($A562,'Product Variant'!$A:$A,0))</f>
        <v>PRODUCT-00107</v>
      </c>
      <c r="C562" s="18" t="str">
        <f>INDEX(Product!$B:$B,MATCH($B562,Product!$A:$A,0))</f>
        <v>[Ostomy Care] Bộ túi hậu môn nhân tạo 2 mảnh - Khóa cuộn</v>
      </c>
      <c r="D562" t="s">
        <v>2471</v>
      </c>
      <c r="E562" s="18" t="str">
        <f>INDEX('Attribute Definition'!$B:$B,MATCH($D562,'Attribute Definition'!$A:$A,0))</f>
        <v>Dạng sản phẩm</v>
      </c>
      <c r="F562" s="34" t="s">
        <v>817</v>
      </c>
    </row>
    <row r="563" spans="1:6" x14ac:dyDescent="0.25">
      <c r="A563" t="s">
        <v>1827</v>
      </c>
      <c r="B563" s="18" t="str">
        <f>INDEX('Product Variant'!$B:$B,MATCH($A563,'Product Variant'!$A:$A,0))</f>
        <v>PRODUCT-00108</v>
      </c>
      <c r="C563" s="18" t="str">
        <f>INDEX(Product!$B:$B,MATCH($B563,Product!$A:$A,0))</f>
        <v>[Ostomy Care] Túi hậu môn nhân tạo 2 mảnh - Khóa dán liền</v>
      </c>
      <c r="D563" t="s">
        <v>2397</v>
      </c>
      <c r="E563" s="18" t="str">
        <f>INDEX('Attribute Definition'!$B:$B,MATCH($D563,'Attribute Definition'!$A:$A,0))</f>
        <v>Hệ thống HMNT</v>
      </c>
      <c r="F563" s="34" t="s">
        <v>2558</v>
      </c>
    </row>
    <row r="564" spans="1:6" x14ac:dyDescent="0.25">
      <c r="A564" t="s">
        <v>1827</v>
      </c>
      <c r="B564" s="18" t="str">
        <f>INDEX('Product Variant'!$B:$B,MATCH($A564,'Product Variant'!$A:$A,0))</f>
        <v>PRODUCT-00108</v>
      </c>
      <c r="C564" s="18" t="str">
        <f>INDEX(Product!$B:$B,MATCH($B564,Product!$A:$A,0))</f>
        <v>[Ostomy Care] Túi hậu môn nhân tạo 2 mảnh - Khóa dán liền</v>
      </c>
      <c r="D564" t="s">
        <v>2401</v>
      </c>
      <c r="E564" s="18" t="str">
        <f>INDEX('Attribute Definition'!$B:$B,MATCH($D564,'Attribute Definition'!$A:$A,0))</f>
        <v>Kiểu khóa / xả</v>
      </c>
      <c r="F564" s="34" t="s">
        <v>2563</v>
      </c>
    </row>
    <row r="565" spans="1:6" x14ac:dyDescent="0.25">
      <c r="A565" t="s">
        <v>1827</v>
      </c>
      <c r="B565" s="18" t="str">
        <f>INDEX('Product Variant'!$B:$B,MATCH($A565,'Product Variant'!$A:$A,0))</f>
        <v>PRODUCT-00108</v>
      </c>
      <c r="C565" s="18" t="str">
        <f>INDEX(Product!$B:$B,MATCH($B565,Product!$A:$A,0))</f>
        <v>[Ostomy Care] Túi hậu môn nhân tạo 2 mảnh - Khóa dán liền</v>
      </c>
      <c r="D565" t="s">
        <v>2471</v>
      </c>
      <c r="E565" s="18" t="str">
        <f>INDEX('Attribute Definition'!$B:$B,MATCH($D565,'Attribute Definition'!$A:$A,0))</f>
        <v>Dạng sản phẩm</v>
      </c>
      <c r="F565" s="34" t="s">
        <v>817</v>
      </c>
    </row>
    <row r="566" spans="1:6" x14ac:dyDescent="0.25">
      <c r="A566" t="s">
        <v>1828</v>
      </c>
      <c r="B566" s="18" t="str">
        <f>INDEX('Product Variant'!$B:$B,MATCH($A566,'Product Variant'!$A:$A,0))</f>
        <v>PRODUCT-00109</v>
      </c>
      <c r="C566" s="18" t="str">
        <f>INDEX(Product!$B:$B,MATCH($B566,Product!$A:$A,0))</f>
        <v>Túi hậu môn nhân tạo 2 mảnh</v>
      </c>
      <c r="D566" t="s">
        <v>2397</v>
      </c>
      <c r="E566" s="18" t="str">
        <f>INDEX('Attribute Definition'!$B:$B,MATCH($D566,'Attribute Definition'!$A:$A,0))</f>
        <v>Hệ thống HMNT</v>
      </c>
      <c r="F566" s="34" t="s">
        <v>2558</v>
      </c>
    </row>
    <row r="567" spans="1:6" x14ac:dyDescent="0.25">
      <c r="A567" t="s">
        <v>1828</v>
      </c>
      <c r="B567" s="18" t="str">
        <f>INDEX('Product Variant'!$B:$B,MATCH($A567,'Product Variant'!$A:$A,0))</f>
        <v>PRODUCT-00109</v>
      </c>
      <c r="C567" s="18" t="str">
        <f>INDEX(Product!$B:$B,MATCH($B567,Product!$A:$A,0))</f>
        <v>Túi hậu môn nhân tạo 2 mảnh</v>
      </c>
      <c r="D567" t="s">
        <v>2471</v>
      </c>
      <c r="E567" s="18" t="str">
        <f>INDEX('Attribute Definition'!$B:$B,MATCH($D567,'Attribute Definition'!$A:$A,0))</f>
        <v>Dạng sản phẩm</v>
      </c>
      <c r="F567" s="34" t="s">
        <v>817</v>
      </c>
    </row>
    <row r="568" spans="1:6" x14ac:dyDescent="0.25">
      <c r="A568" t="s">
        <v>1829</v>
      </c>
      <c r="B568" s="18" t="str">
        <f>INDEX('Product Variant'!$B:$B,MATCH($A568,'Product Variant'!$A:$A,0))</f>
        <v>PRODUCT-00110</v>
      </c>
      <c r="C568" s="18" t="str">
        <f>INDEX(Product!$B:$B,MATCH($B568,Product!$A:$A,0))</f>
        <v>[Bicakcilar] Dụng cụ tập thở phế dung kế - B-SPIRO 5000</v>
      </c>
      <c r="D568" t="s">
        <v>2471</v>
      </c>
      <c r="E568" s="18" t="str">
        <f>INDEX('Attribute Definition'!$B:$B,MATCH($D568,'Attribute Definition'!$A:$A,0))</f>
        <v>Dạng sản phẩm</v>
      </c>
      <c r="F568" s="34" t="s">
        <v>2561</v>
      </c>
    </row>
    <row r="569" spans="1:6" x14ac:dyDescent="0.25">
      <c r="A569" t="s">
        <v>1830</v>
      </c>
      <c r="B569" s="18" t="str">
        <f>INDEX('Product Variant'!$B:$B,MATCH($A569,'Product Variant'!$A:$A,0))</f>
        <v>PRODUCT-00111</v>
      </c>
      <c r="C569" s="18" t="str">
        <f>INDEX(Product!$B:$B,MATCH($B569,Product!$A:$A,0))</f>
        <v>[Biotek] Mask thanh quản 1 nòng - Laryngeal Mask Airway</v>
      </c>
      <c r="D569" t="s">
        <v>2411</v>
      </c>
      <c r="E569" s="18" t="str">
        <f>INDEX('Attribute Definition'!$B:$B,MATCH($D569,'Attribute Definition'!$A:$A,0))</f>
        <v>Số nòng / nhánh</v>
      </c>
      <c r="F569" s="34" t="s">
        <v>2569</v>
      </c>
    </row>
    <row r="570" spans="1:6" x14ac:dyDescent="0.25">
      <c r="A570" t="s">
        <v>1830</v>
      </c>
      <c r="B570" s="18" t="str">
        <f>INDEX('Product Variant'!$B:$B,MATCH($A570,'Product Variant'!$A:$A,0))</f>
        <v>PRODUCT-00111</v>
      </c>
      <c r="C570" s="18" t="str">
        <f>INDEX(Product!$B:$B,MATCH($B570,Product!$A:$A,0))</f>
        <v>[Biotek] Mask thanh quản 1 nòng - Laryngeal Mask Airway</v>
      </c>
      <c r="D570" t="s">
        <v>2471</v>
      </c>
      <c r="E570" s="18" t="str">
        <f>INDEX('Attribute Definition'!$B:$B,MATCH($D570,'Attribute Definition'!$A:$A,0))</f>
        <v>Dạng sản phẩm</v>
      </c>
      <c r="F570" s="34" t="s">
        <v>2570</v>
      </c>
    </row>
    <row r="571" spans="1:6" x14ac:dyDescent="0.25">
      <c r="A571" t="s">
        <v>1830</v>
      </c>
      <c r="B571" s="18" t="str">
        <f>INDEX('Product Variant'!$B:$B,MATCH($A571,'Product Variant'!$A:$A,0))</f>
        <v>PRODUCT-00111</v>
      </c>
      <c r="C571" s="18" t="str">
        <f>INDEX(Product!$B:$B,MATCH($B571,Product!$A:$A,0))</f>
        <v>[Biotek] Mask thanh quản 1 nòng - Laryngeal Mask Airway</v>
      </c>
      <c r="D571" t="s">
        <v>2656</v>
      </c>
      <c r="E571" s="18" t="str">
        <f>INDEX('Attribute Definition'!$B:$B,MATCH($D571,'Attribute Definition'!$A:$A,0))</f>
        <v>Kích cỡ</v>
      </c>
      <c r="F571" s="34" t="s">
        <v>1164</v>
      </c>
    </row>
    <row r="572" spans="1:6" x14ac:dyDescent="0.25">
      <c r="A572" t="s">
        <v>1831</v>
      </c>
      <c r="B572" s="18" t="str">
        <f>INDEX('Product Variant'!$B:$B,MATCH($A572,'Product Variant'!$A:$A,0))</f>
        <v>PRODUCT-00111</v>
      </c>
      <c r="C572" s="18" t="str">
        <f>INDEX(Product!$B:$B,MATCH($B572,Product!$A:$A,0))</f>
        <v>[Biotek] Mask thanh quản 1 nòng - Laryngeal Mask Airway</v>
      </c>
      <c r="D572" t="s">
        <v>2411</v>
      </c>
      <c r="E572" s="18" t="str">
        <f>INDEX('Attribute Definition'!$B:$B,MATCH($D572,'Attribute Definition'!$A:$A,0))</f>
        <v>Số nòng / nhánh</v>
      </c>
      <c r="F572" s="34" t="s">
        <v>2569</v>
      </c>
    </row>
    <row r="573" spans="1:6" x14ac:dyDescent="0.25">
      <c r="A573" t="s">
        <v>1831</v>
      </c>
      <c r="B573" s="18" t="str">
        <f>INDEX('Product Variant'!$B:$B,MATCH($A573,'Product Variant'!$A:$A,0))</f>
        <v>PRODUCT-00111</v>
      </c>
      <c r="C573" s="18" t="str">
        <f>INDEX(Product!$B:$B,MATCH($B573,Product!$A:$A,0))</f>
        <v>[Biotek] Mask thanh quản 1 nòng - Laryngeal Mask Airway</v>
      </c>
      <c r="D573" t="s">
        <v>2471</v>
      </c>
      <c r="E573" s="18" t="str">
        <f>INDEX('Attribute Definition'!$B:$B,MATCH($D573,'Attribute Definition'!$A:$A,0))</f>
        <v>Dạng sản phẩm</v>
      </c>
      <c r="F573" s="34" t="s">
        <v>2570</v>
      </c>
    </row>
    <row r="574" spans="1:6" x14ac:dyDescent="0.25">
      <c r="A574" t="s">
        <v>1831</v>
      </c>
      <c r="B574" s="18" t="str">
        <f>INDEX('Product Variant'!$B:$B,MATCH($A574,'Product Variant'!$A:$A,0))</f>
        <v>PRODUCT-00111</v>
      </c>
      <c r="C574" s="18" t="str">
        <f>INDEX(Product!$B:$B,MATCH($B574,Product!$A:$A,0))</f>
        <v>[Biotek] Mask thanh quản 1 nòng - Laryngeal Mask Airway</v>
      </c>
      <c r="D574" t="s">
        <v>2656</v>
      </c>
      <c r="E574" s="18" t="str">
        <f>INDEX('Attribute Definition'!$B:$B,MATCH($D574,'Attribute Definition'!$A:$A,0))</f>
        <v>Kích cỡ</v>
      </c>
      <c r="F574" s="34" t="s">
        <v>1165</v>
      </c>
    </row>
    <row r="575" spans="1:6" x14ac:dyDescent="0.25">
      <c r="A575" t="s">
        <v>1832</v>
      </c>
      <c r="B575" s="18" t="str">
        <f>INDEX('Product Variant'!$B:$B,MATCH($A575,'Product Variant'!$A:$A,0))</f>
        <v>PRODUCT-00112</v>
      </c>
      <c r="C575" s="18" t="str">
        <f>INDEX(Product!$B:$B,MATCH($B575,Product!$A:$A,0))</f>
        <v>[Biotek] Mask thanh quản 2 nòng - Laryngeal Mask Airway</v>
      </c>
      <c r="D575" t="s">
        <v>2367</v>
      </c>
      <c r="E575" s="18" t="str">
        <f>INDEX('Attribute Definition'!$B:$B,MATCH($D575,'Attribute Definition'!$A:$A,0))</f>
        <v>Chất liệu</v>
      </c>
      <c r="F575" s="34" t="s">
        <v>2516</v>
      </c>
    </row>
    <row r="576" spans="1:6" x14ac:dyDescent="0.25">
      <c r="A576" t="s">
        <v>1832</v>
      </c>
      <c r="B576" s="18" t="str">
        <f>INDEX('Product Variant'!$B:$B,MATCH($A576,'Product Variant'!$A:$A,0))</f>
        <v>PRODUCT-00112</v>
      </c>
      <c r="C576" s="18" t="str">
        <f>INDEX(Product!$B:$B,MATCH($B576,Product!$A:$A,0))</f>
        <v>[Biotek] Mask thanh quản 2 nòng - Laryngeal Mask Airway</v>
      </c>
      <c r="D576" t="s">
        <v>2411</v>
      </c>
      <c r="E576" s="18" t="str">
        <f>INDEX('Attribute Definition'!$B:$B,MATCH($D576,'Attribute Definition'!$A:$A,0))</f>
        <v>Số nòng / nhánh</v>
      </c>
      <c r="F576" s="34" t="s">
        <v>2571</v>
      </c>
    </row>
    <row r="577" spans="1:6" x14ac:dyDescent="0.25">
      <c r="A577" t="s">
        <v>1832</v>
      </c>
      <c r="B577" s="18" t="str">
        <f>INDEX('Product Variant'!$B:$B,MATCH($A577,'Product Variant'!$A:$A,0))</f>
        <v>PRODUCT-00112</v>
      </c>
      <c r="C577" s="18" t="str">
        <f>INDEX(Product!$B:$B,MATCH($B577,Product!$A:$A,0))</f>
        <v>[Biotek] Mask thanh quản 2 nòng - Laryngeal Mask Airway</v>
      </c>
      <c r="D577" t="s">
        <v>2471</v>
      </c>
      <c r="E577" s="18" t="str">
        <f>INDEX('Attribute Definition'!$B:$B,MATCH($D577,'Attribute Definition'!$A:$A,0))</f>
        <v>Dạng sản phẩm</v>
      </c>
      <c r="F577" s="34" t="s">
        <v>2570</v>
      </c>
    </row>
    <row r="578" spans="1:6" x14ac:dyDescent="0.25">
      <c r="A578" t="s">
        <v>1832</v>
      </c>
      <c r="B578" s="18" t="str">
        <f>INDEX('Product Variant'!$B:$B,MATCH($A578,'Product Variant'!$A:$A,0))</f>
        <v>PRODUCT-00112</v>
      </c>
      <c r="C578" s="18" t="str">
        <f>INDEX(Product!$B:$B,MATCH($B578,Product!$A:$A,0))</f>
        <v>[Biotek] Mask thanh quản 2 nòng - Laryngeal Mask Airway</v>
      </c>
      <c r="D578" t="s">
        <v>2656</v>
      </c>
      <c r="E578" s="18" t="str">
        <f>INDEX('Attribute Definition'!$B:$B,MATCH($D578,'Attribute Definition'!$A:$A,0))</f>
        <v>Kích cỡ</v>
      </c>
      <c r="F578" s="34" t="s">
        <v>1164</v>
      </c>
    </row>
    <row r="579" spans="1:6" x14ac:dyDescent="0.25">
      <c r="A579" t="s">
        <v>1833</v>
      </c>
      <c r="B579" s="18" t="str">
        <f>INDEX('Product Variant'!$B:$B,MATCH($A579,'Product Variant'!$A:$A,0))</f>
        <v>PRODUCT-00112</v>
      </c>
      <c r="C579" s="18" t="str">
        <f>INDEX(Product!$B:$B,MATCH($B579,Product!$A:$A,0))</f>
        <v>[Biotek] Mask thanh quản 2 nòng - Laryngeal Mask Airway</v>
      </c>
      <c r="D579" t="s">
        <v>2367</v>
      </c>
      <c r="E579" s="18" t="str">
        <f>INDEX('Attribute Definition'!$B:$B,MATCH($D579,'Attribute Definition'!$A:$A,0))</f>
        <v>Chất liệu</v>
      </c>
      <c r="F579" s="34" t="s">
        <v>2516</v>
      </c>
    </row>
    <row r="580" spans="1:6" x14ac:dyDescent="0.25">
      <c r="A580" t="s">
        <v>1833</v>
      </c>
      <c r="B580" s="18" t="str">
        <f>INDEX('Product Variant'!$B:$B,MATCH($A580,'Product Variant'!$A:$A,0))</f>
        <v>PRODUCT-00112</v>
      </c>
      <c r="C580" s="18" t="str">
        <f>INDEX(Product!$B:$B,MATCH($B580,Product!$A:$A,0))</f>
        <v>[Biotek] Mask thanh quản 2 nòng - Laryngeal Mask Airway</v>
      </c>
      <c r="D580" t="s">
        <v>2411</v>
      </c>
      <c r="E580" s="18" t="str">
        <f>INDEX('Attribute Definition'!$B:$B,MATCH($D580,'Attribute Definition'!$A:$A,0))</f>
        <v>Số nòng / nhánh</v>
      </c>
      <c r="F580" s="34" t="s">
        <v>2571</v>
      </c>
    </row>
    <row r="581" spans="1:6" x14ac:dyDescent="0.25">
      <c r="A581" t="s">
        <v>1833</v>
      </c>
      <c r="B581" s="18" t="str">
        <f>INDEX('Product Variant'!$B:$B,MATCH($A581,'Product Variant'!$A:$A,0))</f>
        <v>PRODUCT-00112</v>
      </c>
      <c r="C581" s="18" t="str">
        <f>INDEX(Product!$B:$B,MATCH($B581,Product!$A:$A,0))</f>
        <v>[Biotek] Mask thanh quản 2 nòng - Laryngeal Mask Airway</v>
      </c>
      <c r="D581" t="s">
        <v>2471</v>
      </c>
      <c r="E581" s="18" t="str">
        <f>INDEX('Attribute Definition'!$B:$B,MATCH($D581,'Attribute Definition'!$A:$A,0))</f>
        <v>Dạng sản phẩm</v>
      </c>
      <c r="F581" s="34" t="s">
        <v>2570</v>
      </c>
    </row>
    <row r="582" spans="1:6" x14ac:dyDescent="0.25">
      <c r="A582" t="s">
        <v>1833</v>
      </c>
      <c r="B582" s="18" t="str">
        <f>INDEX('Product Variant'!$B:$B,MATCH($A582,'Product Variant'!$A:$A,0))</f>
        <v>PRODUCT-00112</v>
      </c>
      <c r="C582" s="18" t="str">
        <f>INDEX(Product!$B:$B,MATCH($B582,Product!$A:$A,0))</f>
        <v>[Biotek] Mask thanh quản 2 nòng - Laryngeal Mask Airway</v>
      </c>
      <c r="D582" t="s">
        <v>2656</v>
      </c>
      <c r="E582" s="18" t="str">
        <f>INDEX('Attribute Definition'!$B:$B,MATCH($D582,'Attribute Definition'!$A:$A,0))</f>
        <v>Kích cỡ</v>
      </c>
      <c r="F582" s="34" t="s">
        <v>1165</v>
      </c>
    </row>
    <row r="583" spans="1:6" x14ac:dyDescent="0.25">
      <c r="A583" t="s">
        <v>1834</v>
      </c>
      <c r="B583" s="18" t="str">
        <f>INDEX('Product Variant'!$B:$B,MATCH($A583,'Product Variant'!$A:$A,0))</f>
        <v>PRODUCT-00113</v>
      </c>
      <c r="C583" s="18" t="str">
        <f>INDEX(Product!$B:$B,MATCH($B583,Product!$A:$A,0))</f>
        <v>[Bornsun] Dây thở oxy 2 nhánh</v>
      </c>
      <c r="D583" t="s">
        <v>2367</v>
      </c>
      <c r="E583" s="18" t="str">
        <f>INDEX('Attribute Definition'!$B:$B,MATCH($D583,'Attribute Definition'!$A:$A,0))</f>
        <v>Chất liệu</v>
      </c>
      <c r="F583" s="34" t="s">
        <v>2572</v>
      </c>
    </row>
    <row r="584" spans="1:6" x14ac:dyDescent="0.25">
      <c r="A584" t="s">
        <v>1834</v>
      </c>
      <c r="B584" s="18" t="str">
        <f>INDEX('Product Variant'!$B:$B,MATCH($A584,'Product Variant'!$A:$A,0))</f>
        <v>PRODUCT-00113</v>
      </c>
      <c r="C584" s="18" t="str">
        <f>INDEX(Product!$B:$B,MATCH($B584,Product!$A:$A,0))</f>
        <v>[Bornsun] Dây thở oxy 2 nhánh</v>
      </c>
      <c r="D584" t="s">
        <v>2411</v>
      </c>
      <c r="E584" s="18" t="str">
        <f>INDEX('Attribute Definition'!$B:$B,MATCH($D584,'Attribute Definition'!$A:$A,0))</f>
        <v>Số nòng / nhánh</v>
      </c>
      <c r="F584" s="34" t="s">
        <v>2573</v>
      </c>
    </row>
    <row r="585" spans="1:6" x14ac:dyDescent="0.25">
      <c r="A585" t="s">
        <v>1834</v>
      </c>
      <c r="B585" s="18" t="str">
        <f>INDEX('Product Variant'!$B:$B,MATCH($A585,'Product Variant'!$A:$A,0))</f>
        <v>PRODUCT-00113</v>
      </c>
      <c r="C585" s="18" t="str">
        <f>INDEX(Product!$B:$B,MATCH($B585,Product!$A:$A,0))</f>
        <v>[Bornsun] Dây thở oxy 2 nhánh</v>
      </c>
      <c r="D585" t="s">
        <v>2471</v>
      </c>
      <c r="E585" s="18" t="str">
        <f>INDEX('Attribute Definition'!$B:$B,MATCH($D585,'Attribute Definition'!$A:$A,0))</f>
        <v>Dạng sản phẩm</v>
      </c>
      <c r="F585" s="34" t="s">
        <v>2574</v>
      </c>
    </row>
    <row r="586" spans="1:6" x14ac:dyDescent="0.25">
      <c r="A586" t="s">
        <v>1834</v>
      </c>
      <c r="B586" s="18" t="str">
        <f>INDEX('Product Variant'!$B:$B,MATCH($A586,'Product Variant'!$A:$A,0))</f>
        <v>PRODUCT-00113</v>
      </c>
      <c r="C586" s="18" t="str">
        <f>INDEX(Product!$B:$B,MATCH($B586,Product!$A:$A,0))</f>
        <v>[Bornsun] Dây thở oxy 2 nhánh</v>
      </c>
      <c r="D586" t="s">
        <v>2656</v>
      </c>
      <c r="E586" s="18" t="str">
        <f>INDEX('Attribute Definition'!$B:$B,MATCH($D586,'Attribute Definition'!$A:$A,0))</f>
        <v>Kích cỡ</v>
      </c>
      <c r="F586" s="34" t="s">
        <v>1155</v>
      </c>
    </row>
    <row r="587" spans="1:6" x14ac:dyDescent="0.25">
      <c r="A587" t="s">
        <v>1835</v>
      </c>
      <c r="B587" s="18" t="str">
        <f>INDEX('Product Variant'!$B:$B,MATCH($A587,'Product Variant'!$A:$A,0))</f>
        <v>PRODUCT-00113</v>
      </c>
      <c r="C587" s="18" t="str">
        <f>INDEX(Product!$B:$B,MATCH($B587,Product!$A:$A,0))</f>
        <v>[Bornsun] Dây thở oxy 2 nhánh</v>
      </c>
      <c r="D587" t="s">
        <v>2367</v>
      </c>
      <c r="E587" s="18" t="str">
        <f>INDEX('Attribute Definition'!$B:$B,MATCH($D587,'Attribute Definition'!$A:$A,0))</f>
        <v>Chất liệu</v>
      </c>
      <c r="F587" s="34" t="s">
        <v>2572</v>
      </c>
    </row>
    <row r="588" spans="1:6" x14ac:dyDescent="0.25">
      <c r="A588" t="s">
        <v>1835</v>
      </c>
      <c r="B588" s="18" t="str">
        <f>INDEX('Product Variant'!$B:$B,MATCH($A588,'Product Variant'!$A:$A,0))</f>
        <v>PRODUCT-00113</v>
      </c>
      <c r="C588" s="18" t="str">
        <f>INDEX(Product!$B:$B,MATCH($B588,Product!$A:$A,0))</f>
        <v>[Bornsun] Dây thở oxy 2 nhánh</v>
      </c>
      <c r="D588" t="s">
        <v>2411</v>
      </c>
      <c r="E588" s="18" t="str">
        <f>INDEX('Attribute Definition'!$B:$B,MATCH($D588,'Attribute Definition'!$A:$A,0))</f>
        <v>Số nòng / nhánh</v>
      </c>
      <c r="F588" s="34" t="s">
        <v>2573</v>
      </c>
    </row>
    <row r="589" spans="1:6" x14ac:dyDescent="0.25">
      <c r="A589" t="s">
        <v>1835</v>
      </c>
      <c r="B589" s="18" t="str">
        <f>INDEX('Product Variant'!$B:$B,MATCH($A589,'Product Variant'!$A:$A,0))</f>
        <v>PRODUCT-00113</v>
      </c>
      <c r="C589" s="18" t="str">
        <f>INDEX(Product!$B:$B,MATCH($B589,Product!$A:$A,0))</f>
        <v>[Bornsun] Dây thở oxy 2 nhánh</v>
      </c>
      <c r="D589" t="s">
        <v>2471</v>
      </c>
      <c r="E589" s="18" t="str">
        <f>INDEX('Attribute Definition'!$B:$B,MATCH($D589,'Attribute Definition'!$A:$A,0))</f>
        <v>Dạng sản phẩm</v>
      </c>
      <c r="F589" s="34" t="s">
        <v>2574</v>
      </c>
    </row>
    <row r="590" spans="1:6" x14ac:dyDescent="0.25">
      <c r="A590" t="s">
        <v>1835</v>
      </c>
      <c r="B590" s="18" t="str">
        <f>INDEX('Product Variant'!$B:$B,MATCH($A590,'Product Variant'!$A:$A,0))</f>
        <v>PRODUCT-00113</v>
      </c>
      <c r="C590" s="18" t="str">
        <f>INDEX(Product!$B:$B,MATCH($B590,Product!$A:$A,0))</f>
        <v>[Bornsun] Dây thở oxy 2 nhánh</v>
      </c>
      <c r="D590" t="s">
        <v>2656</v>
      </c>
      <c r="E590" s="18" t="str">
        <f>INDEX('Attribute Definition'!$B:$B,MATCH($D590,'Attribute Definition'!$A:$A,0))</f>
        <v>Kích cỡ</v>
      </c>
      <c r="F590" s="34" t="s">
        <v>1157</v>
      </c>
    </row>
    <row r="591" spans="1:6" x14ac:dyDescent="0.25">
      <c r="A591" t="s">
        <v>1836</v>
      </c>
      <c r="B591" s="18" t="str">
        <f>INDEX('Product Variant'!$B:$B,MATCH($A591,'Product Variant'!$A:$A,0))</f>
        <v>PRODUCT-00114</v>
      </c>
      <c r="C591" s="18" t="str">
        <f>INDEX(Product!$B:$B,MATCH($B591,Product!$A:$A,0))</f>
        <v>[Bornsun] Mặt nạ thở oxy</v>
      </c>
      <c r="D591" t="s">
        <v>2367</v>
      </c>
      <c r="E591" s="18" t="str">
        <f>INDEX('Attribute Definition'!$B:$B,MATCH($D591,'Attribute Definition'!$A:$A,0))</f>
        <v>Chất liệu</v>
      </c>
      <c r="F591" s="34" t="s">
        <v>2572</v>
      </c>
    </row>
    <row r="592" spans="1:6" x14ac:dyDescent="0.25">
      <c r="A592" t="s">
        <v>1836</v>
      </c>
      <c r="B592" s="18" t="str">
        <f>INDEX('Product Variant'!$B:$B,MATCH($A592,'Product Variant'!$A:$A,0))</f>
        <v>PRODUCT-00114</v>
      </c>
      <c r="C592" s="18" t="str">
        <f>INDEX(Product!$B:$B,MATCH($B592,Product!$A:$A,0))</f>
        <v>[Bornsun] Mặt nạ thở oxy</v>
      </c>
      <c r="D592" t="s">
        <v>2471</v>
      </c>
      <c r="E592" s="18" t="str">
        <f>INDEX('Attribute Definition'!$B:$B,MATCH($D592,'Attribute Definition'!$A:$A,0))</f>
        <v>Dạng sản phẩm</v>
      </c>
      <c r="F592" s="34" t="s">
        <v>2570</v>
      </c>
    </row>
    <row r="593" spans="1:6" x14ac:dyDescent="0.25">
      <c r="A593" t="s">
        <v>1836</v>
      </c>
      <c r="B593" s="18" t="str">
        <f>INDEX('Product Variant'!$B:$B,MATCH($A593,'Product Variant'!$A:$A,0))</f>
        <v>PRODUCT-00114</v>
      </c>
      <c r="C593" s="18" t="str">
        <f>INDEX(Product!$B:$B,MATCH($B593,Product!$A:$A,0))</f>
        <v>[Bornsun] Mặt nạ thở oxy</v>
      </c>
      <c r="D593" t="s">
        <v>2656</v>
      </c>
      <c r="E593" s="18" t="str">
        <f>INDEX('Attribute Definition'!$B:$B,MATCH($D593,'Attribute Definition'!$A:$A,0))</f>
        <v>Kích cỡ</v>
      </c>
      <c r="F593" s="34" t="s">
        <v>1155</v>
      </c>
    </row>
    <row r="594" spans="1:6" x14ac:dyDescent="0.25">
      <c r="A594" t="s">
        <v>1837</v>
      </c>
      <c r="B594" s="18" t="str">
        <f>INDEX('Product Variant'!$B:$B,MATCH($A594,'Product Variant'!$A:$A,0))</f>
        <v>PRODUCT-00114</v>
      </c>
      <c r="C594" s="18" t="str">
        <f>INDEX(Product!$B:$B,MATCH($B594,Product!$A:$A,0))</f>
        <v>[Bornsun] Mặt nạ thở oxy</v>
      </c>
      <c r="D594" t="s">
        <v>2367</v>
      </c>
      <c r="E594" s="18" t="str">
        <f>INDEX('Attribute Definition'!$B:$B,MATCH($D594,'Attribute Definition'!$A:$A,0))</f>
        <v>Chất liệu</v>
      </c>
      <c r="F594" s="34" t="s">
        <v>2572</v>
      </c>
    </row>
    <row r="595" spans="1:6" x14ac:dyDescent="0.25">
      <c r="A595" t="s">
        <v>1837</v>
      </c>
      <c r="B595" s="18" t="str">
        <f>INDEX('Product Variant'!$B:$B,MATCH($A595,'Product Variant'!$A:$A,0))</f>
        <v>PRODUCT-00114</v>
      </c>
      <c r="C595" s="18" t="str">
        <f>INDEX(Product!$B:$B,MATCH($B595,Product!$A:$A,0))</f>
        <v>[Bornsun] Mặt nạ thở oxy</v>
      </c>
      <c r="D595" t="s">
        <v>2471</v>
      </c>
      <c r="E595" s="18" t="str">
        <f>INDEX('Attribute Definition'!$B:$B,MATCH($D595,'Attribute Definition'!$A:$A,0))</f>
        <v>Dạng sản phẩm</v>
      </c>
      <c r="F595" s="34" t="s">
        <v>2570</v>
      </c>
    </row>
    <row r="596" spans="1:6" x14ac:dyDescent="0.25">
      <c r="A596" t="s">
        <v>1837</v>
      </c>
      <c r="B596" s="18" t="str">
        <f>INDEX('Product Variant'!$B:$B,MATCH($A596,'Product Variant'!$A:$A,0))</f>
        <v>PRODUCT-00114</v>
      </c>
      <c r="C596" s="18" t="str">
        <f>INDEX(Product!$B:$B,MATCH($B596,Product!$A:$A,0))</f>
        <v>[Bornsun] Mặt nạ thở oxy</v>
      </c>
      <c r="D596" t="s">
        <v>2656</v>
      </c>
      <c r="E596" s="18" t="str">
        <f>INDEX('Attribute Definition'!$B:$B,MATCH($D596,'Attribute Definition'!$A:$A,0))</f>
        <v>Kích cỡ</v>
      </c>
      <c r="F596" s="34" t="s">
        <v>1156</v>
      </c>
    </row>
    <row r="597" spans="1:6" x14ac:dyDescent="0.25">
      <c r="A597" t="s">
        <v>1838</v>
      </c>
      <c r="B597" s="18" t="str">
        <f>INDEX('Product Variant'!$B:$B,MATCH($A597,'Product Variant'!$A:$A,0))</f>
        <v>PRODUCT-00114</v>
      </c>
      <c r="C597" s="18" t="str">
        <f>INDEX(Product!$B:$B,MATCH($B597,Product!$A:$A,0))</f>
        <v>[Bornsun] Mặt nạ thở oxy</v>
      </c>
      <c r="D597" t="s">
        <v>2367</v>
      </c>
      <c r="E597" s="18" t="str">
        <f>INDEX('Attribute Definition'!$B:$B,MATCH($D597,'Attribute Definition'!$A:$A,0))</f>
        <v>Chất liệu</v>
      </c>
      <c r="F597" s="34" t="s">
        <v>2572</v>
      </c>
    </row>
    <row r="598" spans="1:6" x14ac:dyDescent="0.25">
      <c r="A598" t="s">
        <v>1838</v>
      </c>
      <c r="B598" s="18" t="str">
        <f>INDEX('Product Variant'!$B:$B,MATCH($A598,'Product Variant'!$A:$A,0))</f>
        <v>PRODUCT-00114</v>
      </c>
      <c r="C598" s="18" t="str">
        <f>INDEX(Product!$B:$B,MATCH($B598,Product!$A:$A,0))</f>
        <v>[Bornsun] Mặt nạ thở oxy</v>
      </c>
      <c r="D598" t="s">
        <v>2471</v>
      </c>
      <c r="E598" s="18" t="str">
        <f>INDEX('Attribute Definition'!$B:$B,MATCH($D598,'Attribute Definition'!$A:$A,0))</f>
        <v>Dạng sản phẩm</v>
      </c>
      <c r="F598" s="34" t="s">
        <v>2570</v>
      </c>
    </row>
    <row r="599" spans="1:6" x14ac:dyDescent="0.25">
      <c r="A599" t="s">
        <v>1838</v>
      </c>
      <c r="B599" s="18" t="str">
        <f>INDEX('Product Variant'!$B:$B,MATCH($A599,'Product Variant'!$A:$A,0))</f>
        <v>PRODUCT-00114</v>
      </c>
      <c r="C599" s="18" t="str">
        <f>INDEX(Product!$B:$B,MATCH($B599,Product!$A:$A,0))</f>
        <v>[Bornsun] Mặt nạ thở oxy</v>
      </c>
      <c r="D599" t="s">
        <v>2656</v>
      </c>
      <c r="E599" s="18" t="str">
        <f>INDEX('Attribute Definition'!$B:$B,MATCH($D599,'Attribute Definition'!$A:$A,0))</f>
        <v>Kích cỡ</v>
      </c>
      <c r="F599" s="34" t="s">
        <v>1157</v>
      </c>
    </row>
    <row r="600" spans="1:6" x14ac:dyDescent="0.25">
      <c r="A600" t="s">
        <v>1839</v>
      </c>
      <c r="B600" s="18" t="str">
        <f>INDEX('Product Variant'!$B:$B,MATCH($A600,'Product Variant'!$A:$A,0))</f>
        <v>PRODUCT-00114</v>
      </c>
      <c r="C600" s="18" t="str">
        <f>INDEX(Product!$B:$B,MATCH($B600,Product!$A:$A,0))</f>
        <v>[Bornsun] Mặt nạ thở oxy</v>
      </c>
      <c r="D600" t="s">
        <v>2367</v>
      </c>
      <c r="E600" s="18" t="str">
        <f>INDEX('Attribute Definition'!$B:$B,MATCH($D600,'Attribute Definition'!$A:$A,0))</f>
        <v>Chất liệu</v>
      </c>
      <c r="F600" s="34" t="s">
        <v>2572</v>
      </c>
    </row>
    <row r="601" spans="1:6" x14ac:dyDescent="0.25">
      <c r="A601" t="s">
        <v>1839</v>
      </c>
      <c r="B601" s="18" t="str">
        <f>INDEX('Product Variant'!$B:$B,MATCH($A601,'Product Variant'!$A:$A,0))</f>
        <v>PRODUCT-00114</v>
      </c>
      <c r="C601" s="18" t="str">
        <f>INDEX(Product!$B:$B,MATCH($B601,Product!$A:$A,0))</f>
        <v>[Bornsun] Mặt nạ thở oxy</v>
      </c>
      <c r="D601" t="s">
        <v>2471</v>
      </c>
      <c r="E601" s="18" t="str">
        <f>INDEX('Attribute Definition'!$B:$B,MATCH($D601,'Attribute Definition'!$A:$A,0))</f>
        <v>Dạng sản phẩm</v>
      </c>
      <c r="F601" s="34" t="s">
        <v>2570</v>
      </c>
    </row>
    <row r="602" spans="1:6" x14ac:dyDescent="0.25">
      <c r="A602" t="s">
        <v>1839</v>
      </c>
      <c r="B602" s="18" t="str">
        <f>INDEX('Product Variant'!$B:$B,MATCH($A602,'Product Variant'!$A:$A,0))</f>
        <v>PRODUCT-00114</v>
      </c>
      <c r="C602" s="18" t="str">
        <f>INDEX(Product!$B:$B,MATCH($B602,Product!$A:$A,0))</f>
        <v>[Bornsun] Mặt nạ thở oxy</v>
      </c>
      <c r="D602" t="s">
        <v>2656</v>
      </c>
      <c r="E602" s="18" t="str">
        <f>INDEX('Attribute Definition'!$B:$B,MATCH($D602,'Attribute Definition'!$A:$A,0))</f>
        <v>Kích cỡ</v>
      </c>
      <c r="F602" s="34" t="s">
        <v>1158</v>
      </c>
    </row>
    <row r="603" spans="1:6" x14ac:dyDescent="0.25">
      <c r="A603" t="s">
        <v>1840</v>
      </c>
      <c r="B603" s="18" t="str">
        <f>INDEX('Product Variant'!$B:$B,MATCH($A603,'Product Variant'!$A:$A,0))</f>
        <v>PRODUCT-00115</v>
      </c>
      <c r="C603" s="18" t="str">
        <f>INDEX(Product!$B:$B,MATCH($B603,Product!$A:$A,0))</f>
        <v>[Bornsun] Mặt nạ xông khí dung</v>
      </c>
      <c r="D603" t="s">
        <v>2471</v>
      </c>
      <c r="E603" s="18" t="str">
        <f>INDEX('Attribute Definition'!$B:$B,MATCH($D603,'Attribute Definition'!$A:$A,0))</f>
        <v>Dạng sản phẩm</v>
      </c>
      <c r="F603" s="34" t="s">
        <v>2570</v>
      </c>
    </row>
    <row r="604" spans="1:6" x14ac:dyDescent="0.25">
      <c r="A604" t="s">
        <v>1841</v>
      </c>
      <c r="B604" s="18" t="str">
        <f>INDEX('Product Variant'!$B:$B,MATCH($A604,'Product Variant'!$A:$A,0))</f>
        <v>PRODUCT-00116</v>
      </c>
      <c r="C604" s="18" t="str">
        <f>INDEX(Product!$B:$B,MATCH($B604,Product!$A:$A,0))</f>
        <v>[Bornsun] Xông hút đờm kín</v>
      </c>
      <c r="D604" t="s">
        <v>2471</v>
      </c>
      <c r="E604" s="18" t="str">
        <f>INDEX('Attribute Definition'!$B:$B,MATCH($D604,'Attribute Definition'!$A:$A,0))</f>
        <v>Dạng sản phẩm</v>
      </c>
      <c r="F604" s="34" t="s">
        <v>2574</v>
      </c>
    </row>
    <row r="605" spans="1:6" x14ac:dyDescent="0.25">
      <c r="A605" t="s">
        <v>1841</v>
      </c>
      <c r="B605" s="18" t="str">
        <f>INDEX('Product Variant'!$B:$B,MATCH($A605,'Product Variant'!$A:$A,0))</f>
        <v>PRODUCT-00116</v>
      </c>
      <c r="C605" s="18" t="str">
        <f>INDEX(Product!$B:$B,MATCH($B605,Product!$A:$A,0))</f>
        <v>[Bornsun] Xông hút đờm kín</v>
      </c>
      <c r="D605" t="s">
        <v>2656</v>
      </c>
      <c r="E605" s="18" t="str">
        <f>INDEX('Attribute Definition'!$B:$B,MATCH($D605,'Attribute Definition'!$A:$A,0))</f>
        <v>Kích cỡ</v>
      </c>
      <c r="F605" s="34" t="s">
        <v>1166</v>
      </c>
    </row>
    <row r="606" spans="1:6" x14ac:dyDescent="0.25">
      <c r="A606" t="s">
        <v>1842</v>
      </c>
      <c r="B606" s="18" t="str">
        <f>INDEX('Product Variant'!$B:$B,MATCH($A606,'Product Variant'!$A:$A,0))</f>
        <v>PRODUCT-00116</v>
      </c>
      <c r="C606" s="18" t="str">
        <f>INDEX(Product!$B:$B,MATCH($B606,Product!$A:$A,0))</f>
        <v>[Bornsun] Xông hút đờm kín</v>
      </c>
      <c r="D606" t="s">
        <v>2471</v>
      </c>
      <c r="E606" s="18" t="str">
        <f>INDEX('Attribute Definition'!$B:$B,MATCH($D606,'Attribute Definition'!$A:$A,0))</f>
        <v>Dạng sản phẩm</v>
      </c>
      <c r="F606" s="34" t="s">
        <v>2574</v>
      </c>
    </row>
    <row r="607" spans="1:6" x14ac:dyDescent="0.25">
      <c r="A607" t="s">
        <v>1842</v>
      </c>
      <c r="B607" s="18" t="str">
        <f>INDEX('Product Variant'!$B:$B,MATCH($A607,'Product Variant'!$A:$A,0))</f>
        <v>PRODUCT-00116</v>
      </c>
      <c r="C607" s="18" t="str">
        <f>INDEX(Product!$B:$B,MATCH($B607,Product!$A:$A,0))</f>
        <v>[Bornsun] Xông hút đờm kín</v>
      </c>
      <c r="D607" t="s">
        <v>2656</v>
      </c>
      <c r="E607" s="18" t="str">
        <f>INDEX('Attribute Definition'!$B:$B,MATCH($D607,'Attribute Definition'!$A:$A,0))</f>
        <v>Kích cỡ</v>
      </c>
      <c r="F607" s="34" t="s">
        <v>1167</v>
      </c>
    </row>
    <row r="608" spans="1:6" x14ac:dyDescent="0.25">
      <c r="A608" t="s">
        <v>1843</v>
      </c>
      <c r="B608" s="18" t="str">
        <f>INDEX('Product Variant'!$B:$B,MATCH($A608,'Product Variant'!$A:$A,0))</f>
        <v>PRODUCT-00117</v>
      </c>
      <c r="C608" s="18" t="str">
        <f>INDEX(Product!$B:$B,MATCH($B608,Product!$A:$A,0))</f>
        <v>[Covidien] Nòng trong ống mở khí quản - Shiley SIC</v>
      </c>
      <c r="D608" t="s">
        <v>2471</v>
      </c>
      <c r="E608" s="18" t="str">
        <f>INDEX('Attribute Definition'!$B:$B,MATCH($D608,'Attribute Definition'!$A:$A,0))</f>
        <v>Dạng sản phẩm</v>
      </c>
      <c r="F608" s="34" t="s">
        <v>2574</v>
      </c>
    </row>
    <row r="609" spans="1:6" x14ac:dyDescent="0.25">
      <c r="A609" t="s">
        <v>1843</v>
      </c>
      <c r="B609" s="18" t="str">
        <f>INDEX('Product Variant'!$B:$B,MATCH($A609,'Product Variant'!$A:$A,0))</f>
        <v>PRODUCT-00117</v>
      </c>
      <c r="C609" s="18" t="str">
        <f>INDEX(Product!$B:$B,MATCH($B609,Product!$A:$A,0))</f>
        <v>[Covidien] Nòng trong ống mở khí quản - Shiley SIC</v>
      </c>
      <c r="D609" t="s">
        <v>2656</v>
      </c>
      <c r="E609" s="18" t="str">
        <f>INDEX('Attribute Definition'!$B:$B,MATCH($D609,'Attribute Definition'!$A:$A,0))</f>
        <v>Kích cỡ</v>
      </c>
      <c r="F609" s="34" t="s">
        <v>1168</v>
      </c>
    </row>
    <row r="610" spans="1:6" x14ac:dyDescent="0.25">
      <c r="A610" t="s">
        <v>1844</v>
      </c>
      <c r="B610" s="18" t="str">
        <f>INDEX('Product Variant'!$B:$B,MATCH($A610,'Product Variant'!$A:$A,0))</f>
        <v>PRODUCT-00117</v>
      </c>
      <c r="C610" s="18" t="str">
        <f>INDEX(Product!$B:$B,MATCH($B610,Product!$A:$A,0))</f>
        <v>[Covidien] Nòng trong ống mở khí quản - Shiley SIC</v>
      </c>
      <c r="D610" t="s">
        <v>2471</v>
      </c>
      <c r="E610" s="18" t="str">
        <f>INDEX('Attribute Definition'!$B:$B,MATCH($D610,'Attribute Definition'!$A:$A,0))</f>
        <v>Dạng sản phẩm</v>
      </c>
      <c r="F610" s="34" t="s">
        <v>2574</v>
      </c>
    </row>
    <row r="611" spans="1:6" x14ac:dyDescent="0.25">
      <c r="A611" t="s">
        <v>1844</v>
      </c>
      <c r="B611" s="18" t="str">
        <f>INDEX('Product Variant'!$B:$B,MATCH($A611,'Product Variant'!$A:$A,0))</f>
        <v>PRODUCT-00117</v>
      </c>
      <c r="C611" s="18" t="str">
        <f>INDEX(Product!$B:$B,MATCH($B611,Product!$A:$A,0))</f>
        <v>[Covidien] Nòng trong ống mở khí quản - Shiley SIC</v>
      </c>
      <c r="D611" t="s">
        <v>2656</v>
      </c>
      <c r="E611" s="18" t="str">
        <f>INDEX('Attribute Definition'!$B:$B,MATCH($D611,'Attribute Definition'!$A:$A,0))</f>
        <v>Kích cỡ</v>
      </c>
      <c r="F611" s="34" t="s">
        <v>1169</v>
      </c>
    </row>
    <row r="612" spans="1:6" x14ac:dyDescent="0.25">
      <c r="A612" t="s">
        <v>1845</v>
      </c>
      <c r="B612" s="18" t="str">
        <f>INDEX('Product Variant'!$B:$B,MATCH($A612,'Product Variant'!$A:$A,0))</f>
        <v>PRODUCT-00118</v>
      </c>
      <c r="C612" s="18" t="str">
        <f>INDEX(Product!$B:$B,MATCH($B612,Product!$A:$A,0))</f>
        <v>[Covidien] Ống mở khí quản 2 nòng có bóng - Shiley LPC</v>
      </c>
      <c r="D612" t="s">
        <v>2411</v>
      </c>
      <c r="E612" s="18" t="str">
        <f>INDEX('Attribute Definition'!$B:$B,MATCH($D612,'Attribute Definition'!$A:$A,0))</f>
        <v>Số nòng / nhánh</v>
      </c>
      <c r="F612" s="34" t="s">
        <v>2571</v>
      </c>
    </row>
    <row r="613" spans="1:6" x14ac:dyDescent="0.25">
      <c r="A613" t="s">
        <v>1845</v>
      </c>
      <c r="B613" s="18" t="str">
        <f>INDEX('Product Variant'!$B:$B,MATCH($A613,'Product Variant'!$A:$A,0))</f>
        <v>PRODUCT-00118</v>
      </c>
      <c r="C613" s="18" t="str">
        <f>INDEX(Product!$B:$B,MATCH($B613,Product!$A:$A,0))</f>
        <v>[Covidien] Ống mở khí quản 2 nòng có bóng - Shiley LPC</v>
      </c>
      <c r="D613" t="s">
        <v>2416</v>
      </c>
      <c r="E613" s="18" t="str">
        <f>INDEX('Attribute Definition'!$B:$B,MATCH($D613,'Attribute Definition'!$A:$A,0))</f>
        <v>Bóng chèn</v>
      </c>
      <c r="F613" s="34" t="s">
        <v>2575</v>
      </c>
    </row>
    <row r="614" spans="1:6" x14ac:dyDescent="0.25">
      <c r="A614" t="s">
        <v>1845</v>
      </c>
      <c r="B614" s="18" t="str">
        <f>INDEX('Product Variant'!$B:$B,MATCH($A614,'Product Variant'!$A:$A,0))</f>
        <v>PRODUCT-00118</v>
      </c>
      <c r="C614" s="18" t="str">
        <f>INDEX(Product!$B:$B,MATCH($B614,Product!$A:$A,0))</f>
        <v>[Covidien] Ống mở khí quản 2 nòng có bóng - Shiley LPC</v>
      </c>
      <c r="D614" t="s">
        <v>2471</v>
      </c>
      <c r="E614" s="18" t="str">
        <f>INDEX('Attribute Definition'!$B:$B,MATCH($D614,'Attribute Definition'!$A:$A,0))</f>
        <v>Dạng sản phẩm</v>
      </c>
      <c r="F614" s="34" t="s">
        <v>2574</v>
      </c>
    </row>
    <row r="615" spans="1:6" x14ac:dyDescent="0.25">
      <c r="A615" t="s">
        <v>1845</v>
      </c>
      <c r="B615" s="18" t="str">
        <f>INDEX('Product Variant'!$B:$B,MATCH($A615,'Product Variant'!$A:$A,0))</f>
        <v>PRODUCT-00118</v>
      </c>
      <c r="C615" s="18" t="str">
        <f>INDEX(Product!$B:$B,MATCH($B615,Product!$A:$A,0))</f>
        <v>[Covidien] Ống mở khí quản 2 nòng có bóng - Shiley LPC</v>
      </c>
      <c r="D615" t="s">
        <v>2656</v>
      </c>
      <c r="E615" s="18" t="str">
        <f>INDEX('Attribute Definition'!$B:$B,MATCH($D615,'Attribute Definition'!$A:$A,0))</f>
        <v>Kích cỡ</v>
      </c>
      <c r="F615" s="34" t="s">
        <v>1168</v>
      </c>
    </row>
    <row r="616" spans="1:6" x14ac:dyDescent="0.25">
      <c r="A616" t="s">
        <v>1846</v>
      </c>
      <c r="B616" s="18" t="str">
        <f>INDEX('Product Variant'!$B:$B,MATCH($A616,'Product Variant'!$A:$A,0))</f>
        <v>PRODUCT-00118</v>
      </c>
      <c r="C616" s="18" t="str">
        <f>INDEX(Product!$B:$B,MATCH($B616,Product!$A:$A,0))</f>
        <v>[Covidien] Ống mở khí quản 2 nòng có bóng - Shiley LPC</v>
      </c>
      <c r="D616" t="s">
        <v>2411</v>
      </c>
      <c r="E616" s="18" t="str">
        <f>INDEX('Attribute Definition'!$B:$B,MATCH($D616,'Attribute Definition'!$A:$A,0))</f>
        <v>Số nòng / nhánh</v>
      </c>
      <c r="F616" s="34" t="s">
        <v>2571</v>
      </c>
    </row>
    <row r="617" spans="1:6" x14ac:dyDescent="0.25">
      <c r="A617" t="s">
        <v>1846</v>
      </c>
      <c r="B617" s="18" t="str">
        <f>INDEX('Product Variant'!$B:$B,MATCH($A617,'Product Variant'!$A:$A,0))</f>
        <v>PRODUCT-00118</v>
      </c>
      <c r="C617" s="18" t="str">
        <f>INDEX(Product!$B:$B,MATCH($B617,Product!$A:$A,0))</f>
        <v>[Covidien] Ống mở khí quản 2 nòng có bóng - Shiley LPC</v>
      </c>
      <c r="D617" t="s">
        <v>2416</v>
      </c>
      <c r="E617" s="18" t="str">
        <f>INDEX('Attribute Definition'!$B:$B,MATCH($D617,'Attribute Definition'!$A:$A,0))</f>
        <v>Bóng chèn</v>
      </c>
      <c r="F617" s="34" t="s">
        <v>2575</v>
      </c>
    </row>
    <row r="618" spans="1:6" x14ac:dyDescent="0.25">
      <c r="A618" t="s">
        <v>1846</v>
      </c>
      <c r="B618" s="18" t="str">
        <f>INDEX('Product Variant'!$B:$B,MATCH($A618,'Product Variant'!$A:$A,0))</f>
        <v>PRODUCT-00118</v>
      </c>
      <c r="C618" s="18" t="str">
        <f>INDEX(Product!$B:$B,MATCH($B618,Product!$A:$A,0))</f>
        <v>[Covidien] Ống mở khí quản 2 nòng có bóng - Shiley LPC</v>
      </c>
      <c r="D618" t="s">
        <v>2471</v>
      </c>
      <c r="E618" s="18" t="str">
        <f>INDEX('Attribute Definition'!$B:$B,MATCH($D618,'Attribute Definition'!$A:$A,0))</f>
        <v>Dạng sản phẩm</v>
      </c>
      <c r="F618" s="34" t="s">
        <v>2574</v>
      </c>
    </row>
    <row r="619" spans="1:6" x14ac:dyDescent="0.25">
      <c r="A619" t="s">
        <v>1846</v>
      </c>
      <c r="B619" s="18" t="str">
        <f>INDEX('Product Variant'!$B:$B,MATCH($A619,'Product Variant'!$A:$A,0))</f>
        <v>PRODUCT-00118</v>
      </c>
      <c r="C619" s="18" t="str">
        <f>INDEX(Product!$B:$B,MATCH($B619,Product!$A:$A,0))</f>
        <v>[Covidien] Ống mở khí quản 2 nòng có bóng - Shiley LPC</v>
      </c>
      <c r="D619" t="s">
        <v>2656</v>
      </c>
      <c r="E619" s="18" t="str">
        <f>INDEX('Attribute Definition'!$B:$B,MATCH($D619,'Attribute Definition'!$A:$A,0))</f>
        <v>Kích cỡ</v>
      </c>
      <c r="F619" s="34" t="s">
        <v>1169</v>
      </c>
    </row>
    <row r="620" spans="1:6" x14ac:dyDescent="0.25">
      <c r="A620" t="s">
        <v>1847</v>
      </c>
      <c r="B620" s="18" t="str">
        <f>INDEX('Product Variant'!$B:$B,MATCH($A620,'Product Variant'!$A:$A,0))</f>
        <v>PRODUCT-00119</v>
      </c>
      <c r="C620" s="18" t="str">
        <f>INDEX(Product!$B:$B,MATCH($B620,Product!$A:$A,0))</f>
        <v>[Covidien] Ống mở khí quản 2 nòng có bóng, có cửa sổ - Shiley FEN</v>
      </c>
      <c r="D620" t="s">
        <v>2411</v>
      </c>
      <c r="E620" s="18" t="str">
        <f>INDEX('Attribute Definition'!$B:$B,MATCH($D620,'Attribute Definition'!$A:$A,0))</f>
        <v>Số nòng / nhánh</v>
      </c>
      <c r="F620" s="34" t="s">
        <v>2571</v>
      </c>
    </row>
    <row r="621" spans="1:6" x14ac:dyDescent="0.25">
      <c r="A621" t="s">
        <v>1847</v>
      </c>
      <c r="B621" s="18" t="str">
        <f>INDEX('Product Variant'!$B:$B,MATCH($A621,'Product Variant'!$A:$A,0))</f>
        <v>PRODUCT-00119</v>
      </c>
      <c r="C621" s="18" t="str">
        <f>INDEX(Product!$B:$B,MATCH($B621,Product!$A:$A,0))</f>
        <v>[Covidien] Ống mở khí quản 2 nòng có bóng, có cửa sổ - Shiley FEN</v>
      </c>
      <c r="D621" t="s">
        <v>2416</v>
      </c>
      <c r="E621" s="18" t="str">
        <f>INDEX('Attribute Definition'!$B:$B,MATCH($D621,'Attribute Definition'!$A:$A,0))</f>
        <v>Bóng chèn</v>
      </c>
      <c r="F621" s="34" t="s">
        <v>2575</v>
      </c>
    </row>
    <row r="622" spans="1:6" x14ac:dyDescent="0.25">
      <c r="A622" t="s">
        <v>1847</v>
      </c>
      <c r="B622" s="18" t="str">
        <f>INDEX('Product Variant'!$B:$B,MATCH($A622,'Product Variant'!$A:$A,0))</f>
        <v>PRODUCT-00119</v>
      </c>
      <c r="C622" s="18" t="str">
        <f>INDEX(Product!$B:$B,MATCH($B622,Product!$A:$A,0))</f>
        <v>[Covidien] Ống mở khí quản 2 nòng có bóng, có cửa sổ - Shiley FEN</v>
      </c>
      <c r="D622" t="s">
        <v>2421</v>
      </c>
      <c r="E622" s="18" t="str">
        <f>INDEX('Attribute Definition'!$B:$B,MATCH($D622,'Attribute Definition'!$A:$A,0))</f>
        <v>Cửa sổ</v>
      </c>
      <c r="F622" s="34" t="s">
        <v>2576</v>
      </c>
    </row>
    <row r="623" spans="1:6" x14ac:dyDescent="0.25">
      <c r="A623" t="s">
        <v>1847</v>
      </c>
      <c r="B623" s="18" t="str">
        <f>INDEX('Product Variant'!$B:$B,MATCH($A623,'Product Variant'!$A:$A,0))</f>
        <v>PRODUCT-00119</v>
      </c>
      <c r="C623" s="18" t="str">
        <f>INDEX(Product!$B:$B,MATCH($B623,Product!$A:$A,0))</f>
        <v>[Covidien] Ống mở khí quản 2 nòng có bóng, có cửa sổ - Shiley FEN</v>
      </c>
      <c r="D623" t="s">
        <v>2471</v>
      </c>
      <c r="E623" s="18" t="str">
        <f>INDEX('Attribute Definition'!$B:$B,MATCH($D623,'Attribute Definition'!$A:$A,0))</f>
        <v>Dạng sản phẩm</v>
      </c>
      <c r="F623" s="34" t="s">
        <v>2574</v>
      </c>
    </row>
    <row r="624" spans="1:6" x14ac:dyDescent="0.25">
      <c r="A624" t="s">
        <v>1847</v>
      </c>
      <c r="B624" s="18" t="str">
        <f>INDEX('Product Variant'!$B:$B,MATCH($A624,'Product Variant'!$A:$A,0))</f>
        <v>PRODUCT-00119</v>
      </c>
      <c r="C624" s="18" t="str">
        <f>INDEX(Product!$B:$B,MATCH($B624,Product!$A:$A,0))</f>
        <v>[Covidien] Ống mở khí quản 2 nòng có bóng, có cửa sổ - Shiley FEN</v>
      </c>
      <c r="D624" t="s">
        <v>2656</v>
      </c>
      <c r="E624" s="18" t="str">
        <f>INDEX('Attribute Definition'!$B:$B,MATCH($D624,'Attribute Definition'!$A:$A,0))</f>
        <v>Kích cỡ</v>
      </c>
      <c r="F624" s="34" t="s">
        <v>1168</v>
      </c>
    </row>
    <row r="625" spans="1:6" x14ac:dyDescent="0.25">
      <c r="A625" t="s">
        <v>1848</v>
      </c>
      <c r="B625" s="18" t="str">
        <f>INDEX('Product Variant'!$B:$B,MATCH($A625,'Product Variant'!$A:$A,0))</f>
        <v>PRODUCT-00119</v>
      </c>
      <c r="C625" s="18" t="str">
        <f>INDEX(Product!$B:$B,MATCH($B625,Product!$A:$A,0))</f>
        <v>[Covidien] Ống mở khí quản 2 nòng có bóng, có cửa sổ - Shiley FEN</v>
      </c>
      <c r="D625" t="s">
        <v>2411</v>
      </c>
      <c r="E625" s="18" t="str">
        <f>INDEX('Attribute Definition'!$B:$B,MATCH($D625,'Attribute Definition'!$A:$A,0))</f>
        <v>Số nòng / nhánh</v>
      </c>
      <c r="F625" s="34" t="s">
        <v>2571</v>
      </c>
    </row>
    <row r="626" spans="1:6" x14ac:dyDescent="0.25">
      <c r="A626" t="s">
        <v>1848</v>
      </c>
      <c r="B626" s="18" t="str">
        <f>INDEX('Product Variant'!$B:$B,MATCH($A626,'Product Variant'!$A:$A,0))</f>
        <v>PRODUCT-00119</v>
      </c>
      <c r="C626" s="18" t="str">
        <f>INDEX(Product!$B:$B,MATCH($B626,Product!$A:$A,0))</f>
        <v>[Covidien] Ống mở khí quản 2 nòng có bóng, có cửa sổ - Shiley FEN</v>
      </c>
      <c r="D626" t="s">
        <v>2416</v>
      </c>
      <c r="E626" s="18" t="str">
        <f>INDEX('Attribute Definition'!$B:$B,MATCH($D626,'Attribute Definition'!$A:$A,0))</f>
        <v>Bóng chèn</v>
      </c>
      <c r="F626" s="34" t="s">
        <v>2575</v>
      </c>
    </row>
    <row r="627" spans="1:6" x14ac:dyDescent="0.25">
      <c r="A627" t="s">
        <v>1848</v>
      </c>
      <c r="B627" s="18" t="str">
        <f>INDEX('Product Variant'!$B:$B,MATCH($A627,'Product Variant'!$A:$A,0))</f>
        <v>PRODUCT-00119</v>
      </c>
      <c r="C627" s="18" t="str">
        <f>INDEX(Product!$B:$B,MATCH($B627,Product!$A:$A,0))</f>
        <v>[Covidien] Ống mở khí quản 2 nòng có bóng, có cửa sổ - Shiley FEN</v>
      </c>
      <c r="D627" t="s">
        <v>2421</v>
      </c>
      <c r="E627" s="18" t="str">
        <f>INDEX('Attribute Definition'!$B:$B,MATCH($D627,'Attribute Definition'!$A:$A,0))</f>
        <v>Cửa sổ</v>
      </c>
      <c r="F627" s="34" t="s">
        <v>2576</v>
      </c>
    </row>
    <row r="628" spans="1:6" x14ac:dyDescent="0.25">
      <c r="A628" t="s">
        <v>1848</v>
      </c>
      <c r="B628" s="18" t="str">
        <f>INDEX('Product Variant'!$B:$B,MATCH($A628,'Product Variant'!$A:$A,0))</f>
        <v>PRODUCT-00119</v>
      </c>
      <c r="C628" s="18" t="str">
        <f>INDEX(Product!$B:$B,MATCH($B628,Product!$A:$A,0))</f>
        <v>[Covidien] Ống mở khí quản 2 nòng có bóng, có cửa sổ - Shiley FEN</v>
      </c>
      <c r="D628" t="s">
        <v>2471</v>
      </c>
      <c r="E628" s="18" t="str">
        <f>INDEX('Attribute Definition'!$B:$B,MATCH($D628,'Attribute Definition'!$A:$A,0))</f>
        <v>Dạng sản phẩm</v>
      </c>
      <c r="F628" s="34" t="s">
        <v>2574</v>
      </c>
    </row>
    <row r="629" spans="1:6" x14ac:dyDescent="0.25">
      <c r="A629" t="s">
        <v>1848</v>
      </c>
      <c r="B629" s="18" t="str">
        <f>INDEX('Product Variant'!$B:$B,MATCH($A629,'Product Variant'!$A:$A,0))</f>
        <v>PRODUCT-00119</v>
      </c>
      <c r="C629" s="18" t="str">
        <f>INDEX(Product!$B:$B,MATCH($B629,Product!$A:$A,0))</f>
        <v>[Covidien] Ống mở khí quản 2 nòng có bóng, có cửa sổ - Shiley FEN</v>
      </c>
      <c r="D629" t="s">
        <v>2656</v>
      </c>
      <c r="E629" s="18" t="str">
        <f>INDEX('Attribute Definition'!$B:$B,MATCH($D629,'Attribute Definition'!$A:$A,0))</f>
        <v>Kích cỡ</v>
      </c>
      <c r="F629" s="34" t="s">
        <v>1169</v>
      </c>
    </row>
    <row r="630" spans="1:6" x14ac:dyDescent="0.25">
      <c r="A630" t="s">
        <v>1849</v>
      </c>
      <c r="B630" s="18" t="str">
        <f>INDEX('Product Variant'!$B:$B,MATCH($A630,'Product Variant'!$A:$A,0))</f>
        <v>PRODUCT-00120</v>
      </c>
      <c r="C630" s="18" t="str">
        <f>INDEX(Product!$B:$B,MATCH($B630,Product!$A:$A,0))</f>
        <v>[Covidien] Ống mở khí quản 2 nòng không bóng, có cửa sổ - Shiley CFN</v>
      </c>
      <c r="D630" t="s">
        <v>2411</v>
      </c>
      <c r="E630" s="18" t="str">
        <f>INDEX('Attribute Definition'!$B:$B,MATCH($D630,'Attribute Definition'!$A:$A,0))</f>
        <v>Số nòng / nhánh</v>
      </c>
      <c r="F630" s="34" t="s">
        <v>2571</v>
      </c>
    </row>
    <row r="631" spans="1:6" x14ac:dyDescent="0.25">
      <c r="A631" t="s">
        <v>1849</v>
      </c>
      <c r="B631" s="18" t="str">
        <f>INDEX('Product Variant'!$B:$B,MATCH($A631,'Product Variant'!$A:$A,0))</f>
        <v>PRODUCT-00120</v>
      </c>
      <c r="C631" s="18" t="str">
        <f>INDEX(Product!$B:$B,MATCH($B631,Product!$A:$A,0))</f>
        <v>[Covidien] Ống mở khí quản 2 nòng không bóng, có cửa sổ - Shiley CFN</v>
      </c>
      <c r="D631" t="s">
        <v>2416</v>
      </c>
      <c r="E631" s="18" t="str">
        <f>INDEX('Attribute Definition'!$B:$B,MATCH($D631,'Attribute Definition'!$A:$A,0))</f>
        <v>Bóng chèn</v>
      </c>
      <c r="F631" s="34" t="s">
        <v>2577</v>
      </c>
    </row>
    <row r="632" spans="1:6" x14ac:dyDescent="0.25">
      <c r="A632" t="s">
        <v>1849</v>
      </c>
      <c r="B632" s="18" t="str">
        <f>INDEX('Product Variant'!$B:$B,MATCH($A632,'Product Variant'!$A:$A,0))</f>
        <v>PRODUCT-00120</v>
      </c>
      <c r="C632" s="18" t="str">
        <f>INDEX(Product!$B:$B,MATCH($B632,Product!$A:$A,0))</f>
        <v>[Covidien] Ống mở khí quản 2 nòng không bóng, có cửa sổ - Shiley CFN</v>
      </c>
      <c r="D632" t="s">
        <v>2421</v>
      </c>
      <c r="E632" s="18" t="str">
        <f>INDEX('Attribute Definition'!$B:$B,MATCH($D632,'Attribute Definition'!$A:$A,0))</f>
        <v>Cửa sổ</v>
      </c>
      <c r="F632" s="34" t="s">
        <v>2576</v>
      </c>
    </row>
    <row r="633" spans="1:6" x14ac:dyDescent="0.25">
      <c r="A633" t="s">
        <v>1849</v>
      </c>
      <c r="B633" s="18" t="str">
        <f>INDEX('Product Variant'!$B:$B,MATCH($A633,'Product Variant'!$A:$A,0))</f>
        <v>PRODUCT-00120</v>
      </c>
      <c r="C633" s="18" t="str">
        <f>INDEX(Product!$B:$B,MATCH($B633,Product!$A:$A,0))</f>
        <v>[Covidien] Ống mở khí quản 2 nòng không bóng, có cửa sổ - Shiley CFN</v>
      </c>
      <c r="D633" t="s">
        <v>2471</v>
      </c>
      <c r="E633" s="18" t="str">
        <f>INDEX('Attribute Definition'!$B:$B,MATCH($D633,'Attribute Definition'!$A:$A,0))</f>
        <v>Dạng sản phẩm</v>
      </c>
      <c r="F633" s="34" t="s">
        <v>2574</v>
      </c>
    </row>
    <row r="634" spans="1:6" x14ac:dyDescent="0.25">
      <c r="A634" t="s">
        <v>1849</v>
      </c>
      <c r="B634" s="18" t="str">
        <f>INDEX('Product Variant'!$B:$B,MATCH($A634,'Product Variant'!$A:$A,0))</f>
        <v>PRODUCT-00120</v>
      </c>
      <c r="C634" s="18" t="str">
        <f>INDEX(Product!$B:$B,MATCH($B634,Product!$A:$A,0))</f>
        <v>[Covidien] Ống mở khí quản 2 nòng không bóng, có cửa sổ - Shiley CFN</v>
      </c>
      <c r="D634" t="s">
        <v>2656</v>
      </c>
      <c r="E634" s="18" t="str">
        <f>INDEX('Attribute Definition'!$B:$B,MATCH($D634,'Attribute Definition'!$A:$A,0))</f>
        <v>Kích cỡ</v>
      </c>
      <c r="F634" s="34" t="s">
        <v>1168</v>
      </c>
    </row>
    <row r="635" spans="1:6" x14ac:dyDescent="0.25">
      <c r="A635" t="s">
        <v>1850</v>
      </c>
      <c r="B635" s="18" t="str">
        <f>INDEX('Product Variant'!$B:$B,MATCH($A635,'Product Variant'!$A:$A,0))</f>
        <v>PRODUCT-00120</v>
      </c>
      <c r="C635" s="18" t="str">
        <f>INDEX(Product!$B:$B,MATCH($B635,Product!$A:$A,0))</f>
        <v>[Covidien] Ống mở khí quản 2 nòng không bóng, có cửa sổ - Shiley CFN</v>
      </c>
      <c r="D635" t="s">
        <v>2411</v>
      </c>
      <c r="E635" s="18" t="str">
        <f>INDEX('Attribute Definition'!$B:$B,MATCH($D635,'Attribute Definition'!$A:$A,0))</f>
        <v>Số nòng / nhánh</v>
      </c>
      <c r="F635" s="34" t="s">
        <v>2571</v>
      </c>
    </row>
    <row r="636" spans="1:6" x14ac:dyDescent="0.25">
      <c r="A636" t="s">
        <v>1850</v>
      </c>
      <c r="B636" s="18" t="str">
        <f>INDEX('Product Variant'!$B:$B,MATCH($A636,'Product Variant'!$A:$A,0))</f>
        <v>PRODUCT-00120</v>
      </c>
      <c r="C636" s="18" t="str">
        <f>INDEX(Product!$B:$B,MATCH($B636,Product!$A:$A,0))</f>
        <v>[Covidien] Ống mở khí quản 2 nòng không bóng, có cửa sổ - Shiley CFN</v>
      </c>
      <c r="D636" t="s">
        <v>2416</v>
      </c>
      <c r="E636" s="18" t="str">
        <f>INDEX('Attribute Definition'!$B:$B,MATCH($D636,'Attribute Definition'!$A:$A,0))</f>
        <v>Bóng chèn</v>
      </c>
      <c r="F636" s="34" t="s">
        <v>2577</v>
      </c>
    </row>
    <row r="637" spans="1:6" x14ac:dyDescent="0.25">
      <c r="A637" t="s">
        <v>1850</v>
      </c>
      <c r="B637" s="18" t="str">
        <f>INDEX('Product Variant'!$B:$B,MATCH($A637,'Product Variant'!$A:$A,0))</f>
        <v>PRODUCT-00120</v>
      </c>
      <c r="C637" s="18" t="str">
        <f>INDEX(Product!$B:$B,MATCH($B637,Product!$A:$A,0))</f>
        <v>[Covidien] Ống mở khí quản 2 nòng không bóng, có cửa sổ - Shiley CFN</v>
      </c>
      <c r="D637" t="s">
        <v>2421</v>
      </c>
      <c r="E637" s="18" t="str">
        <f>INDEX('Attribute Definition'!$B:$B,MATCH($D637,'Attribute Definition'!$A:$A,0))</f>
        <v>Cửa sổ</v>
      </c>
      <c r="F637" s="34" t="s">
        <v>2576</v>
      </c>
    </row>
    <row r="638" spans="1:6" x14ac:dyDescent="0.25">
      <c r="A638" t="s">
        <v>1850</v>
      </c>
      <c r="B638" s="18" t="str">
        <f>INDEX('Product Variant'!$B:$B,MATCH($A638,'Product Variant'!$A:$A,0))</f>
        <v>PRODUCT-00120</v>
      </c>
      <c r="C638" s="18" t="str">
        <f>INDEX(Product!$B:$B,MATCH($B638,Product!$A:$A,0))</f>
        <v>[Covidien] Ống mở khí quản 2 nòng không bóng, có cửa sổ - Shiley CFN</v>
      </c>
      <c r="D638" t="s">
        <v>2471</v>
      </c>
      <c r="E638" s="18" t="str">
        <f>INDEX('Attribute Definition'!$B:$B,MATCH($D638,'Attribute Definition'!$A:$A,0))</f>
        <v>Dạng sản phẩm</v>
      </c>
      <c r="F638" s="34" t="s">
        <v>2574</v>
      </c>
    </row>
    <row r="639" spans="1:6" x14ac:dyDescent="0.25">
      <c r="A639" t="s">
        <v>1850</v>
      </c>
      <c r="B639" s="18" t="str">
        <f>INDEX('Product Variant'!$B:$B,MATCH($A639,'Product Variant'!$A:$A,0))</f>
        <v>PRODUCT-00120</v>
      </c>
      <c r="C639" s="18" t="str">
        <f>INDEX(Product!$B:$B,MATCH($B639,Product!$A:$A,0))</f>
        <v>[Covidien] Ống mở khí quản 2 nòng không bóng, có cửa sổ - Shiley CFN</v>
      </c>
      <c r="D639" t="s">
        <v>2656</v>
      </c>
      <c r="E639" s="18" t="str">
        <f>INDEX('Attribute Definition'!$B:$B,MATCH($D639,'Attribute Definition'!$A:$A,0))</f>
        <v>Kích cỡ</v>
      </c>
      <c r="F639" s="34" t="s">
        <v>1169</v>
      </c>
    </row>
    <row r="640" spans="1:6" x14ac:dyDescent="0.25">
      <c r="A640" t="s">
        <v>1851</v>
      </c>
      <c r="B640" s="18" t="str">
        <f>INDEX('Product Variant'!$B:$B,MATCH($A640,'Product Variant'!$A:$A,0))</f>
        <v>PRODUCT-00121</v>
      </c>
      <c r="C640" s="18" t="str">
        <f>INDEX(Product!$B:$B,MATCH($B640,Product!$A:$A,0))</f>
        <v>[Fuji System] Ống chẹn phế quản cô lập phổi - Uniblocker</v>
      </c>
      <c r="D640" t="s">
        <v>2471</v>
      </c>
      <c r="E640" s="18" t="str">
        <f>INDEX('Attribute Definition'!$B:$B,MATCH($D640,'Attribute Definition'!$A:$A,0))</f>
        <v>Dạng sản phẩm</v>
      </c>
      <c r="F640" s="34" t="s">
        <v>2574</v>
      </c>
    </row>
    <row r="641" spans="1:6" x14ac:dyDescent="0.25">
      <c r="A641" t="s">
        <v>1851</v>
      </c>
      <c r="B641" s="18" t="str">
        <f>INDEX('Product Variant'!$B:$B,MATCH($A641,'Product Variant'!$A:$A,0))</f>
        <v>PRODUCT-00121</v>
      </c>
      <c r="C641" s="18" t="str">
        <f>INDEX(Product!$B:$B,MATCH($B641,Product!$A:$A,0))</f>
        <v>[Fuji System] Ống chẹn phế quản cô lập phổi - Uniblocker</v>
      </c>
      <c r="D641" t="s">
        <v>2656</v>
      </c>
      <c r="E641" s="18" t="str">
        <f>INDEX('Attribute Definition'!$B:$B,MATCH($D641,'Attribute Definition'!$A:$A,0))</f>
        <v>Kích cỡ</v>
      </c>
      <c r="F641" s="34" t="s">
        <v>1170</v>
      </c>
    </row>
    <row r="642" spans="1:6" x14ac:dyDescent="0.25">
      <c r="A642" t="s">
        <v>1852</v>
      </c>
      <c r="B642" s="18" t="str">
        <f>INDEX('Product Variant'!$B:$B,MATCH($A642,'Product Variant'!$A:$A,0))</f>
        <v>PRODUCT-00121</v>
      </c>
      <c r="C642" s="18" t="str">
        <f>INDEX(Product!$B:$B,MATCH($B642,Product!$A:$A,0))</f>
        <v>[Fuji System] Ống chẹn phế quản cô lập phổi - Uniblocker</v>
      </c>
      <c r="D642" t="s">
        <v>2471</v>
      </c>
      <c r="E642" s="18" t="str">
        <f>INDEX('Attribute Definition'!$B:$B,MATCH($D642,'Attribute Definition'!$A:$A,0))</f>
        <v>Dạng sản phẩm</v>
      </c>
      <c r="F642" s="34" t="s">
        <v>2574</v>
      </c>
    </row>
    <row r="643" spans="1:6" x14ac:dyDescent="0.25">
      <c r="A643" t="s">
        <v>1852</v>
      </c>
      <c r="B643" s="18" t="str">
        <f>INDEX('Product Variant'!$B:$B,MATCH($A643,'Product Variant'!$A:$A,0))</f>
        <v>PRODUCT-00121</v>
      </c>
      <c r="C643" s="18" t="str">
        <f>INDEX(Product!$B:$B,MATCH($B643,Product!$A:$A,0))</f>
        <v>[Fuji System] Ống chẹn phế quản cô lập phổi - Uniblocker</v>
      </c>
      <c r="D643" t="s">
        <v>2656</v>
      </c>
      <c r="E643" s="18" t="str">
        <f>INDEX('Attribute Definition'!$B:$B,MATCH($D643,'Attribute Definition'!$A:$A,0))</f>
        <v>Kích cỡ</v>
      </c>
      <c r="F643" s="34" t="s">
        <v>1171</v>
      </c>
    </row>
    <row r="644" spans="1:6" x14ac:dyDescent="0.25">
      <c r="A644" t="s">
        <v>1853</v>
      </c>
      <c r="B644" s="18" t="str">
        <f>INDEX('Product Variant'!$B:$B,MATCH($A644,'Product Variant'!$A:$A,0))</f>
        <v>PRODUCT-00122</v>
      </c>
      <c r="C644" s="18" t="str">
        <f>INDEX(Product!$B:$B,MATCH($B644,Product!$A:$A,0))</f>
        <v>[Fuji System] Ống nội khí quản 2 nòng - Silbroncho (Carlens)</v>
      </c>
      <c r="D644" t="s">
        <v>2367</v>
      </c>
      <c r="E644" s="18" t="str">
        <f>INDEX('Attribute Definition'!$B:$B,MATCH($D644,'Attribute Definition'!$A:$A,0))</f>
        <v>Chất liệu</v>
      </c>
      <c r="F644" s="34" t="s">
        <v>2516</v>
      </c>
    </row>
    <row r="645" spans="1:6" x14ac:dyDescent="0.25">
      <c r="A645" t="s">
        <v>1853</v>
      </c>
      <c r="B645" s="18" t="str">
        <f>INDEX('Product Variant'!$B:$B,MATCH($A645,'Product Variant'!$A:$A,0))</f>
        <v>PRODUCT-00122</v>
      </c>
      <c r="C645" s="18" t="str">
        <f>INDEX(Product!$B:$B,MATCH($B645,Product!$A:$A,0))</f>
        <v>[Fuji System] Ống nội khí quản 2 nòng - Silbroncho (Carlens)</v>
      </c>
      <c r="D645" t="s">
        <v>2411</v>
      </c>
      <c r="E645" s="18" t="str">
        <f>INDEX('Attribute Definition'!$B:$B,MATCH($D645,'Attribute Definition'!$A:$A,0))</f>
        <v>Số nòng / nhánh</v>
      </c>
      <c r="F645" s="34" t="s">
        <v>2571</v>
      </c>
    </row>
    <row r="646" spans="1:6" x14ac:dyDescent="0.25">
      <c r="A646" t="s">
        <v>1853</v>
      </c>
      <c r="B646" s="18" t="str">
        <f>INDEX('Product Variant'!$B:$B,MATCH($A646,'Product Variant'!$A:$A,0))</f>
        <v>PRODUCT-00122</v>
      </c>
      <c r="C646" s="18" t="str">
        <f>INDEX(Product!$B:$B,MATCH($B646,Product!$A:$A,0))</f>
        <v>[Fuji System] Ống nội khí quản 2 nòng - Silbroncho (Carlens)</v>
      </c>
      <c r="D646" t="s">
        <v>2471</v>
      </c>
      <c r="E646" s="18" t="str">
        <f>INDEX('Attribute Definition'!$B:$B,MATCH($D646,'Attribute Definition'!$A:$A,0))</f>
        <v>Dạng sản phẩm</v>
      </c>
      <c r="F646" s="34" t="s">
        <v>2574</v>
      </c>
    </row>
    <row r="647" spans="1:6" x14ac:dyDescent="0.25">
      <c r="A647" t="s">
        <v>1853</v>
      </c>
      <c r="B647" s="18" t="str">
        <f>INDEX('Product Variant'!$B:$B,MATCH($A647,'Product Variant'!$A:$A,0))</f>
        <v>PRODUCT-00122</v>
      </c>
      <c r="C647" s="18" t="str">
        <f>INDEX(Product!$B:$B,MATCH($B647,Product!$A:$A,0))</f>
        <v>[Fuji System] Ống nội khí quản 2 nòng - Silbroncho (Carlens)</v>
      </c>
      <c r="D647" t="s">
        <v>2656</v>
      </c>
      <c r="E647" s="18" t="str">
        <f>INDEX('Attribute Definition'!$B:$B,MATCH($D647,'Attribute Definition'!$A:$A,0))</f>
        <v>Kích cỡ</v>
      </c>
      <c r="F647" s="34" t="s">
        <v>1422</v>
      </c>
    </row>
    <row r="648" spans="1:6" x14ac:dyDescent="0.25">
      <c r="A648" t="s">
        <v>1854</v>
      </c>
      <c r="B648" s="18" t="str">
        <f>INDEX('Product Variant'!$B:$B,MATCH($A648,'Product Variant'!$A:$A,0))</f>
        <v>PRODUCT-00122</v>
      </c>
      <c r="C648" s="18" t="str">
        <f>INDEX(Product!$B:$B,MATCH($B648,Product!$A:$A,0))</f>
        <v>[Fuji System] Ống nội khí quản 2 nòng - Silbroncho (Carlens)</v>
      </c>
      <c r="D648" t="s">
        <v>2367</v>
      </c>
      <c r="E648" s="18" t="str">
        <f>INDEX('Attribute Definition'!$B:$B,MATCH($D648,'Attribute Definition'!$A:$A,0))</f>
        <v>Chất liệu</v>
      </c>
      <c r="F648" s="34" t="s">
        <v>2516</v>
      </c>
    </row>
    <row r="649" spans="1:6" x14ac:dyDescent="0.25">
      <c r="A649" t="s">
        <v>1854</v>
      </c>
      <c r="B649" s="18" t="str">
        <f>INDEX('Product Variant'!$B:$B,MATCH($A649,'Product Variant'!$A:$A,0))</f>
        <v>PRODUCT-00122</v>
      </c>
      <c r="C649" s="18" t="str">
        <f>INDEX(Product!$B:$B,MATCH($B649,Product!$A:$A,0))</f>
        <v>[Fuji System] Ống nội khí quản 2 nòng - Silbroncho (Carlens)</v>
      </c>
      <c r="D649" t="s">
        <v>2411</v>
      </c>
      <c r="E649" s="18" t="str">
        <f>INDEX('Attribute Definition'!$B:$B,MATCH($D649,'Attribute Definition'!$A:$A,0))</f>
        <v>Số nòng / nhánh</v>
      </c>
      <c r="F649" s="34" t="s">
        <v>2571</v>
      </c>
    </row>
    <row r="650" spans="1:6" x14ac:dyDescent="0.25">
      <c r="A650" t="s">
        <v>1854</v>
      </c>
      <c r="B650" s="18" t="str">
        <f>INDEX('Product Variant'!$B:$B,MATCH($A650,'Product Variant'!$A:$A,0))</f>
        <v>PRODUCT-00122</v>
      </c>
      <c r="C650" s="18" t="str">
        <f>INDEX(Product!$B:$B,MATCH($B650,Product!$A:$A,0))</f>
        <v>[Fuji System] Ống nội khí quản 2 nòng - Silbroncho (Carlens)</v>
      </c>
      <c r="D650" t="s">
        <v>2471</v>
      </c>
      <c r="E650" s="18" t="str">
        <f>INDEX('Attribute Definition'!$B:$B,MATCH($D650,'Attribute Definition'!$A:$A,0))</f>
        <v>Dạng sản phẩm</v>
      </c>
      <c r="F650" s="34" t="s">
        <v>2574</v>
      </c>
    </row>
    <row r="651" spans="1:6" x14ac:dyDescent="0.25">
      <c r="A651" t="s">
        <v>1854</v>
      </c>
      <c r="B651" s="18" t="str">
        <f>INDEX('Product Variant'!$B:$B,MATCH($A651,'Product Variant'!$A:$A,0))</f>
        <v>PRODUCT-00122</v>
      </c>
      <c r="C651" s="18" t="str">
        <f>INDEX(Product!$B:$B,MATCH($B651,Product!$A:$A,0))</f>
        <v>[Fuji System] Ống nội khí quản 2 nòng - Silbroncho (Carlens)</v>
      </c>
      <c r="D651" t="s">
        <v>2656</v>
      </c>
      <c r="E651" s="18" t="str">
        <f>INDEX('Attribute Definition'!$B:$B,MATCH($D651,'Attribute Definition'!$A:$A,0))</f>
        <v>Kích cỡ</v>
      </c>
      <c r="F651" s="34" t="s">
        <v>1423</v>
      </c>
    </row>
    <row r="652" spans="1:6" x14ac:dyDescent="0.25">
      <c r="A652" t="s">
        <v>1855</v>
      </c>
      <c r="B652" s="18" t="str">
        <f>INDEX('Product Variant'!$B:$B,MATCH($A652,'Product Variant'!$A:$A,0))</f>
        <v>PRODUCT-00122</v>
      </c>
      <c r="C652" s="18" t="str">
        <f>INDEX(Product!$B:$B,MATCH($B652,Product!$A:$A,0))</f>
        <v>[Fuji System] Ống nội khí quản 2 nòng - Silbroncho (Carlens)</v>
      </c>
      <c r="D652" t="s">
        <v>2367</v>
      </c>
      <c r="E652" s="18" t="str">
        <f>INDEX('Attribute Definition'!$B:$B,MATCH($D652,'Attribute Definition'!$A:$A,0))</f>
        <v>Chất liệu</v>
      </c>
      <c r="F652" s="34" t="s">
        <v>2516</v>
      </c>
    </row>
    <row r="653" spans="1:6" x14ac:dyDescent="0.25">
      <c r="A653" t="s">
        <v>1855</v>
      </c>
      <c r="B653" s="18" t="str">
        <f>INDEX('Product Variant'!$B:$B,MATCH($A653,'Product Variant'!$A:$A,0))</f>
        <v>PRODUCT-00122</v>
      </c>
      <c r="C653" s="18" t="str">
        <f>INDEX(Product!$B:$B,MATCH($B653,Product!$A:$A,0))</f>
        <v>[Fuji System] Ống nội khí quản 2 nòng - Silbroncho (Carlens)</v>
      </c>
      <c r="D653" t="s">
        <v>2411</v>
      </c>
      <c r="E653" s="18" t="str">
        <f>INDEX('Attribute Definition'!$B:$B,MATCH($D653,'Attribute Definition'!$A:$A,0))</f>
        <v>Số nòng / nhánh</v>
      </c>
      <c r="F653" s="34" t="s">
        <v>2571</v>
      </c>
    </row>
    <row r="654" spans="1:6" x14ac:dyDescent="0.25">
      <c r="A654" t="s">
        <v>1855</v>
      </c>
      <c r="B654" s="18" t="str">
        <f>INDEX('Product Variant'!$B:$B,MATCH($A654,'Product Variant'!$A:$A,0))</f>
        <v>PRODUCT-00122</v>
      </c>
      <c r="C654" s="18" t="str">
        <f>INDEX(Product!$B:$B,MATCH($B654,Product!$A:$A,0))</f>
        <v>[Fuji System] Ống nội khí quản 2 nòng - Silbroncho (Carlens)</v>
      </c>
      <c r="D654" t="s">
        <v>2471</v>
      </c>
      <c r="E654" s="18" t="str">
        <f>INDEX('Attribute Definition'!$B:$B,MATCH($D654,'Attribute Definition'!$A:$A,0))</f>
        <v>Dạng sản phẩm</v>
      </c>
      <c r="F654" s="34" t="s">
        <v>2574</v>
      </c>
    </row>
    <row r="655" spans="1:6" x14ac:dyDescent="0.25">
      <c r="A655" t="s">
        <v>1855</v>
      </c>
      <c r="B655" s="18" t="str">
        <f>INDEX('Product Variant'!$B:$B,MATCH($A655,'Product Variant'!$A:$A,0))</f>
        <v>PRODUCT-00122</v>
      </c>
      <c r="C655" s="18" t="str">
        <f>INDEX(Product!$B:$B,MATCH($B655,Product!$A:$A,0))</f>
        <v>[Fuji System] Ống nội khí quản 2 nòng - Silbroncho (Carlens)</v>
      </c>
      <c r="D655" t="s">
        <v>2656</v>
      </c>
      <c r="E655" s="18" t="str">
        <f>INDEX('Attribute Definition'!$B:$B,MATCH($D655,'Attribute Definition'!$A:$A,0))</f>
        <v>Kích cỡ</v>
      </c>
      <c r="F655" s="34" t="s">
        <v>1424</v>
      </c>
    </row>
    <row r="656" spans="1:6" x14ac:dyDescent="0.25">
      <c r="A656" t="s">
        <v>1856</v>
      </c>
      <c r="B656" s="18" t="str">
        <f>INDEX('Product Variant'!$B:$B,MATCH($A656,'Product Variant'!$A:$A,0))</f>
        <v>PRODUCT-00123</v>
      </c>
      <c r="C656" s="18" t="str">
        <f>INDEX(Product!$B:$B,MATCH($B656,Product!$A:$A,0))</f>
        <v>[Fuji System] Ống nội khí quản tích hợp sẵn ống chặn phổi - Univent™</v>
      </c>
      <c r="D656" t="s">
        <v>2471</v>
      </c>
      <c r="E656" s="18" t="str">
        <f>INDEX('Attribute Definition'!$B:$B,MATCH($D656,'Attribute Definition'!$A:$A,0))</f>
        <v>Dạng sản phẩm</v>
      </c>
      <c r="F656" s="34" t="s">
        <v>2574</v>
      </c>
    </row>
    <row r="657" spans="1:6" x14ac:dyDescent="0.25">
      <c r="A657" t="s">
        <v>1857</v>
      </c>
      <c r="B657" s="18" t="str">
        <f>INDEX('Product Variant'!$B:$B,MATCH($A657,'Product Variant'!$A:$A,0))</f>
        <v>PRODUCT-00124</v>
      </c>
      <c r="C657" s="18" t="str">
        <f>INDEX(Product!$B:$B,MATCH($B657,Product!$A:$A,0))</f>
        <v>[HangZhou] Mask thanh quản 1 nòng dùng 1 lần</v>
      </c>
      <c r="D657" t="s">
        <v>2411</v>
      </c>
      <c r="E657" s="18" t="str">
        <f>INDEX('Attribute Definition'!$B:$B,MATCH($D657,'Attribute Definition'!$A:$A,0))</f>
        <v>Số nòng / nhánh</v>
      </c>
      <c r="F657" s="34" t="s">
        <v>2569</v>
      </c>
    </row>
    <row r="658" spans="1:6" x14ac:dyDescent="0.25">
      <c r="A658" t="s">
        <v>1857</v>
      </c>
      <c r="B658" s="18" t="str">
        <f>INDEX('Product Variant'!$B:$B,MATCH($A658,'Product Variant'!$A:$A,0))</f>
        <v>PRODUCT-00124</v>
      </c>
      <c r="C658" s="18" t="str">
        <f>INDEX(Product!$B:$B,MATCH($B658,Product!$A:$A,0))</f>
        <v>[HangZhou] Mask thanh quản 1 nòng dùng 1 lần</v>
      </c>
      <c r="D658" t="s">
        <v>2454</v>
      </c>
      <c r="E658" s="18" t="str">
        <f>INDEX('Attribute Definition'!$B:$B,MATCH($D658,'Attribute Definition'!$A:$A,0))</f>
        <v>Thời gian sử dụng</v>
      </c>
      <c r="F658" s="34" t="s">
        <v>2578</v>
      </c>
    </row>
    <row r="659" spans="1:6" x14ac:dyDescent="0.25">
      <c r="A659" t="s">
        <v>1857</v>
      </c>
      <c r="B659" s="18" t="str">
        <f>INDEX('Product Variant'!$B:$B,MATCH($A659,'Product Variant'!$A:$A,0))</f>
        <v>PRODUCT-00124</v>
      </c>
      <c r="C659" s="18" t="str">
        <f>INDEX(Product!$B:$B,MATCH($B659,Product!$A:$A,0))</f>
        <v>[HangZhou] Mask thanh quản 1 nòng dùng 1 lần</v>
      </c>
      <c r="D659" t="s">
        <v>2471</v>
      </c>
      <c r="E659" s="18" t="str">
        <f>INDEX('Attribute Definition'!$B:$B,MATCH($D659,'Attribute Definition'!$A:$A,0))</f>
        <v>Dạng sản phẩm</v>
      </c>
      <c r="F659" s="34" t="s">
        <v>2570</v>
      </c>
    </row>
    <row r="660" spans="1:6" x14ac:dyDescent="0.25">
      <c r="A660" t="s">
        <v>1857</v>
      </c>
      <c r="B660" s="18" t="str">
        <f>INDEX('Product Variant'!$B:$B,MATCH($A660,'Product Variant'!$A:$A,0))</f>
        <v>PRODUCT-00124</v>
      </c>
      <c r="C660" s="18" t="str">
        <f>INDEX(Product!$B:$B,MATCH($B660,Product!$A:$A,0))</f>
        <v>[HangZhou] Mask thanh quản 1 nòng dùng 1 lần</v>
      </c>
      <c r="D660" t="s">
        <v>2656</v>
      </c>
      <c r="E660" s="18" t="str">
        <f>INDEX('Attribute Definition'!$B:$B,MATCH($D660,'Attribute Definition'!$A:$A,0))</f>
        <v>Kích cỡ</v>
      </c>
      <c r="F660" s="34" t="s">
        <v>1425</v>
      </c>
    </row>
    <row r="661" spans="1:6" x14ac:dyDescent="0.25">
      <c r="A661" t="s">
        <v>1858</v>
      </c>
      <c r="B661" s="18" t="str">
        <f>INDEX('Product Variant'!$B:$B,MATCH($A661,'Product Variant'!$A:$A,0))</f>
        <v>PRODUCT-00124</v>
      </c>
      <c r="C661" s="18" t="str">
        <f>INDEX(Product!$B:$B,MATCH($B661,Product!$A:$A,0))</f>
        <v>[HangZhou] Mask thanh quản 1 nòng dùng 1 lần</v>
      </c>
      <c r="D661" t="s">
        <v>2411</v>
      </c>
      <c r="E661" s="18" t="str">
        <f>INDEX('Attribute Definition'!$B:$B,MATCH($D661,'Attribute Definition'!$A:$A,0))</f>
        <v>Số nòng / nhánh</v>
      </c>
      <c r="F661" s="34" t="s">
        <v>2569</v>
      </c>
    </row>
    <row r="662" spans="1:6" x14ac:dyDescent="0.25">
      <c r="A662" t="s">
        <v>1858</v>
      </c>
      <c r="B662" s="18" t="str">
        <f>INDEX('Product Variant'!$B:$B,MATCH($A662,'Product Variant'!$A:$A,0))</f>
        <v>PRODUCT-00124</v>
      </c>
      <c r="C662" s="18" t="str">
        <f>INDEX(Product!$B:$B,MATCH($B662,Product!$A:$A,0))</f>
        <v>[HangZhou] Mask thanh quản 1 nòng dùng 1 lần</v>
      </c>
      <c r="D662" t="s">
        <v>2454</v>
      </c>
      <c r="E662" s="18" t="str">
        <f>INDEX('Attribute Definition'!$B:$B,MATCH($D662,'Attribute Definition'!$A:$A,0))</f>
        <v>Thời gian sử dụng</v>
      </c>
      <c r="F662" s="34" t="s">
        <v>2578</v>
      </c>
    </row>
    <row r="663" spans="1:6" x14ac:dyDescent="0.25">
      <c r="A663" t="s">
        <v>1858</v>
      </c>
      <c r="B663" s="18" t="str">
        <f>INDEX('Product Variant'!$B:$B,MATCH($A663,'Product Variant'!$A:$A,0))</f>
        <v>PRODUCT-00124</v>
      </c>
      <c r="C663" s="18" t="str">
        <f>INDEX(Product!$B:$B,MATCH($B663,Product!$A:$A,0))</f>
        <v>[HangZhou] Mask thanh quản 1 nòng dùng 1 lần</v>
      </c>
      <c r="D663" t="s">
        <v>2471</v>
      </c>
      <c r="E663" s="18" t="str">
        <f>INDEX('Attribute Definition'!$B:$B,MATCH($D663,'Attribute Definition'!$A:$A,0))</f>
        <v>Dạng sản phẩm</v>
      </c>
      <c r="F663" s="34" t="s">
        <v>2570</v>
      </c>
    </row>
    <row r="664" spans="1:6" x14ac:dyDescent="0.25">
      <c r="A664" t="s">
        <v>1858</v>
      </c>
      <c r="B664" s="18" t="str">
        <f>INDEX('Product Variant'!$B:$B,MATCH($A664,'Product Variant'!$A:$A,0))</f>
        <v>PRODUCT-00124</v>
      </c>
      <c r="C664" s="18" t="str">
        <f>INDEX(Product!$B:$B,MATCH($B664,Product!$A:$A,0))</f>
        <v>[HangZhou] Mask thanh quản 1 nòng dùng 1 lần</v>
      </c>
      <c r="D664" t="s">
        <v>2656</v>
      </c>
      <c r="E664" s="18" t="str">
        <f>INDEX('Attribute Definition'!$B:$B,MATCH($D664,'Attribute Definition'!$A:$A,0))</f>
        <v>Kích cỡ</v>
      </c>
      <c r="F664" s="34" t="s">
        <v>1426</v>
      </c>
    </row>
    <row r="665" spans="1:6" x14ac:dyDescent="0.25">
      <c r="A665" t="s">
        <v>1859</v>
      </c>
      <c r="B665" s="18" t="str">
        <f>INDEX('Product Variant'!$B:$B,MATCH($A665,'Product Variant'!$A:$A,0))</f>
        <v>PRODUCT-00124</v>
      </c>
      <c r="C665" s="18" t="str">
        <f>INDEX(Product!$B:$B,MATCH($B665,Product!$A:$A,0))</f>
        <v>[HangZhou] Mask thanh quản 1 nòng dùng 1 lần</v>
      </c>
      <c r="D665" t="s">
        <v>2411</v>
      </c>
      <c r="E665" s="18" t="str">
        <f>INDEX('Attribute Definition'!$B:$B,MATCH($D665,'Attribute Definition'!$A:$A,0))</f>
        <v>Số nòng / nhánh</v>
      </c>
      <c r="F665" s="34" t="s">
        <v>2569</v>
      </c>
    </row>
    <row r="666" spans="1:6" x14ac:dyDescent="0.25">
      <c r="A666" t="s">
        <v>1859</v>
      </c>
      <c r="B666" s="18" t="str">
        <f>INDEX('Product Variant'!$B:$B,MATCH($A666,'Product Variant'!$A:$A,0))</f>
        <v>PRODUCT-00124</v>
      </c>
      <c r="C666" s="18" t="str">
        <f>INDEX(Product!$B:$B,MATCH($B666,Product!$A:$A,0))</f>
        <v>[HangZhou] Mask thanh quản 1 nòng dùng 1 lần</v>
      </c>
      <c r="D666" t="s">
        <v>2454</v>
      </c>
      <c r="E666" s="18" t="str">
        <f>INDEX('Attribute Definition'!$B:$B,MATCH($D666,'Attribute Definition'!$A:$A,0))</f>
        <v>Thời gian sử dụng</v>
      </c>
      <c r="F666" s="34" t="s">
        <v>2578</v>
      </c>
    </row>
    <row r="667" spans="1:6" x14ac:dyDescent="0.25">
      <c r="A667" t="s">
        <v>1859</v>
      </c>
      <c r="B667" s="18" t="str">
        <f>INDEX('Product Variant'!$B:$B,MATCH($A667,'Product Variant'!$A:$A,0))</f>
        <v>PRODUCT-00124</v>
      </c>
      <c r="C667" s="18" t="str">
        <f>INDEX(Product!$B:$B,MATCH($B667,Product!$A:$A,0))</f>
        <v>[HangZhou] Mask thanh quản 1 nòng dùng 1 lần</v>
      </c>
      <c r="D667" t="s">
        <v>2471</v>
      </c>
      <c r="E667" s="18" t="str">
        <f>INDEX('Attribute Definition'!$B:$B,MATCH($D667,'Attribute Definition'!$A:$A,0))</f>
        <v>Dạng sản phẩm</v>
      </c>
      <c r="F667" s="34" t="s">
        <v>2570</v>
      </c>
    </row>
    <row r="668" spans="1:6" x14ac:dyDescent="0.25">
      <c r="A668" t="s">
        <v>1859</v>
      </c>
      <c r="B668" s="18" t="str">
        <f>INDEX('Product Variant'!$B:$B,MATCH($A668,'Product Variant'!$A:$A,0))</f>
        <v>PRODUCT-00124</v>
      </c>
      <c r="C668" s="18" t="str">
        <f>INDEX(Product!$B:$B,MATCH($B668,Product!$A:$A,0))</f>
        <v>[HangZhou] Mask thanh quản 1 nòng dùng 1 lần</v>
      </c>
      <c r="D668" t="s">
        <v>2656</v>
      </c>
      <c r="E668" s="18" t="str">
        <f>INDEX('Attribute Definition'!$B:$B,MATCH($D668,'Attribute Definition'!$A:$A,0))</f>
        <v>Kích cỡ</v>
      </c>
      <c r="F668" s="34" t="s">
        <v>1427</v>
      </c>
    </row>
    <row r="669" spans="1:6" x14ac:dyDescent="0.25">
      <c r="A669" t="s">
        <v>1860</v>
      </c>
      <c r="B669" s="18" t="str">
        <f>INDEX('Product Variant'!$B:$B,MATCH($A669,'Product Variant'!$A:$A,0))</f>
        <v>PRODUCT-00124</v>
      </c>
      <c r="C669" s="18" t="str">
        <f>INDEX(Product!$B:$B,MATCH($B669,Product!$A:$A,0))</f>
        <v>[HangZhou] Mask thanh quản 1 nòng dùng 1 lần</v>
      </c>
      <c r="D669" t="s">
        <v>2411</v>
      </c>
      <c r="E669" s="18" t="str">
        <f>INDEX('Attribute Definition'!$B:$B,MATCH($D669,'Attribute Definition'!$A:$A,0))</f>
        <v>Số nòng / nhánh</v>
      </c>
      <c r="F669" s="34" t="s">
        <v>2569</v>
      </c>
    </row>
    <row r="670" spans="1:6" x14ac:dyDescent="0.25">
      <c r="A670" t="s">
        <v>1860</v>
      </c>
      <c r="B670" s="18" t="str">
        <f>INDEX('Product Variant'!$B:$B,MATCH($A670,'Product Variant'!$A:$A,0))</f>
        <v>PRODUCT-00124</v>
      </c>
      <c r="C670" s="18" t="str">
        <f>INDEX(Product!$B:$B,MATCH($B670,Product!$A:$A,0))</f>
        <v>[HangZhou] Mask thanh quản 1 nòng dùng 1 lần</v>
      </c>
      <c r="D670" t="s">
        <v>2454</v>
      </c>
      <c r="E670" s="18" t="str">
        <f>INDEX('Attribute Definition'!$B:$B,MATCH($D670,'Attribute Definition'!$A:$A,0))</f>
        <v>Thời gian sử dụng</v>
      </c>
      <c r="F670" s="34" t="s">
        <v>2578</v>
      </c>
    </row>
    <row r="671" spans="1:6" x14ac:dyDescent="0.25">
      <c r="A671" t="s">
        <v>1860</v>
      </c>
      <c r="B671" s="18" t="str">
        <f>INDEX('Product Variant'!$B:$B,MATCH($A671,'Product Variant'!$A:$A,0))</f>
        <v>PRODUCT-00124</v>
      </c>
      <c r="C671" s="18" t="str">
        <f>INDEX(Product!$B:$B,MATCH($B671,Product!$A:$A,0))</f>
        <v>[HangZhou] Mask thanh quản 1 nòng dùng 1 lần</v>
      </c>
      <c r="D671" t="s">
        <v>2471</v>
      </c>
      <c r="E671" s="18" t="str">
        <f>INDEX('Attribute Definition'!$B:$B,MATCH($D671,'Attribute Definition'!$A:$A,0))</f>
        <v>Dạng sản phẩm</v>
      </c>
      <c r="F671" s="34" t="s">
        <v>2570</v>
      </c>
    </row>
    <row r="672" spans="1:6" x14ac:dyDescent="0.25">
      <c r="A672" t="s">
        <v>1860</v>
      </c>
      <c r="B672" s="18" t="str">
        <f>INDEX('Product Variant'!$B:$B,MATCH($A672,'Product Variant'!$A:$A,0))</f>
        <v>PRODUCT-00124</v>
      </c>
      <c r="C672" s="18" t="str">
        <f>INDEX(Product!$B:$B,MATCH($B672,Product!$A:$A,0))</f>
        <v>[HangZhou] Mask thanh quản 1 nòng dùng 1 lần</v>
      </c>
      <c r="D672" t="s">
        <v>2656</v>
      </c>
      <c r="E672" s="18" t="str">
        <f>INDEX('Attribute Definition'!$B:$B,MATCH($D672,'Attribute Definition'!$A:$A,0))</f>
        <v>Kích cỡ</v>
      </c>
      <c r="F672" s="34" t="s">
        <v>1164</v>
      </c>
    </row>
    <row r="673" spans="1:6" x14ac:dyDescent="0.25">
      <c r="A673" t="s">
        <v>1861</v>
      </c>
      <c r="B673" s="18" t="str">
        <f>INDEX('Product Variant'!$B:$B,MATCH($A673,'Product Variant'!$A:$A,0))</f>
        <v>PRODUCT-00124</v>
      </c>
      <c r="C673" s="18" t="str">
        <f>INDEX(Product!$B:$B,MATCH($B673,Product!$A:$A,0))</f>
        <v>[HangZhou] Mask thanh quản 1 nòng dùng 1 lần</v>
      </c>
      <c r="D673" t="s">
        <v>2411</v>
      </c>
      <c r="E673" s="18" t="str">
        <f>INDEX('Attribute Definition'!$B:$B,MATCH($D673,'Attribute Definition'!$A:$A,0))</f>
        <v>Số nòng / nhánh</v>
      </c>
      <c r="F673" s="34" t="s">
        <v>2569</v>
      </c>
    </row>
    <row r="674" spans="1:6" x14ac:dyDescent="0.25">
      <c r="A674" t="s">
        <v>1861</v>
      </c>
      <c r="B674" s="18" t="str">
        <f>INDEX('Product Variant'!$B:$B,MATCH($A674,'Product Variant'!$A:$A,0))</f>
        <v>PRODUCT-00124</v>
      </c>
      <c r="C674" s="18" t="str">
        <f>INDEX(Product!$B:$B,MATCH($B674,Product!$A:$A,0))</f>
        <v>[HangZhou] Mask thanh quản 1 nòng dùng 1 lần</v>
      </c>
      <c r="D674" t="s">
        <v>2454</v>
      </c>
      <c r="E674" s="18" t="str">
        <f>INDEX('Attribute Definition'!$B:$B,MATCH($D674,'Attribute Definition'!$A:$A,0))</f>
        <v>Thời gian sử dụng</v>
      </c>
      <c r="F674" s="34" t="s">
        <v>2578</v>
      </c>
    </row>
    <row r="675" spans="1:6" x14ac:dyDescent="0.25">
      <c r="A675" t="s">
        <v>1861</v>
      </c>
      <c r="B675" s="18" t="str">
        <f>INDEX('Product Variant'!$B:$B,MATCH($A675,'Product Variant'!$A:$A,0))</f>
        <v>PRODUCT-00124</v>
      </c>
      <c r="C675" s="18" t="str">
        <f>INDEX(Product!$B:$B,MATCH($B675,Product!$A:$A,0))</f>
        <v>[HangZhou] Mask thanh quản 1 nòng dùng 1 lần</v>
      </c>
      <c r="D675" t="s">
        <v>2471</v>
      </c>
      <c r="E675" s="18" t="str">
        <f>INDEX('Attribute Definition'!$B:$B,MATCH($D675,'Attribute Definition'!$A:$A,0))</f>
        <v>Dạng sản phẩm</v>
      </c>
      <c r="F675" s="34" t="s">
        <v>2570</v>
      </c>
    </row>
    <row r="676" spans="1:6" x14ac:dyDescent="0.25">
      <c r="A676" t="s">
        <v>1861</v>
      </c>
      <c r="B676" s="18" t="str">
        <f>INDEX('Product Variant'!$B:$B,MATCH($A676,'Product Variant'!$A:$A,0))</f>
        <v>PRODUCT-00124</v>
      </c>
      <c r="C676" s="18" t="str">
        <f>INDEX(Product!$B:$B,MATCH($B676,Product!$A:$A,0))</f>
        <v>[HangZhou] Mask thanh quản 1 nòng dùng 1 lần</v>
      </c>
      <c r="D676" t="s">
        <v>2656</v>
      </c>
      <c r="E676" s="18" t="str">
        <f>INDEX('Attribute Definition'!$B:$B,MATCH($D676,'Attribute Definition'!$A:$A,0))</f>
        <v>Kích cỡ</v>
      </c>
      <c r="F676" s="34" t="s">
        <v>1165</v>
      </c>
    </row>
    <row r="677" spans="1:6" x14ac:dyDescent="0.25">
      <c r="A677" t="s">
        <v>1862</v>
      </c>
      <c r="B677" s="18" t="str">
        <f>INDEX('Product Variant'!$B:$B,MATCH($A677,'Product Variant'!$A:$A,0))</f>
        <v>PRODUCT-00124</v>
      </c>
      <c r="C677" s="18" t="str">
        <f>INDEX(Product!$B:$B,MATCH($B677,Product!$A:$A,0))</f>
        <v>[HangZhou] Mask thanh quản 1 nòng dùng 1 lần</v>
      </c>
      <c r="D677" t="s">
        <v>2411</v>
      </c>
      <c r="E677" s="18" t="str">
        <f>INDEX('Attribute Definition'!$B:$B,MATCH($D677,'Attribute Definition'!$A:$A,0))</f>
        <v>Số nòng / nhánh</v>
      </c>
      <c r="F677" s="34" t="s">
        <v>2569</v>
      </c>
    </row>
    <row r="678" spans="1:6" x14ac:dyDescent="0.25">
      <c r="A678" t="s">
        <v>1862</v>
      </c>
      <c r="B678" s="18" t="str">
        <f>INDEX('Product Variant'!$B:$B,MATCH($A678,'Product Variant'!$A:$A,0))</f>
        <v>PRODUCT-00124</v>
      </c>
      <c r="C678" s="18" t="str">
        <f>INDEX(Product!$B:$B,MATCH($B678,Product!$A:$A,0))</f>
        <v>[HangZhou] Mask thanh quản 1 nòng dùng 1 lần</v>
      </c>
      <c r="D678" t="s">
        <v>2454</v>
      </c>
      <c r="E678" s="18" t="str">
        <f>INDEX('Attribute Definition'!$B:$B,MATCH($D678,'Attribute Definition'!$A:$A,0))</f>
        <v>Thời gian sử dụng</v>
      </c>
      <c r="F678" s="34" t="s">
        <v>2578</v>
      </c>
    </row>
    <row r="679" spans="1:6" x14ac:dyDescent="0.25">
      <c r="A679" t="s">
        <v>1862</v>
      </c>
      <c r="B679" s="18" t="str">
        <f>INDEX('Product Variant'!$B:$B,MATCH($A679,'Product Variant'!$A:$A,0))</f>
        <v>PRODUCT-00124</v>
      </c>
      <c r="C679" s="18" t="str">
        <f>INDEX(Product!$B:$B,MATCH($B679,Product!$A:$A,0))</f>
        <v>[HangZhou] Mask thanh quản 1 nòng dùng 1 lần</v>
      </c>
      <c r="D679" t="s">
        <v>2471</v>
      </c>
      <c r="E679" s="18" t="str">
        <f>INDEX('Attribute Definition'!$B:$B,MATCH($D679,'Attribute Definition'!$A:$A,0))</f>
        <v>Dạng sản phẩm</v>
      </c>
      <c r="F679" s="34" t="s">
        <v>2570</v>
      </c>
    </row>
    <row r="680" spans="1:6" x14ac:dyDescent="0.25">
      <c r="A680" t="s">
        <v>1862</v>
      </c>
      <c r="B680" s="18" t="str">
        <f>INDEX('Product Variant'!$B:$B,MATCH($A680,'Product Variant'!$A:$A,0))</f>
        <v>PRODUCT-00124</v>
      </c>
      <c r="C680" s="18" t="str">
        <f>INDEX(Product!$B:$B,MATCH($B680,Product!$A:$A,0))</f>
        <v>[HangZhou] Mask thanh quản 1 nòng dùng 1 lần</v>
      </c>
      <c r="D680" t="s">
        <v>2656</v>
      </c>
      <c r="E680" s="18" t="str">
        <f>INDEX('Attribute Definition'!$B:$B,MATCH($D680,'Attribute Definition'!$A:$A,0))</f>
        <v>Kích cỡ</v>
      </c>
      <c r="F680" s="34" t="s">
        <v>1178</v>
      </c>
    </row>
    <row r="681" spans="1:6" x14ac:dyDescent="0.25">
      <c r="A681" t="s">
        <v>1863</v>
      </c>
      <c r="B681" s="18" t="str">
        <f>INDEX('Product Variant'!$B:$B,MATCH($A681,'Product Variant'!$A:$A,0))</f>
        <v>PRODUCT-00125</v>
      </c>
      <c r="C681" s="18" t="str">
        <f>INDEX(Product!$B:$B,MATCH($B681,Product!$A:$A,0))</f>
        <v>[Hoàng Sơn] Dây hút đàm nhớt có kiểm soát</v>
      </c>
      <c r="D681" t="s">
        <v>2471</v>
      </c>
      <c r="E681" s="18" t="str">
        <f>INDEX('Attribute Definition'!$B:$B,MATCH($D681,'Attribute Definition'!$A:$A,0))</f>
        <v>Dạng sản phẩm</v>
      </c>
      <c r="F681" s="34" t="s">
        <v>2574</v>
      </c>
    </row>
    <row r="682" spans="1:6" x14ac:dyDescent="0.25">
      <c r="A682" t="s">
        <v>1863</v>
      </c>
      <c r="B682" s="18" t="str">
        <f>INDEX('Product Variant'!$B:$B,MATCH($A682,'Product Variant'!$A:$A,0))</f>
        <v>PRODUCT-00125</v>
      </c>
      <c r="C682" s="18" t="str">
        <f>INDEX(Product!$B:$B,MATCH($B682,Product!$A:$A,0))</f>
        <v>[Hoàng Sơn] Dây hút đàm nhớt có kiểm soát</v>
      </c>
      <c r="D682" t="s">
        <v>2656</v>
      </c>
      <c r="E682" s="18" t="str">
        <f>INDEX('Attribute Definition'!$B:$B,MATCH($D682,'Attribute Definition'!$A:$A,0))</f>
        <v>Kích cỡ</v>
      </c>
      <c r="F682" s="34" t="s">
        <v>1172</v>
      </c>
    </row>
    <row r="683" spans="1:6" x14ac:dyDescent="0.25">
      <c r="A683" t="s">
        <v>1864</v>
      </c>
      <c r="B683" s="18" t="str">
        <f>INDEX('Product Variant'!$B:$B,MATCH($A683,'Product Variant'!$A:$A,0))</f>
        <v>PRODUCT-00125</v>
      </c>
      <c r="C683" s="18" t="str">
        <f>INDEX(Product!$B:$B,MATCH($B683,Product!$A:$A,0))</f>
        <v>[Hoàng Sơn] Dây hút đàm nhớt có kiểm soát</v>
      </c>
      <c r="D683" t="s">
        <v>2471</v>
      </c>
      <c r="E683" s="18" t="str">
        <f>INDEX('Attribute Definition'!$B:$B,MATCH($D683,'Attribute Definition'!$A:$A,0))</f>
        <v>Dạng sản phẩm</v>
      </c>
      <c r="F683" s="34" t="s">
        <v>2574</v>
      </c>
    </row>
    <row r="684" spans="1:6" x14ac:dyDescent="0.25">
      <c r="A684" t="s">
        <v>1864</v>
      </c>
      <c r="B684" s="18" t="str">
        <f>INDEX('Product Variant'!$B:$B,MATCH($A684,'Product Variant'!$A:$A,0))</f>
        <v>PRODUCT-00125</v>
      </c>
      <c r="C684" s="18" t="str">
        <f>INDEX(Product!$B:$B,MATCH($B684,Product!$A:$A,0))</f>
        <v>[Hoàng Sơn] Dây hút đàm nhớt có kiểm soát</v>
      </c>
      <c r="D684" t="s">
        <v>2656</v>
      </c>
      <c r="E684" s="18" t="str">
        <f>INDEX('Attribute Definition'!$B:$B,MATCH($D684,'Attribute Definition'!$A:$A,0))</f>
        <v>Kích cỡ</v>
      </c>
      <c r="F684" s="34" t="s">
        <v>1173</v>
      </c>
    </row>
    <row r="685" spans="1:6" x14ac:dyDescent="0.25">
      <c r="A685" t="s">
        <v>1865</v>
      </c>
      <c r="B685" s="18" t="str">
        <f>INDEX('Product Variant'!$B:$B,MATCH($A685,'Product Variant'!$A:$A,0))</f>
        <v>PRODUCT-00125</v>
      </c>
      <c r="C685" s="18" t="str">
        <f>INDEX(Product!$B:$B,MATCH($B685,Product!$A:$A,0))</f>
        <v>[Hoàng Sơn] Dây hút đàm nhớt có kiểm soát</v>
      </c>
      <c r="D685" t="s">
        <v>2471</v>
      </c>
      <c r="E685" s="18" t="str">
        <f>INDEX('Attribute Definition'!$B:$B,MATCH($D685,'Attribute Definition'!$A:$A,0))</f>
        <v>Dạng sản phẩm</v>
      </c>
      <c r="F685" s="34" t="s">
        <v>2574</v>
      </c>
    </row>
    <row r="686" spans="1:6" x14ac:dyDescent="0.25">
      <c r="A686" t="s">
        <v>1865</v>
      </c>
      <c r="B686" s="18" t="str">
        <f>INDEX('Product Variant'!$B:$B,MATCH($A686,'Product Variant'!$A:$A,0))</f>
        <v>PRODUCT-00125</v>
      </c>
      <c r="C686" s="18" t="str">
        <f>INDEX(Product!$B:$B,MATCH($B686,Product!$A:$A,0))</f>
        <v>[Hoàng Sơn] Dây hút đàm nhớt có kiểm soát</v>
      </c>
      <c r="D686" t="s">
        <v>2656</v>
      </c>
      <c r="E686" s="18" t="str">
        <f>INDEX('Attribute Definition'!$B:$B,MATCH($D686,'Attribute Definition'!$A:$A,0))</f>
        <v>Kích cỡ</v>
      </c>
      <c r="F686" s="34" t="s">
        <v>1166</v>
      </c>
    </row>
    <row r="687" spans="1:6" x14ac:dyDescent="0.25">
      <c r="A687" t="s">
        <v>1866</v>
      </c>
      <c r="B687" s="18" t="str">
        <f>INDEX('Product Variant'!$B:$B,MATCH($A687,'Product Variant'!$A:$A,0))</f>
        <v>PRODUCT-00125</v>
      </c>
      <c r="C687" s="18" t="str">
        <f>INDEX(Product!$B:$B,MATCH($B687,Product!$A:$A,0))</f>
        <v>[Hoàng Sơn] Dây hút đàm nhớt có kiểm soát</v>
      </c>
      <c r="D687" t="s">
        <v>2471</v>
      </c>
      <c r="E687" s="18" t="str">
        <f>INDEX('Attribute Definition'!$B:$B,MATCH($D687,'Attribute Definition'!$A:$A,0))</f>
        <v>Dạng sản phẩm</v>
      </c>
      <c r="F687" s="34" t="s">
        <v>2574</v>
      </c>
    </row>
    <row r="688" spans="1:6" x14ac:dyDescent="0.25">
      <c r="A688" t="s">
        <v>1866</v>
      </c>
      <c r="B688" s="18" t="str">
        <f>INDEX('Product Variant'!$B:$B,MATCH($A688,'Product Variant'!$A:$A,0))</f>
        <v>PRODUCT-00125</v>
      </c>
      <c r="C688" s="18" t="str">
        <f>INDEX(Product!$B:$B,MATCH($B688,Product!$A:$A,0))</f>
        <v>[Hoàng Sơn] Dây hút đàm nhớt có kiểm soát</v>
      </c>
      <c r="D688" t="s">
        <v>2656</v>
      </c>
      <c r="E688" s="18" t="str">
        <f>INDEX('Attribute Definition'!$B:$B,MATCH($D688,'Attribute Definition'!$A:$A,0))</f>
        <v>Kích cỡ</v>
      </c>
      <c r="F688" s="34" t="s">
        <v>1167</v>
      </c>
    </row>
    <row r="689" spans="1:6" x14ac:dyDescent="0.25">
      <c r="A689" t="s">
        <v>1867</v>
      </c>
      <c r="B689" s="18" t="str">
        <f>INDEX('Product Variant'!$B:$B,MATCH($A689,'Product Variant'!$A:$A,0))</f>
        <v>PRODUCT-00126</v>
      </c>
      <c r="C689" s="18" t="str">
        <f>INDEX(Product!$B:$B,MATCH($B689,Product!$A:$A,0))</f>
        <v>[Hoàng Sơn] Dây hút đàm nhớt không kiểm soát</v>
      </c>
      <c r="D689" t="s">
        <v>2471</v>
      </c>
      <c r="E689" s="18" t="str">
        <f>INDEX('Attribute Definition'!$B:$B,MATCH($D689,'Attribute Definition'!$A:$A,0))</f>
        <v>Dạng sản phẩm</v>
      </c>
      <c r="F689" s="34" t="s">
        <v>2574</v>
      </c>
    </row>
    <row r="690" spans="1:6" x14ac:dyDescent="0.25">
      <c r="A690" t="s">
        <v>1867</v>
      </c>
      <c r="B690" s="18" t="str">
        <f>INDEX('Product Variant'!$B:$B,MATCH($A690,'Product Variant'!$A:$A,0))</f>
        <v>PRODUCT-00126</v>
      </c>
      <c r="C690" s="18" t="str">
        <f>INDEX(Product!$B:$B,MATCH($B690,Product!$A:$A,0))</f>
        <v>[Hoàng Sơn] Dây hút đàm nhớt không kiểm soát</v>
      </c>
      <c r="D690" t="s">
        <v>2656</v>
      </c>
      <c r="E690" s="18" t="str">
        <f>INDEX('Attribute Definition'!$B:$B,MATCH($D690,'Attribute Definition'!$A:$A,0))</f>
        <v>Kích cỡ</v>
      </c>
      <c r="F690" s="34" t="s">
        <v>1172</v>
      </c>
    </row>
    <row r="691" spans="1:6" x14ac:dyDescent="0.25">
      <c r="A691" t="s">
        <v>1868</v>
      </c>
      <c r="B691" s="18" t="str">
        <f>INDEX('Product Variant'!$B:$B,MATCH($A691,'Product Variant'!$A:$A,0))</f>
        <v>PRODUCT-00126</v>
      </c>
      <c r="C691" s="18" t="str">
        <f>INDEX(Product!$B:$B,MATCH($B691,Product!$A:$A,0))</f>
        <v>[Hoàng Sơn] Dây hút đàm nhớt không kiểm soát</v>
      </c>
      <c r="D691" t="s">
        <v>2471</v>
      </c>
      <c r="E691" s="18" t="str">
        <f>INDEX('Attribute Definition'!$B:$B,MATCH($D691,'Attribute Definition'!$A:$A,0))</f>
        <v>Dạng sản phẩm</v>
      </c>
      <c r="F691" s="34" t="s">
        <v>2574</v>
      </c>
    </row>
    <row r="692" spans="1:6" x14ac:dyDescent="0.25">
      <c r="A692" t="s">
        <v>1868</v>
      </c>
      <c r="B692" s="18" t="str">
        <f>INDEX('Product Variant'!$B:$B,MATCH($A692,'Product Variant'!$A:$A,0))</f>
        <v>PRODUCT-00126</v>
      </c>
      <c r="C692" s="18" t="str">
        <f>INDEX(Product!$B:$B,MATCH($B692,Product!$A:$A,0))</f>
        <v>[Hoàng Sơn] Dây hút đàm nhớt không kiểm soát</v>
      </c>
      <c r="D692" t="s">
        <v>2656</v>
      </c>
      <c r="E692" s="18" t="str">
        <f>INDEX('Attribute Definition'!$B:$B,MATCH($D692,'Attribute Definition'!$A:$A,0))</f>
        <v>Kích cỡ</v>
      </c>
      <c r="F692" s="34" t="s">
        <v>1166</v>
      </c>
    </row>
    <row r="693" spans="1:6" x14ac:dyDescent="0.25">
      <c r="A693" t="s">
        <v>1869</v>
      </c>
      <c r="B693" s="18" t="str">
        <f>INDEX('Product Variant'!$B:$B,MATCH($A693,'Product Variant'!$A:$A,0))</f>
        <v>PRODUCT-00126</v>
      </c>
      <c r="C693" s="18" t="str">
        <f>INDEX(Product!$B:$B,MATCH($B693,Product!$A:$A,0))</f>
        <v>[Hoàng Sơn] Dây hút đàm nhớt không kiểm soát</v>
      </c>
      <c r="D693" t="s">
        <v>2471</v>
      </c>
      <c r="E693" s="18" t="str">
        <f>INDEX('Attribute Definition'!$B:$B,MATCH($D693,'Attribute Definition'!$A:$A,0))</f>
        <v>Dạng sản phẩm</v>
      </c>
      <c r="F693" s="34" t="s">
        <v>2574</v>
      </c>
    </row>
    <row r="694" spans="1:6" x14ac:dyDescent="0.25">
      <c r="A694" t="s">
        <v>1869</v>
      </c>
      <c r="B694" s="18" t="str">
        <f>INDEX('Product Variant'!$B:$B,MATCH($A694,'Product Variant'!$A:$A,0))</f>
        <v>PRODUCT-00126</v>
      </c>
      <c r="C694" s="18" t="str">
        <f>INDEX(Product!$B:$B,MATCH($B694,Product!$A:$A,0))</f>
        <v>[Hoàng Sơn] Dây hút đàm nhớt không kiểm soát</v>
      </c>
      <c r="D694" t="s">
        <v>2656</v>
      </c>
      <c r="E694" s="18" t="str">
        <f>INDEX('Attribute Definition'!$B:$B,MATCH($D694,'Attribute Definition'!$A:$A,0))</f>
        <v>Kích cỡ</v>
      </c>
      <c r="F694" s="34" t="s">
        <v>1167</v>
      </c>
    </row>
    <row r="695" spans="1:6" x14ac:dyDescent="0.25">
      <c r="A695" t="s">
        <v>1870</v>
      </c>
      <c r="B695" s="18" t="str">
        <f>INDEX('Product Variant'!$B:$B,MATCH($A695,'Product Variant'!$A:$A,0))</f>
        <v>PRODUCT-00127</v>
      </c>
      <c r="C695" s="18" t="str">
        <f>INDEX(Product!$B:$B,MATCH($B695,Product!$A:$A,0))</f>
        <v>[Hollister] Dụng cụ cố định ống nội khí quản chống cắn - AnchorFast 9800</v>
      </c>
      <c r="D695" t="s">
        <v>2471</v>
      </c>
      <c r="E695" s="18" t="str">
        <f>INDEX('Attribute Definition'!$B:$B,MATCH($D695,'Attribute Definition'!$A:$A,0))</f>
        <v>Dạng sản phẩm</v>
      </c>
      <c r="F695" s="34" t="s">
        <v>2561</v>
      </c>
    </row>
    <row r="696" spans="1:6" x14ac:dyDescent="0.25">
      <c r="A696" t="s">
        <v>1871</v>
      </c>
      <c r="B696" s="18" t="str">
        <f>INDEX('Product Variant'!$B:$B,MATCH($A696,'Product Variant'!$A:$A,0))</f>
        <v>PRODUCT-00128</v>
      </c>
      <c r="C696" s="18" t="str">
        <f>INDEX(Product!$B:$B,MATCH($B696,Product!$A:$A,0))</f>
        <v>[ICU Medical] Bộ mở khí quản nhanh qua da - PORTEX Percutaneous Dilation Tracheostomy Kit</v>
      </c>
      <c r="D696" t="s">
        <v>2471</v>
      </c>
      <c r="E696" s="18" t="str">
        <f>INDEX('Attribute Definition'!$B:$B,MATCH($D696,'Attribute Definition'!$A:$A,0))</f>
        <v>Dạng sản phẩm</v>
      </c>
      <c r="F696" s="34" t="s">
        <v>2490</v>
      </c>
    </row>
    <row r="697" spans="1:6" x14ac:dyDescent="0.25">
      <c r="A697" t="s">
        <v>1872</v>
      </c>
      <c r="B697" s="18" t="str">
        <f>INDEX('Product Variant'!$B:$B,MATCH($A697,'Product Variant'!$A:$A,0))</f>
        <v>PRODUCT-00129</v>
      </c>
      <c r="C697" s="18" t="str">
        <f>INDEX(Product!$B:$B,MATCH($B697,Product!$A:$A,0))</f>
        <v>[Idealcare] Cây nòng đặt nội khí quản thường - Stylet</v>
      </c>
      <c r="D697" t="s">
        <v>2367</v>
      </c>
      <c r="E697" s="18" t="str">
        <f>INDEX('Attribute Definition'!$B:$B,MATCH($D697,'Attribute Definition'!$A:$A,0))</f>
        <v>Chất liệu</v>
      </c>
      <c r="F697" s="34" t="s">
        <v>2572</v>
      </c>
    </row>
    <row r="698" spans="1:6" x14ac:dyDescent="0.25">
      <c r="A698" t="s">
        <v>1872</v>
      </c>
      <c r="B698" s="18" t="str">
        <f>INDEX('Product Variant'!$B:$B,MATCH($A698,'Product Variant'!$A:$A,0))</f>
        <v>PRODUCT-00129</v>
      </c>
      <c r="C698" s="18" t="str">
        <f>INDEX(Product!$B:$B,MATCH($B698,Product!$A:$A,0))</f>
        <v>[Idealcare] Cây nòng đặt nội khí quản thường - Stylet</v>
      </c>
      <c r="D698" t="s">
        <v>2471</v>
      </c>
      <c r="E698" s="18" t="str">
        <f>INDEX('Attribute Definition'!$B:$B,MATCH($D698,'Attribute Definition'!$A:$A,0))</f>
        <v>Dạng sản phẩm</v>
      </c>
      <c r="F698" s="34" t="s">
        <v>2574</v>
      </c>
    </row>
    <row r="699" spans="1:6" x14ac:dyDescent="0.25">
      <c r="A699" t="s">
        <v>1872</v>
      </c>
      <c r="B699" s="18" t="str">
        <f>INDEX('Product Variant'!$B:$B,MATCH($A699,'Product Variant'!$A:$A,0))</f>
        <v>PRODUCT-00129</v>
      </c>
      <c r="C699" s="18" t="str">
        <f>INDEX(Product!$B:$B,MATCH($B699,Product!$A:$A,0))</f>
        <v>[Idealcare] Cây nòng đặt nội khí quản thường - Stylet</v>
      </c>
      <c r="D699" t="s">
        <v>2656</v>
      </c>
      <c r="E699" s="18" t="str">
        <f>INDEX('Attribute Definition'!$B:$B,MATCH($D699,'Attribute Definition'!$A:$A,0))</f>
        <v>Kích cỡ</v>
      </c>
      <c r="F699" s="34" t="s">
        <v>1174</v>
      </c>
    </row>
    <row r="700" spans="1:6" x14ac:dyDescent="0.25">
      <c r="A700" t="s">
        <v>1873</v>
      </c>
      <c r="B700" s="18" t="str">
        <f>INDEX('Product Variant'!$B:$B,MATCH($A700,'Product Variant'!$A:$A,0))</f>
        <v>PRODUCT-00129</v>
      </c>
      <c r="C700" s="18" t="str">
        <f>INDEX(Product!$B:$B,MATCH($B700,Product!$A:$A,0))</f>
        <v>[Idealcare] Cây nòng đặt nội khí quản thường - Stylet</v>
      </c>
      <c r="D700" t="s">
        <v>2367</v>
      </c>
      <c r="E700" s="18" t="str">
        <f>INDEX('Attribute Definition'!$B:$B,MATCH($D700,'Attribute Definition'!$A:$A,0))</f>
        <v>Chất liệu</v>
      </c>
      <c r="F700" s="34" t="s">
        <v>2572</v>
      </c>
    </row>
    <row r="701" spans="1:6" x14ac:dyDescent="0.25">
      <c r="A701" t="s">
        <v>1873</v>
      </c>
      <c r="B701" s="18" t="str">
        <f>INDEX('Product Variant'!$B:$B,MATCH($A701,'Product Variant'!$A:$A,0))</f>
        <v>PRODUCT-00129</v>
      </c>
      <c r="C701" s="18" t="str">
        <f>INDEX(Product!$B:$B,MATCH($B701,Product!$A:$A,0))</f>
        <v>[Idealcare] Cây nòng đặt nội khí quản thường - Stylet</v>
      </c>
      <c r="D701" t="s">
        <v>2471</v>
      </c>
      <c r="E701" s="18" t="str">
        <f>INDEX('Attribute Definition'!$B:$B,MATCH($D701,'Attribute Definition'!$A:$A,0))</f>
        <v>Dạng sản phẩm</v>
      </c>
      <c r="F701" s="34" t="s">
        <v>2574</v>
      </c>
    </row>
    <row r="702" spans="1:6" x14ac:dyDescent="0.25">
      <c r="A702" t="s">
        <v>1873</v>
      </c>
      <c r="B702" s="18" t="str">
        <f>INDEX('Product Variant'!$B:$B,MATCH($A702,'Product Variant'!$A:$A,0))</f>
        <v>PRODUCT-00129</v>
      </c>
      <c r="C702" s="18" t="str">
        <f>INDEX(Product!$B:$B,MATCH($B702,Product!$A:$A,0))</f>
        <v>[Idealcare] Cây nòng đặt nội khí quản thường - Stylet</v>
      </c>
      <c r="D702" t="s">
        <v>2656</v>
      </c>
      <c r="E702" s="18" t="str">
        <f>INDEX('Attribute Definition'!$B:$B,MATCH($D702,'Attribute Definition'!$A:$A,0))</f>
        <v>Kích cỡ</v>
      </c>
      <c r="F702" s="34" t="s">
        <v>1173</v>
      </c>
    </row>
    <row r="703" spans="1:6" x14ac:dyDescent="0.25">
      <c r="A703" t="s">
        <v>1874</v>
      </c>
      <c r="B703" s="18" t="str">
        <f>INDEX('Product Variant'!$B:$B,MATCH($A703,'Product Variant'!$A:$A,0))</f>
        <v>PRODUCT-00129</v>
      </c>
      <c r="C703" s="18" t="str">
        <f>INDEX(Product!$B:$B,MATCH($B703,Product!$A:$A,0))</f>
        <v>[Idealcare] Cây nòng đặt nội khí quản thường - Stylet</v>
      </c>
      <c r="D703" t="s">
        <v>2367</v>
      </c>
      <c r="E703" s="18" t="str">
        <f>INDEX('Attribute Definition'!$B:$B,MATCH($D703,'Attribute Definition'!$A:$A,0))</f>
        <v>Chất liệu</v>
      </c>
      <c r="F703" s="34" t="s">
        <v>2572</v>
      </c>
    </row>
    <row r="704" spans="1:6" x14ac:dyDescent="0.25">
      <c r="A704" t="s">
        <v>1874</v>
      </c>
      <c r="B704" s="18" t="str">
        <f>INDEX('Product Variant'!$B:$B,MATCH($A704,'Product Variant'!$A:$A,0))</f>
        <v>PRODUCT-00129</v>
      </c>
      <c r="C704" s="18" t="str">
        <f>INDEX(Product!$B:$B,MATCH($B704,Product!$A:$A,0))</f>
        <v>[Idealcare] Cây nòng đặt nội khí quản thường - Stylet</v>
      </c>
      <c r="D704" t="s">
        <v>2471</v>
      </c>
      <c r="E704" s="18" t="str">
        <f>INDEX('Attribute Definition'!$B:$B,MATCH($D704,'Attribute Definition'!$A:$A,0))</f>
        <v>Dạng sản phẩm</v>
      </c>
      <c r="F704" s="34" t="s">
        <v>2574</v>
      </c>
    </row>
    <row r="705" spans="1:6" x14ac:dyDescent="0.25">
      <c r="A705" t="s">
        <v>1874</v>
      </c>
      <c r="B705" s="18" t="str">
        <f>INDEX('Product Variant'!$B:$B,MATCH($A705,'Product Variant'!$A:$A,0))</f>
        <v>PRODUCT-00129</v>
      </c>
      <c r="C705" s="18" t="str">
        <f>INDEX(Product!$B:$B,MATCH($B705,Product!$A:$A,0))</f>
        <v>[Idealcare] Cây nòng đặt nội khí quản thường - Stylet</v>
      </c>
      <c r="D705" t="s">
        <v>2656</v>
      </c>
      <c r="E705" s="18" t="str">
        <f>INDEX('Attribute Definition'!$B:$B,MATCH($D705,'Attribute Definition'!$A:$A,0))</f>
        <v>Kích cỡ</v>
      </c>
      <c r="F705" s="34" t="s">
        <v>1167</v>
      </c>
    </row>
    <row r="706" spans="1:6" x14ac:dyDescent="0.25">
      <c r="A706" t="s">
        <v>1875</v>
      </c>
      <c r="B706" s="18" t="str">
        <f>INDEX('Product Variant'!$B:$B,MATCH($A706,'Product Variant'!$A:$A,0))</f>
        <v>PRODUCT-00130</v>
      </c>
      <c r="C706" s="18" t="str">
        <f>INDEX(Product!$B:$B,MATCH($B706,Product!$A:$A,0))</f>
        <v>[iMedicare] Máy tạo oxy 5 lít - OC-5LH</v>
      </c>
      <c r="D706" t="s">
        <v>2459</v>
      </c>
      <c r="E706" s="18" t="str">
        <f>INDEX('Attribute Definition'!$B:$B,MATCH($D706,'Attribute Definition'!$A:$A,0))</f>
        <v>Lưu lượng oxy</v>
      </c>
      <c r="F706" s="34" t="s">
        <v>2579</v>
      </c>
    </row>
    <row r="707" spans="1:6" x14ac:dyDescent="0.25">
      <c r="A707" t="s">
        <v>1875</v>
      </c>
      <c r="B707" s="18" t="str">
        <f>INDEX('Product Variant'!$B:$B,MATCH($A707,'Product Variant'!$A:$A,0))</f>
        <v>PRODUCT-00130</v>
      </c>
      <c r="C707" s="18" t="str">
        <f>INDEX(Product!$B:$B,MATCH($B707,Product!$A:$A,0))</f>
        <v>[iMedicare] Máy tạo oxy 5 lít - OC-5LH</v>
      </c>
      <c r="D707" t="s">
        <v>2471</v>
      </c>
      <c r="E707" s="18" t="str">
        <f>INDEX('Attribute Definition'!$B:$B,MATCH($D707,'Attribute Definition'!$A:$A,0))</f>
        <v>Dạng sản phẩm</v>
      </c>
      <c r="F707" s="34" t="s">
        <v>2481</v>
      </c>
    </row>
    <row r="708" spans="1:6" x14ac:dyDescent="0.25">
      <c r="A708" t="s">
        <v>1876</v>
      </c>
      <c r="B708" s="18" t="str">
        <f>INDEX('Product Variant'!$B:$B,MATCH($A708,'Product Variant'!$A:$A,0))</f>
        <v>PRODUCT-00131</v>
      </c>
      <c r="C708" s="18" t="str">
        <f>INDEX(Product!$B:$B,MATCH($B708,Product!$A:$A,0))</f>
        <v>[Lohmann-Rauscher] Gạc mở khí quản vô trùng - Metalline (8cmx9cm)</v>
      </c>
      <c r="D708" t="s">
        <v>2342</v>
      </c>
      <c r="E708" s="18" t="str">
        <f>INDEX('Attribute Definition'!$B:$B,MATCH($D708,'Attribute Definition'!$A:$A,0))</f>
        <v>Kích thước</v>
      </c>
      <c r="F708" s="34" t="s">
        <v>2580</v>
      </c>
    </row>
    <row r="709" spans="1:6" x14ac:dyDescent="0.25">
      <c r="A709" t="s">
        <v>1876</v>
      </c>
      <c r="B709" s="18" t="str">
        <f>INDEX('Product Variant'!$B:$B,MATCH($A709,'Product Variant'!$A:$A,0))</f>
        <v>PRODUCT-00131</v>
      </c>
      <c r="C709" s="18" t="str">
        <f>INDEX(Product!$B:$B,MATCH($B709,Product!$A:$A,0))</f>
        <v>[Lohmann-Rauscher] Gạc mở khí quản vô trùng - Metalline (8cmx9cm)</v>
      </c>
      <c r="D709" t="s">
        <v>2374</v>
      </c>
      <c r="E709" s="18" t="str">
        <f>INDEX('Attribute Definition'!$B:$B,MATCH($D709,'Attribute Definition'!$A:$A,0))</f>
        <v>Vô trùng</v>
      </c>
      <c r="F709" s="34" t="s">
        <v>2485</v>
      </c>
    </row>
    <row r="710" spans="1:6" x14ac:dyDescent="0.25">
      <c r="A710" t="s">
        <v>1876</v>
      </c>
      <c r="B710" s="18" t="str">
        <f>INDEX('Product Variant'!$B:$B,MATCH($A710,'Product Variant'!$A:$A,0))</f>
        <v>PRODUCT-00131</v>
      </c>
      <c r="C710" s="18" t="str">
        <f>INDEX(Product!$B:$B,MATCH($B710,Product!$A:$A,0))</f>
        <v>[Lohmann-Rauscher] Gạc mở khí quản vô trùng - Metalline (8cmx9cm)</v>
      </c>
      <c r="D710" t="s">
        <v>2471</v>
      </c>
      <c r="E710" s="18" t="str">
        <f>INDEX('Attribute Definition'!$B:$B,MATCH($D710,'Attribute Definition'!$A:$A,0))</f>
        <v>Dạng sản phẩm</v>
      </c>
      <c r="F710" s="34" t="s">
        <v>2486</v>
      </c>
    </row>
    <row r="711" spans="1:6" x14ac:dyDescent="0.25">
      <c r="A711" t="s">
        <v>1877</v>
      </c>
      <c r="B711" s="18" t="str">
        <f>INDEX('Product Variant'!$B:$B,MATCH($A711,'Product Variant'!$A:$A,0))</f>
        <v>PRODUCT-00132</v>
      </c>
      <c r="C711" s="18" t="str">
        <f>INDEX(Product!$B:$B,MATCH($B711,Product!$A:$A,0))</f>
        <v>[Long-term Health] Gạc xốp đặt xung quanh ống mở khí quản (7cmx11cm)</v>
      </c>
      <c r="D711" t="s">
        <v>2342</v>
      </c>
      <c r="E711" s="18" t="str">
        <f>INDEX('Attribute Definition'!$B:$B,MATCH($D711,'Attribute Definition'!$A:$A,0))</f>
        <v>Kích thước</v>
      </c>
      <c r="F711" s="34" t="s">
        <v>2581</v>
      </c>
    </row>
    <row r="712" spans="1:6" x14ac:dyDescent="0.25">
      <c r="A712" t="s">
        <v>1877</v>
      </c>
      <c r="B712" s="18" t="str">
        <f>INDEX('Product Variant'!$B:$B,MATCH($A712,'Product Variant'!$A:$A,0))</f>
        <v>PRODUCT-00132</v>
      </c>
      <c r="C712" s="18" t="str">
        <f>INDEX(Product!$B:$B,MATCH($B712,Product!$A:$A,0))</f>
        <v>[Long-term Health] Gạc xốp đặt xung quanh ống mở khí quản (7cmx11cm)</v>
      </c>
      <c r="D712" t="s">
        <v>2471</v>
      </c>
      <c r="E712" s="18" t="str">
        <f>INDEX('Attribute Definition'!$B:$B,MATCH($D712,'Attribute Definition'!$A:$A,0))</f>
        <v>Dạng sản phẩm</v>
      </c>
      <c r="F712" s="34" t="s">
        <v>2486</v>
      </c>
    </row>
    <row r="713" spans="1:6" x14ac:dyDescent="0.25">
      <c r="A713" t="s">
        <v>1878</v>
      </c>
      <c r="B713" s="18" t="str">
        <f>INDEX('Product Variant'!$B:$B,MATCH($A713,'Product Variant'!$A:$A,0))</f>
        <v>PRODUCT-00133</v>
      </c>
      <c r="C713" s="18" t="str">
        <f>INDEX(Product!$B:$B,MATCH($B713,Product!$A:$A,0))</f>
        <v>[Long-term Health] Gạc xốp răng cưa đặt xung quanh ống mở khí quản (10cmx10cm)</v>
      </c>
      <c r="D713" t="s">
        <v>2342</v>
      </c>
      <c r="E713" s="18" t="str">
        <f>INDEX('Attribute Definition'!$B:$B,MATCH($D713,'Attribute Definition'!$A:$A,0))</f>
        <v>Kích thước</v>
      </c>
      <c r="F713" s="34" t="s">
        <v>2494</v>
      </c>
    </row>
    <row r="714" spans="1:6" x14ac:dyDescent="0.25">
      <c r="A714" t="s">
        <v>1878</v>
      </c>
      <c r="B714" s="18" t="str">
        <f>INDEX('Product Variant'!$B:$B,MATCH($A714,'Product Variant'!$A:$A,0))</f>
        <v>PRODUCT-00133</v>
      </c>
      <c r="C714" s="18" t="str">
        <f>INDEX(Product!$B:$B,MATCH($B714,Product!$A:$A,0))</f>
        <v>[Long-term Health] Gạc xốp răng cưa đặt xung quanh ống mở khí quản (10cmx10cm)</v>
      </c>
      <c r="D714" t="s">
        <v>2471</v>
      </c>
      <c r="E714" s="18" t="str">
        <f>INDEX('Attribute Definition'!$B:$B,MATCH($D714,'Attribute Definition'!$A:$A,0))</f>
        <v>Dạng sản phẩm</v>
      </c>
      <c r="F714" s="34" t="s">
        <v>2486</v>
      </c>
    </row>
    <row r="715" spans="1:6" x14ac:dyDescent="0.25">
      <c r="A715" t="s">
        <v>1879</v>
      </c>
      <c r="B715" s="18" t="str">
        <f>INDEX('Product Variant'!$B:$B,MATCH($A715,'Product Variant'!$A:$A,0))</f>
        <v>PRODUCT-00134</v>
      </c>
      <c r="C715" s="18" t="str">
        <f>INDEX(Product!$B:$B,MATCH($B715,Product!$A:$A,0))</f>
        <v>[Medis Medical] Ống nội khí quản có bóng kèm van đo áp lực bóng - Cuff-Safe® AccuCuff</v>
      </c>
      <c r="D715" t="s">
        <v>2416</v>
      </c>
      <c r="E715" s="18" t="str">
        <f>INDEX('Attribute Definition'!$B:$B,MATCH($D715,'Attribute Definition'!$A:$A,0))</f>
        <v>Bóng chèn</v>
      </c>
      <c r="F715" s="34" t="s">
        <v>2575</v>
      </c>
    </row>
    <row r="716" spans="1:6" x14ac:dyDescent="0.25">
      <c r="A716" t="s">
        <v>1879</v>
      </c>
      <c r="B716" s="18" t="str">
        <f>INDEX('Product Variant'!$B:$B,MATCH($A716,'Product Variant'!$A:$A,0))</f>
        <v>PRODUCT-00134</v>
      </c>
      <c r="C716" s="18" t="str">
        <f>INDEX(Product!$B:$B,MATCH($B716,Product!$A:$A,0))</f>
        <v>[Medis Medical] Ống nội khí quản có bóng kèm van đo áp lực bóng - Cuff-Safe® AccuCuff</v>
      </c>
      <c r="D716" t="s">
        <v>2471</v>
      </c>
      <c r="E716" s="18" t="str">
        <f>INDEX('Attribute Definition'!$B:$B,MATCH($D716,'Attribute Definition'!$A:$A,0))</f>
        <v>Dạng sản phẩm</v>
      </c>
      <c r="F716" s="34" t="s">
        <v>2574</v>
      </c>
    </row>
    <row r="717" spans="1:6" x14ac:dyDescent="0.25">
      <c r="A717" t="s">
        <v>1880</v>
      </c>
      <c r="B717" s="18" t="str">
        <f>INDEX('Product Variant'!$B:$B,MATCH($A717,'Product Variant'!$A:$A,0))</f>
        <v>PRODUCT-00135</v>
      </c>
      <c r="C717" s="18" t="str">
        <f>INDEX(Product!$B:$B,MATCH($B717,Product!$A:$A,0))</f>
        <v>[Medis Medical] Ống nội khí quản có hút trên bóng kèm van đo áp lực bóng - AccuCuff</v>
      </c>
      <c r="D717" t="s">
        <v>2426</v>
      </c>
      <c r="E717" s="18" t="str">
        <f>INDEX('Attribute Definition'!$B:$B,MATCH($D717,'Attribute Definition'!$A:$A,0))</f>
        <v>Hút trên bóng</v>
      </c>
      <c r="F717" s="34" t="s">
        <v>2485</v>
      </c>
    </row>
    <row r="718" spans="1:6" x14ac:dyDescent="0.25">
      <c r="A718" t="s">
        <v>1880</v>
      </c>
      <c r="B718" s="18" t="str">
        <f>INDEX('Product Variant'!$B:$B,MATCH($A718,'Product Variant'!$A:$A,0))</f>
        <v>PRODUCT-00135</v>
      </c>
      <c r="C718" s="18" t="str">
        <f>INDEX(Product!$B:$B,MATCH($B718,Product!$A:$A,0))</f>
        <v>[Medis Medical] Ống nội khí quản có hút trên bóng kèm van đo áp lực bóng - AccuCuff</v>
      </c>
      <c r="D718" t="s">
        <v>2471</v>
      </c>
      <c r="E718" s="18" t="str">
        <f>INDEX('Attribute Definition'!$B:$B,MATCH($D718,'Attribute Definition'!$A:$A,0))</f>
        <v>Dạng sản phẩm</v>
      </c>
      <c r="F718" s="34" t="s">
        <v>2574</v>
      </c>
    </row>
    <row r="719" spans="1:6" x14ac:dyDescent="0.25">
      <c r="A719" t="s">
        <v>1881</v>
      </c>
      <c r="B719" s="18" t="str">
        <f>INDEX('Product Variant'!$B:$B,MATCH($A719,'Product Variant'!$A:$A,0))</f>
        <v>PRODUCT-00136</v>
      </c>
      <c r="C719" s="18" t="str">
        <f>INDEX(Product!$B:$B,MATCH($B719,Product!$A:$A,0))</f>
        <v>[Meditera] Làm ẩm mở khí quản (mũi nhân tạo)</v>
      </c>
      <c r="D719" t="s">
        <v>2471</v>
      </c>
      <c r="E719" s="18" t="str">
        <f>INDEX('Attribute Definition'!$B:$B,MATCH($D719,'Attribute Definition'!$A:$A,0))</f>
        <v>Dạng sản phẩm</v>
      </c>
      <c r="F719" s="34" t="s">
        <v>2561</v>
      </c>
    </row>
    <row r="720" spans="1:6" x14ac:dyDescent="0.25">
      <c r="A720" t="s">
        <v>1882</v>
      </c>
      <c r="B720" s="18" t="str">
        <f>INDEX('Product Variant'!$B:$B,MATCH($A720,'Product Variant'!$A:$A,0))</f>
        <v>PRODUCT-00137</v>
      </c>
      <c r="C720" s="18" t="str">
        <f>INDEX(Product!$B:$B,MATCH($B720,Product!$A:$A,0))</f>
        <v>[Meditera] Phin lọc máy thở 3 chức năng - HME</v>
      </c>
      <c r="D720" t="s">
        <v>2471</v>
      </c>
      <c r="E720" s="18" t="str">
        <f>INDEX('Attribute Definition'!$B:$B,MATCH($D720,'Attribute Definition'!$A:$A,0))</f>
        <v>Dạng sản phẩm</v>
      </c>
      <c r="F720" s="34" t="s">
        <v>2561</v>
      </c>
    </row>
    <row r="721" spans="1:6" x14ac:dyDescent="0.25">
      <c r="A721" t="s">
        <v>1882</v>
      </c>
      <c r="B721" s="18" t="str">
        <f>INDEX('Product Variant'!$B:$B,MATCH($A721,'Product Variant'!$A:$A,0))</f>
        <v>PRODUCT-00137</v>
      </c>
      <c r="C721" s="18" t="str">
        <f>INDEX(Product!$B:$B,MATCH($B721,Product!$A:$A,0))</f>
        <v>[Meditera] Phin lọc máy thở 3 chức năng - HME</v>
      </c>
      <c r="D721" t="s">
        <v>2656</v>
      </c>
      <c r="E721" s="18" t="str">
        <f>INDEX('Attribute Definition'!$B:$B,MATCH($D721,'Attribute Definition'!$A:$A,0))</f>
        <v>Kích cỡ</v>
      </c>
      <c r="F721" s="34" t="s">
        <v>1157</v>
      </c>
    </row>
    <row r="722" spans="1:6" x14ac:dyDescent="0.25">
      <c r="A722" t="s">
        <v>1883</v>
      </c>
      <c r="B722" s="18" t="str">
        <f>INDEX('Product Variant'!$B:$B,MATCH($A722,'Product Variant'!$A:$A,0))</f>
        <v>PRODUCT-00137</v>
      </c>
      <c r="C722" s="18" t="str">
        <f>INDEX(Product!$B:$B,MATCH($B722,Product!$A:$A,0))</f>
        <v>[Meditera] Phin lọc máy thở 3 chức năng - HME</v>
      </c>
      <c r="D722" t="s">
        <v>2471</v>
      </c>
      <c r="E722" s="18" t="str">
        <f>INDEX('Attribute Definition'!$B:$B,MATCH($D722,'Attribute Definition'!$A:$A,0))</f>
        <v>Dạng sản phẩm</v>
      </c>
      <c r="F722" s="34" t="s">
        <v>2561</v>
      </c>
    </row>
    <row r="723" spans="1:6" x14ac:dyDescent="0.25">
      <c r="A723" t="s">
        <v>1883</v>
      </c>
      <c r="B723" s="18" t="str">
        <f>INDEX('Product Variant'!$B:$B,MATCH($A723,'Product Variant'!$A:$A,0))</f>
        <v>PRODUCT-00137</v>
      </c>
      <c r="C723" s="18" t="str">
        <f>INDEX(Product!$B:$B,MATCH($B723,Product!$A:$A,0))</f>
        <v>[Meditera] Phin lọc máy thở 3 chức năng - HME</v>
      </c>
      <c r="D723" t="s">
        <v>2656</v>
      </c>
      <c r="E723" s="18" t="str">
        <f>INDEX('Attribute Definition'!$B:$B,MATCH($D723,'Attribute Definition'!$A:$A,0))</f>
        <v>Kích cỡ</v>
      </c>
      <c r="F723" s="34" t="s">
        <v>1155</v>
      </c>
    </row>
    <row r="724" spans="1:6" x14ac:dyDescent="0.25">
      <c r="A724" t="s">
        <v>1884</v>
      </c>
      <c r="B724" s="18" t="str">
        <f>INDEX('Product Variant'!$B:$B,MATCH($A724,'Product Variant'!$A:$A,0))</f>
        <v>PRODUCT-00138</v>
      </c>
      <c r="C724" s="18" t="str">
        <f>INDEX(Product!$B:$B,MATCH($B724,Product!$A:$A,0))</f>
        <v>[Mera Senko] Nòng trong ống mở khí quản có cửa sổ - Sofit Canula</v>
      </c>
      <c r="D724" t="s">
        <v>2421</v>
      </c>
      <c r="E724" s="18" t="str">
        <f>INDEX('Attribute Definition'!$B:$B,MATCH($D724,'Attribute Definition'!$A:$A,0))</f>
        <v>Cửa sổ</v>
      </c>
      <c r="F724" s="34" t="s">
        <v>2576</v>
      </c>
    </row>
    <row r="725" spans="1:6" x14ac:dyDescent="0.25">
      <c r="A725" t="s">
        <v>1884</v>
      </c>
      <c r="B725" s="18" t="str">
        <f>INDEX('Product Variant'!$B:$B,MATCH($A725,'Product Variant'!$A:$A,0))</f>
        <v>PRODUCT-00138</v>
      </c>
      <c r="C725" s="18" t="str">
        <f>INDEX(Product!$B:$B,MATCH($B725,Product!$A:$A,0))</f>
        <v>[Mera Senko] Nòng trong ống mở khí quản có cửa sổ - Sofit Canula</v>
      </c>
      <c r="D725" t="s">
        <v>2471</v>
      </c>
      <c r="E725" s="18" t="str">
        <f>INDEX('Attribute Definition'!$B:$B,MATCH($D725,'Attribute Definition'!$A:$A,0))</f>
        <v>Dạng sản phẩm</v>
      </c>
      <c r="F725" s="34" t="s">
        <v>2574</v>
      </c>
    </row>
    <row r="726" spans="1:6" x14ac:dyDescent="0.25">
      <c r="A726" t="s">
        <v>1884</v>
      </c>
      <c r="B726" s="18" t="str">
        <f>INDEX('Product Variant'!$B:$B,MATCH($A726,'Product Variant'!$A:$A,0))</f>
        <v>PRODUCT-00138</v>
      </c>
      <c r="C726" s="18" t="str">
        <f>INDEX(Product!$B:$B,MATCH($B726,Product!$A:$A,0))</f>
        <v>[Mera Senko] Nòng trong ống mở khí quản có cửa sổ - Sofit Canula</v>
      </c>
      <c r="D726" t="s">
        <v>2656</v>
      </c>
      <c r="E726" s="18" t="str">
        <f>INDEX('Attribute Definition'!$B:$B,MATCH($D726,'Attribute Definition'!$A:$A,0))</f>
        <v>Kích cỡ</v>
      </c>
      <c r="F726" s="34" t="s">
        <v>1177</v>
      </c>
    </row>
    <row r="727" spans="1:6" x14ac:dyDescent="0.25">
      <c r="A727" t="s">
        <v>1885</v>
      </c>
      <c r="B727" s="18" t="str">
        <f>INDEX('Product Variant'!$B:$B,MATCH($A727,'Product Variant'!$A:$A,0))</f>
        <v>PRODUCT-00138</v>
      </c>
      <c r="C727" s="18" t="str">
        <f>INDEX(Product!$B:$B,MATCH($B727,Product!$A:$A,0))</f>
        <v>[Mera Senko] Nòng trong ống mở khí quản có cửa sổ - Sofit Canula</v>
      </c>
      <c r="D727" t="s">
        <v>2421</v>
      </c>
      <c r="E727" s="18" t="str">
        <f>INDEX('Attribute Definition'!$B:$B,MATCH($D727,'Attribute Definition'!$A:$A,0))</f>
        <v>Cửa sổ</v>
      </c>
      <c r="F727" s="34" t="s">
        <v>2576</v>
      </c>
    </row>
    <row r="728" spans="1:6" x14ac:dyDescent="0.25">
      <c r="A728" t="s">
        <v>1885</v>
      </c>
      <c r="B728" s="18" t="str">
        <f>INDEX('Product Variant'!$B:$B,MATCH($A728,'Product Variant'!$A:$A,0))</f>
        <v>PRODUCT-00138</v>
      </c>
      <c r="C728" s="18" t="str">
        <f>INDEX(Product!$B:$B,MATCH($B728,Product!$A:$A,0))</f>
        <v>[Mera Senko] Nòng trong ống mở khí quản có cửa sổ - Sofit Canula</v>
      </c>
      <c r="D728" t="s">
        <v>2471</v>
      </c>
      <c r="E728" s="18" t="str">
        <f>INDEX('Attribute Definition'!$B:$B,MATCH($D728,'Attribute Definition'!$A:$A,0))</f>
        <v>Dạng sản phẩm</v>
      </c>
      <c r="F728" s="34" t="s">
        <v>2574</v>
      </c>
    </row>
    <row r="729" spans="1:6" x14ac:dyDescent="0.25">
      <c r="A729" t="s">
        <v>1885</v>
      </c>
      <c r="B729" s="18" t="str">
        <f>INDEX('Product Variant'!$B:$B,MATCH($A729,'Product Variant'!$A:$A,0))</f>
        <v>PRODUCT-00138</v>
      </c>
      <c r="C729" s="18" t="str">
        <f>INDEX(Product!$B:$B,MATCH($B729,Product!$A:$A,0))</f>
        <v>[Mera Senko] Nòng trong ống mở khí quản có cửa sổ - Sofit Canula</v>
      </c>
      <c r="D729" t="s">
        <v>2656</v>
      </c>
      <c r="E729" s="18" t="str">
        <f>INDEX('Attribute Definition'!$B:$B,MATCH($D729,'Attribute Definition'!$A:$A,0))</f>
        <v>Kích cỡ</v>
      </c>
      <c r="F729" s="34" t="s">
        <v>1169</v>
      </c>
    </row>
    <row r="730" spans="1:6" x14ac:dyDescent="0.25">
      <c r="A730" t="s">
        <v>1886</v>
      </c>
      <c r="B730" s="18" t="str">
        <f>INDEX('Product Variant'!$B:$B,MATCH($A730,'Product Variant'!$A:$A,0))</f>
        <v>PRODUCT-00139</v>
      </c>
      <c r="C730" s="18" t="str">
        <f>INDEX(Product!$B:$B,MATCH($B730,Product!$A:$A,0))</f>
        <v>[Mera Senko] Nòng trong ống mở khí quản không cửa sổ - Sofit Canula</v>
      </c>
      <c r="D730" t="s">
        <v>2421</v>
      </c>
      <c r="E730" s="18" t="str">
        <f>INDEX('Attribute Definition'!$B:$B,MATCH($D730,'Attribute Definition'!$A:$A,0))</f>
        <v>Cửa sổ</v>
      </c>
      <c r="F730" s="34" t="s">
        <v>2582</v>
      </c>
    </row>
    <row r="731" spans="1:6" x14ac:dyDescent="0.25">
      <c r="A731" t="s">
        <v>1886</v>
      </c>
      <c r="B731" s="18" t="str">
        <f>INDEX('Product Variant'!$B:$B,MATCH($A731,'Product Variant'!$A:$A,0))</f>
        <v>PRODUCT-00139</v>
      </c>
      <c r="C731" s="18" t="str">
        <f>INDEX(Product!$B:$B,MATCH($B731,Product!$A:$A,0))</f>
        <v>[Mera Senko] Nòng trong ống mở khí quản không cửa sổ - Sofit Canula</v>
      </c>
      <c r="D731" t="s">
        <v>2471</v>
      </c>
      <c r="E731" s="18" t="str">
        <f>INDEX('Attribute Definition'!$B:$B,MATCH($D731,'Attribute Definition'!$A:$A,0))</f>
        <v>Dạng sản phẩm</v>
      </c>
      <c r="F731" s="34" t="s">
        <v>2574</v>
      </c>
    </row>
    <row r="732" spans="1:6" x14ac:dyDescent="0.25">
      <c r="A732" t="s">
        <v>1886</v>
      </c>
      <c r="B732" s="18" t="str">
        <f>INDEX('Product Variant'!$B:$B,MATCH($A732,'Product Variant'!$A:$A,0))</f>
        <v>PRODUCT-00139</v>
      </c>
      <c r="C732" s="18" t="str">
        <f>INDEX(Product!$B:$B,MATCH($B732,Product!$A:$A,0))</f>
        <v>[Mera Senko] Nòng trong ống mở khí quản không cửa sổ - Sofit Canula</v>
      </c>
      <c r="D732" t="s">
        <v>2656</v>
      </c>
      <c r="E732" s="18" t="str">
        <f>INDEX('Attribute Definition'!$B:$B,MATCH($D732,'Attribute Definition'!$A:$A,0))</f>
        <v>Kích cỡ</v>
      </c>
      <c r="F732" s="34" t="s">
        <v>1177</v>
      </c>
    </row>
    <row r="733" spans="1:6" x14ac:dyDescent="0.25">
      <c r="A733" t="s">
        <v>1887</v>
      </c>
      <c r="B733" s="18" t="str">
        <f>INDEX('Product Variant'!$B:$B,MATCH($A733,'Product Variant'!$A:$A,0))</f>
        <v>PRODUCT-00139</v>
      </c>
      <c r="C733" s="18" t="str">
        <f>INDEX(Product!$B:$B,MATCH($B733,Product!$A:$A,0))</f>
        <v>[Mera Senko] Nòng trong ống mở khí quản không cửa sổ - Sofit Canula</v>
      </c>
      <c r="D733" t="s">
        <v>2421</v>
      </c>
      <c r="E733" s="18" t="str">
        <f>INDEX('Attribute Definition'!$B:$B,MATCH($D733,'Attribute Definition'!$A:$A,0))</f>
        <v>Cửa sổ</v>
      </c>
      <c r="F733" s="34" t="s">
        <v>2582</v>
      </c>
    </row>
    <row r="734" spans="1:6" x14ac:dyDescent="0.25">
      <c r="A734" t="s">
        <v>1887</v>
      </c>
      <c r="B734" s="18" t="str">
        <f>INDEX('Product Variant'!$B:$B,MATCH($A734,'Product Variant'!$A:$A,0))</f>
        <v>PRODUCT-00139</v>
      </c>
      <c r="C734" s="18" t="str">
        <f>INDEX(Product!$B:$B,MATCH($B734,Product!$A:$A,0))</f>
        <v>[Mera Senko] Nòng trong ống mở khí quản không cửa sổ - Sofit Canula</v>
      </c>
      <c r="D734" t="s">
        <v>2471</v>
      </c>
      <c r="E734" s="18" t="str">
        <f>INDEX('Attribute Definition'!$B:$B,MATCH($D734,'Attribute Definition'!$A:$A,0))</f>
        <v>Dạng sản phẩm</v>
      </c>
      <c r="F734" s="34" t="s">
        <v>2574</v>
      </c>
    </row>
    <row r="735" spans="1:6" x14ac:dyDescent="0.25">
      <c r="A735" t="s">
        <v>1887</v>
      </c>
      <c r="B735" s="18" t="str">
        <f>INDEX('Product Variant'!$B:$B,MATCH($A735,'Product Variant'!$A:$A,0))</f>
        <v>PRODUCT-00139</v>
      </c>
      <c r="C735" s="18" t="str">
        <f>INDEX(Product!$B:$B,MATCH($B735,Product!$A:$A,0))</f>
        <v>[Mera Senko] Nòng trong ống mở khí quản không cửa sổ - Sofit Canula</v>
      </c>
      <c r="D735" t="s">
        <v>2656</v>
      </c>
      <c r="E735" s="18" t="str">
        <f>INDEX('Attribute Definition'!$B:$B,MATCH($D735,'Attribute Definition'!$A:$A,0))</f>
        <v>Kích cỡ</v>
      </c>
      <c r="F735" s="34" t="s">
        <v>1169</v>
      </c>
    </row>
    <row r="736" spans="1:6" x14ac:dyDescent="0.25">
      <c r="A736" t="s">
        <v>1888</v>
      </c>
      <c r="B736" s="18" t="str">
        <f>INDEX('Product Variant'!$B:$B,MATCH($A736,'Product Variant'!$A:$A,0))</f>
        <v>PRODUCT-00140</v>
      </c>
      <c r="C736" s="18" t="str">
        <f>INDEX(Product!$B:$B,MATCH($B736,Product!$A:$A,0))</f>
        <v>[Mera Senko] Ống mở khí quản 2 nòng có bóng - Sofit D-C</v>
      </c>
      <c r="D736" t="s">
        <v>2411</v>
      </c>
      <c r="E736" s="18" t="str">
        <f>INDEX('Attribute Definition'!$B:$B,MATCH($D736,'Attribute Definition'!$A:$A,0))</f>
        <v>Số nòng / nhánh</v>
      </c>
      <c r="F736" s="34" t="s">
        <v>2571</v>
      </c>
    </row>
    <row r="737" spans="1:6" x14ac:dyDescent="0.25">
      <c r="A737" t="s">
        <v>1888</v>
      </c>
      <c r="B737" s="18" t="str">
        <f>INDEX('Product Variant'!$B:$B,MATCH($A737,'Product Variant'!$A:$A,0))</f>
        <v>PRODUCT-00140</v>
      </c>
      <c r="C737" s="18" t="str">
        <f>INDEX(Product!$B:$B,MATCH($B737,Product!$A:$A,0))</f>
        <v>[Mera Senko] Ống mở khí quản 2 nòng có bóng - Sofit D-C</v>
      </c>
      <c r="D737" t="s">
        <v>2416</v>
      </c>
      <c r="E737" s="18" t="str">
        <f>INDEX('Attribute Definition'!$B:$B,MATCH($D737,'Attribute Definition'!$A:$A,0))</f>
        <v>Bóng chèn</v>
      </c>
      <c r="F737" s="34" t="s">
        <v>2575</v>
      </c>
    </row>
    <row r="738" spans="1:6" x14ac:dyDescent="0.25">
      <c r="A738" t="s">
        <v>1888</v>
      </c>
      <c r="B738" s="18" t="str">
        <f>INDEX('Product Variant'!$B:$B,MATCH($A738,'Product Variant'!$A:$A,0))</f>
        <v>PRODUCT-00140</v>
      </c>
      <c r="C738" s="18" t="str">
        <f>INDEX(Product!$B:$B,MATCH($B738,Product!$A:$A,0))</f>
        <v>[Mera Senko] Ống mở khí quản 2 nòng có bóng - Sofit D-C</v>
      </c>
      <c r="D738" t="s">
        <v>2471</v>
      </c>
      <c r="E738" s="18" t="str">
        <f>INDEX('Attribute Definition'!$B:$B,MATCH($D738,'Attribute Definition'!$A:$A,0))</f>
        <v>Dạng sản phẩm</v>
      </c>
      <c r="F738" s="34" t="s">
        <v>2574</v>
      </c>
    </row>
    <row r="739" spans="1:6" x14ac:dyDescent="0.25">
      <c r="A739" t="s">
        <v>1888</v>
      </c>
      <c r="B739" s="18" t="str">
        <f>INDEX('Product Variant'!$B:$B,MATCH($A739,'Product Variant'!$A:$A,0))</f>
        <v>PRODUCT-00140</v>
      </c>
      <c r="C739" s="18" t="str">
        <f>INDEX(Product!$B:$B,MATCH($B739,Product!$A:$A,0))</f>
        <v>[Mera Senko] Ống mở khí quản 2 nòng có bóng - Sofit D-C</v>
      </c>
      <c r="D739" t="s">
        <v>2656</v>
      </c>
      <c r="E739" s="18" t="str">
        <f>INDEX('Attribute Definition'!$B:$B,MATCH($D739,'Attribute Definition'!$A:$A,0))</f>
        <v>Kích cỡ</v>
      </c>
      <c r="F739" s="34" t="s">
        <v>1178</v>
      </c>
    </row>
    <row r="740" spans="1:6" x14ac:dyDescent="0.25">
      <c r="A740" t="s">
        <v>1889</v>
      </c>
      <c r="B740" s="18" t="str">
        <f>INDEX('Product Variant'!$B:$B,MATCH($A740,'Product Variant'!$A:$A,0))</f>
        <v>PRODUCT-00140</v>
      </c>
      <c r="C740" s="18" t="str">
        <f>INDEX(Product!$B:$B,MATCH($B740,Product!$A:$A,0))</f>
        <v>[Mera Senko] Ống mở khí quản 2 nòng có bóng - Sofit D-C</v>
      </c>
      <c r="D740" t="s">
        <v>2411</v>
      </c>
      <c r="E740" s="18" t="str">
        <f>INDEX('Attribute Definition'!$B:$B,MATCH($D740,'Attribute Definition'!$A:$A,0))</f>
        <v>Số nòng / nhánh</v>
      </c>
      <c r="F740" s="34" t="s">
        <v>2571</v>
      </c>
    </row>
    <row r="741" spans="1:6" x14ac:dyDescent="0.25">
      <c r="A741" t="s">
        <v>1889</v>
      </c>
      <c r="B741" s="18" t="str">
        <f>INDEX('Product Variant'!$B:$B,MATCH($A741,'Product Variant'!$A:$A,0))</f>
        <v>PRODUCT-00140</v>
      </c>
      <c r="C741" s="18" t="str">
        <f>INDEX(Product!$B:$B,MATCH($B741,Product!$A:$A,0))</f>
        <v>[Mera Senko] Ống mở khí quản 2 nòng có bóng - Sofit D-C</v>
      </c>
      <c r="D741" t="s">
        <v>2416</v>
      </c>
      <c r="E741" s="18" t="str">
        <f>INDEX('Attribute Definition'!$B:$B,MATCH($D741,'Attribute Definition'!$A:$A,0))</f>
        <v>Bóng chèn</v>
      </c>
      <c r="F741" s="34" t="s">
        <v>2575</v>
      </c>
    </row>
    <row r="742" spans="1:6" x14ac:dyDescent="0.25">
      <c r="A742" t="s">
        <v>1889</v>
      </c>
      <c r="B742" s="18" t="str">
        <f>INDEX('Product Variant'!$B:$B,MATCH($A742,'Product Variant'!$A:$A,0))</f>
        <v>PRODUCT-00140</v>
      </c>
      <c r="C742" s="18" t="str">
        <f>INDEX(Product!$B:$B,MATCH($B742,Product!$A:$A,0))</f>
        <v>[Mera Senko] Ống mở khí quản 2 nòng có bóng - Sofit D-C</v>
      </c>
      <c r="D742" t="s">
        <v>2471</v>
      </c>
      <c r="E742" s="18" t="str">
        <f>INDEX('Attribute Definition'!$B:$B,MATCH($D742,'Attribute Definition'!$A:$A,0))</f>
        <v>Dạng sản phẩm</v>
      </c>
      <c r="F742" s="34" t="s">
        <v>2574</v>
      </c>
    </row>
    <row r="743" spans="1:6" x14ac:dyDescent="0.25">
      <c r="A743" t="s">
        <v>1889</v>
      </c>
      <c r="B743" s="18" t="str">
        <f>INDEX('Product Variant'!$B:$B,MATCH($A743,'Product Variant'!$A:$A,0))</f>
        <v>PRODUCT-00140</v>
      </c>
      <c r="C743" s="18" t="str">
        <f>INDEX(Product!$B:$B,MATCH($B743,Product!$A:$A,0))</f>
        <v>[Mera Senko] Ống mở khí quản 2 nòng có bóng - Sofit D-C</v>
      </c>
      <c r="D743" t="s">
        <v>2656</v>
      </c>
      <c r="E743" s="18" t="str">
        <f>INDEX('Attribute Definition'!$B:$B,MATCH($D743,'Attribute Definition'!$A:$A,0))</f>
        <v>Kích cỡ</v>
      </c>
      <c r="F743" s="34" t="s">
        <v>1168</v>
      </c>
    </row>
    <row r="744" spans="1:6" x14ac:dyDescent="0.25">
      <c r="A744" t="s">
        <v>1890</v>
      </c>
      <c r="B744" s="18" t="str">
        <f>INDEX('Product Variant'!$B:$B,MATCH($A744,'Product Variant'!$A:$A,0))</f>
        <v>PRODUCT-00140</v>
      </c>
      <c r="C744" s="18" t="str">
        <f>INDEX(Product!$B:$B,MATCH($B744,Product!$A:$A,0))</f>
        <v>[Mera Senko] Ống mở khí quản 2 nòng có bóng - Sofit D-C</v>
      </c>
      <c r="D744" t="s">
        <v>2411</v>
      </c>
      <c r="E744" s="18" t="str">
        <f>INDEX('Attribute Definition'!$B:$B,MATCH($D744,'Attribute Definition'!$A:$A,0))</f>
        <v>Số nòng / nhánh</v>
      </c>
      <c r="F744" s="34" t="s">
        <v>2571</v>
      </c>
    </row>
    <row r="745" spans="1:6" x14ac:dyDescent="0.25">
      <c r="A745" t="s">
        <v>1890</v>
      </c>
      <c r="B745" s="18" t="str">
        <f>INDEX('Product Variant'!$B:$B,MATCH($A745,'Product Variant'!$A:$A,0))</f>
        <v>PRODUCT-00140</v>
      </c>
      <c r="C745" s="18" t="str">
        <f>INDEX(Product!$B:$B,MATCH($B745,Product!$A:$A,0))</f>
        <v>[Mera Senko] Ống mở khí quản 2 nòng có bóng - Sofit D-C</v>
      </c>
      <c r="D745" t="s">
        <v>2416</v>
      </c>
      <c r="E745" s="18" t="str">
        <f>INDEX('Attribute Definition'!$B:$B,MATCH($D745,'Attribute Definition'!$A:$A,0))</f>
        <v>Bóng chèn</v>
      </c>
      <c r="F745" s="34" t="s">
        <v>2575</v>
      </c>
    </row>
    <row r="746" spans="1:6" x14ac:dyDescent="0.25">
      <c r="A746" t="s">
        <v>1890</v>
      </c>
      <c r="B746" s="18" t="str">
        <f>INDEX('Product Variant'!$B:$B,MATCH($A746,'Product Variant'!$A:$A,0))</f>
        <v>PRODUCT-00140</v>
      </c>
      <c r="C746" s="18" t="str">
        <f>INDEX(Product!$B:$B,MATCH($B746,Product!$A:$A,0))</f>
        <v>[Mera Senko] Ống mở khí quản 2 nòng có bóng - Sofit D-C</v>
      </c>
      <c r="D746" t="s">
        <v>2471</v>
      </c>
      <c r="E746" s="18" t="str">
        <f>INDEX('Attribute Definition'!$B:$B,MATCH($D746,'Attribute Definition'!$A:$A,0))</f>
        <v>Dạng sản phẩm</v>
      </c>
      <c r="F746" s="34" t="s">
        <v>2574</v>
      </c>
    </row>
    <row r="747" spans="1:6" x14ac:dyDescent="0.25">
      <c r="A747" t="s">
        <v>1890</v>
      </c>
      <c r="B747" s="18" t="str">
        <f>INDEX('Product Variant'!$B:$B,MATCH($A747,'Product Variant'!$A:$A,0))</f>
        <v>PRODUCT-00140</v>
      </c>
      <c r="C747" s="18" t="str">
        <f>INDEX(Product!$B:$B,MATCH($B747,Product!$A:$A,0))</f>
        <v>[Mera Senko] Ống mở khí quản 2 nòng có bóng - Sofit D-C</v>
      </c>
      <c r="D747" t="s">
        <v>2656</v>
      </c>
      <c r="E747" s="18" t="str">
        <f>INDEX('Attribute Definition'!$B:$B,MATCH($D747,'Attribute Definition'!$A:$A,0))</f>
        <v>Kích cỡ</v>
      </c>
      <c r="F747" s="34" t="s">
        <v>1177</v>
      </c>
    </row>
    <row r="748" spans="1:6" x14ac:dyDescent="0.25">
      <c r="A748" t="s">
        <v>1891</v>
      </c>
      <c r="B748" s="18" t="str">
        <f>INDEX('Product Variant'!$B:$B,MATCH($A748,'Product Variant'!$A:$A,0))</f>
        <v>PRODUCT-00140</v>
      </c>
      <c r="C748" s="18" t="str">
        <f>INDEX(Product!$B:$B,MATCH($B748,Product!$A:$A,0))</f>
        <v>[Mera Senko] Ống mở khí quản 2 nòng có bóng - Sofit D-C</v>
      </c>
      <c r="D748" t="s">
        <v>2411</v>
      </c>
      <c r="E748" s="18" t="str">
        <f>INDEX('Attribute Definition'!$B:$B,MATCH($D748,'Attribute Definition'!$A:$A,0))</f>
        <v>Số nòng / nhánh</v>
      </c>
      <c r="F748" s="34" t="s">
        <v>2571</v>
      </c>
    </row>
    <row r="749" spans="1:6" x14ac:dyDescent="0.25">
      <c r="A749" t="s">
        <v>1891</v>
      </c>
      <c r="B749" s="18" t="str">
        <f>INDEX('Product Variant'!$B:$B,MATCH($A749,'Product Variant'!$A:$A,0))</f>
        <v>PRODUCT-00140</v>
      </c>
      <c r="C749" s="18" t="str">
        <f>INDEX(Product!$B:$B,MATCH($B749,Product!$A:$A,0))</f>
        <v>[Mera Senko] Ống mở khí quản 2 nòng có bóng - Sofit D-C</v>
      </c>
      <c r="D749" t="s">
        <v>2416</v>
      </c>
      <c r="E749" s="18" t="str">
        <f>INDEX('Attribute Definition'!$B:$B,MATCH($D749,'Attribute Definition'!$A:$A,0))</f>
        <v>Bóng chèn</v>
      </c>
      <c r="F749" s="34" t="s">
        <v>2575</v>
      </c>
    </row>
    <row r="750" spans="1:6" x14ac:dyDescent="0.25">
      <c r="A750" t="s">
        <v>1891</v>
      </c>
      <c r="B750" s="18" t="str">
        <f>INDEX('Product Variant'!$B:$B,MATCH($A750,'Product Variant'!$A:$A,0))</f>
        <v>PRODUCT-00140</v>
      </c>
      <c r="C750" s="18" t="str">
        <f>INDEX(Product!$B:$B,MATCH($B750,Product!$A:$A,0))</f>
        <v>[Mera Senko] Ống mở khí quản 2 nòng có bóng - Sofit D-C</v>
      </c>
      <c r="D750" t="s">
        <v>2471</v>
      </c>
      <c r="E750" s="18" t="str">
        <f>INDEX('Attribute Definition'!$B:$B,MATCH($D750,'Attribute Definition'!$A:$A,0))</f>
        <v>Dạng sản phẩm</v>
      </c>
      <c r="F750" s="34" t="s">
        <v>2574</v>
      </c>
    </row>
    <row r="751" spans="1:6" x14ac:dyDescent="0.25">
      <c r="A751" t="s">
        <v>1891</v>
      </c>
      <c r="B751" s="18" t="str">
        <f>INDEX('Product Variant'!$B:$B,MATCH($A751,'Product Variant'!$A:$A,0))</f>
        <v>PRODUCT-00140</v>
      </c>
      <c r="C751" s="18" t="str">
        <f>INDEX(Product!$B:$B,MATCH($B751,Product!$A:$A,0))</f>
        <v>[Mera Senko] Ống mở khí quản 2 nòng có bóng - Sofit D-C</v>
      </c>
      <c r="D751" t="s">
        <v>2656</v>
      </c>
      <c r="E751" s="18" t="str">
        <f>INDEX('Attribute Definition'!$B:$B,MATCH($D751,'Attribute Definition'!$A:$A,0))</f>
        <v>Kích cỡ</v>
      </c>
      <c r="F751" s="34" t="s">
        <v>1169</v>
      </c>
    </row>
    <row r="752" spans="1:6" x14ac:dyDescent="0.25">
      <c r="A752" t="s">
        <v>1892</v>
      </c>
      <c r="B752" s="18" t="str">
        <f>INDEX('Product Variant'!$B:$B,MATCH($A752,'Product Variant'!$A:$A,0))</f>
        <v>PRODUCT-00141</v>
      </c>
      <c r="C752" s="18" t="str">
        <f>INDEX(Product!$B:$B,MATCH($B752,Product!$A:$A,0))</f>
        <v>[Mera Senko] Ống mở khí quản 2 nòng có bóng kèm ống hút trên bóng - Sofit D-CS</v>
      </c>
      <c r="D752" t="s">
        <v>2411</v>
      </c>
      <c r="E752" s="18" t="str">
        <f>INDEX('Attribute Definition'!$B:$B,MATCH($D752,'Attribute Definition'!$A:$A,0))</f>
        <v>Số nòng / nhánh</v>
      </c>
      <c r="F752" s="34" t="s">
        <v>2571</v>
      </c>
    </row>
    <row r="753" spans="1:6" x14ac:dyDescent="0.25">
      <c r="A753" t="s">
        <v>1892</v>
      </c>
      <c r="B753" s="18" t="str">
        <f>INDEX('Product Variant'!$B:$B,MATCH($A753,'Product Variant'!$A:$A,0))</f>
        <v>PRODUCT-00141</v>
      </c>
      <c r="C753" s="18" t="str">
        <f>INDEX(Product!$B:$B,MATCH($B753,Product!$A:$A,0))</f>
        <v>[Mera Senko] Ống mở khí quản 2 nòng có bóng kèm ống hút trên bóng - Sofit D-CS</v>
      </c>
      <c r="D753" t="s">
        <v>2416</v>
      </c>
      <c r="E753" s="18" t="str">
        <f>INDEX('Attribute Definition'!$B:$B,MATCH($D753,'Attribute Definition'!$A:$A,0))</f>
        <v>Bóng chèn</v>
      </c>
      <c r="F753" s="34" t="s">
        <v>2575</v>
      </c>
    </row>
    <row r="754" spans="1:6" x14ac:dyDescent="0.25">
      <c r="A754" t="s">
        <v>1892</v>
      </c>
      <c r="B754" s="18" t="str">
        <f>INDEX('Product Variant'!$B:$B,MATCH($A754,'Product Variant'!$A:$A,0))</f>
        <v>PRODUCT-00141</v>
      </c>
      <c r="C754" s="18" t="str">
        <f>INDEX(Product!$B:$B,MATCH($B754,Product!$A:$A,0))</f>
        <v>[Mera Senko] Ống mở khí quản 2 nòng có bóng kèm ống hút trên bóng - Sofit D-CS</v>
      </c>
      <c r="D754" t="s">
        <v>2426</v>
      </c>
      <c r="E754" s="18" t="str">
        <f>INDEX('Attribute Definition'!$B:$B,MATCH($D754,'Attribute Definition'!$A:$A,0))</f>
        <v>Hút trên bóng</v>
      </c>
      <c r="F754" s="34" t="s">
        <v>2485</v>
      </c>
    </row>
    <row r="755" spans="1:6" x14ac:dyDescent="0.25">
      <c r="A755" t="s">
        <v>1892</v>
      </c>
      <c r="B755" s="18" t="str">
        <f>INDEX('Product Variant'!$B:$B,MATCH($A755,'Product Variant'!$A:$A,0))</f>
        <v>PRODUCT-00141</v>
      </c>
      <c r="C755" s="18" t="str">
        <f>INDEX(Product!$B:$B,MATCH($B755,Product!$A:$A,0))</f>
        <v>[Mera Senko] Ống mở khí quản 2 nòng có bóng kèm ống hút trên bóng - Sofit D-CS</v>
      </c>
      <c r="D755" t="s">
        <v>2471</v>
      </c>
      <c r="E755" s="18" t="str">
        <f>INDEX('Attribute Definition'!$B:$B,MATCH($D755,'Attribute Definition'!$A:$A,0))</f>
        <v>Dạng sản phẩm</v>
      </c>
      <c r="F755" s="34" t="s">
        <v>2574</v>
      </c>
    </row>
    <row r="756" spans="1:6" x14ac:dyDescent="0.25">
      <c r="A756" t="s">
        <v>1892</v>
      </c>
      <c r="B756" s="18" t="str">
        <f>INDEX('Product Variant'!$B:$B,MATCH($A756,'Product Variant'!$A:$A,0))</f>
        <v>PRODUCT-00141</v>
      </c>
      <c r="C756" s="18" t="str">
        <f>INDEX(Product!$B:$B,MATCH($B756,Product!$A:$A,0))</f>
        <v>[Mera Senko] Ống mở khí quản 2 nòng có bóng kèm ống hút trên bóng - Sofit D-CS</v>
      </c>
      <c r="D756" t="s">
        <v>2656</v>
      </c>
      <c r="E756" s="18" t="str">
        <f>INDEX('Attribute Definition'!$B:$B,MATCH($D756,'Attribute Definition'!$A:$A,0))</f>
        <v>Kích cỡ</v>
      </c>
      <c r="F756" s="34" t="s">
        <v>1178</v>
      </c>
    </row>
    <row r="757" spans="1:6" x14ac:dyDescent="0.25">
      <c r="A757" t="s">
        <v>1893</v>
      </c>
      <c r="B757" s="18" t="str">
        <f>INDEX('Product Variant'!$B:$B,MATCH($A757,'Product Variant'!$A:$A,0))</f>
        <v>PRODUCT-00141</v>
      </c>
      <c r="C757" s="18" t="str">
        <f>INDEX(Product!$B:$B,MATCH($B757,Product!$A:$A,0))</f>
        <v>[Mera Senko] Ống mở khí quản 2 nòng có bóng kèm ống hút trên bóng - Sofit D-CS</v>
      </c>
      <c r="D757" t="s">
        <v>2411</v>
      </c>
      <c r="E757" s="18" t="str">
        <f>INDEX('Attribute Definition'!$B:$B,MATCH($D757,'Attribute Definition'!$A:$A,0))</f>
        <v>Số nòng / nhánh</v>
      </c>
      <c r="F757" s="34" t="s">
        <v>2571</v>
      </c>
    </row>
    <row r="758" spans="1:6" x14ac:dyDescent="0.25">
      <c r="A758" t="s">
        <v>1893</v>
      </c>
      <c r="B758" s="18" t="str">
        <f>INDEX('Product Variant'!$B:$B,MATCH($A758,'Product Variant'!$A:$A,0))</f>
        <v>PRODUCT-00141</v>
      </c>
      <c r="C758" s="18" t="str">
        <f>INDEX(Product!$B:$B,MATCH($B758,Product!$A:$A,0))</f>
        <v>[Mera Senko] Ống mở khí quản 2 nòng có bóng kèm ống hút trên bóng - Sofit D-CS</v>
      </c>
      <c r="D758" t="s">
        <v>2416</v>
      </c>
      <c r="E758" s="18" t="str">
        <f>INDEX('Attribute Definition'!$B:$B,MATCH($D758,'Attribute Definition'!$A:$A,0))</f>
        <v>Bóng chèn</v>
      </c>
      <c r="F758" s="34" t="s">
        <v>2575</v>
      </c>
    </row>
    <row r="759" spans="1:6" x14ac:dyDescent="0.25">
      <c r="A759" t="s">
        <v>1893</v>
      </c>
      <c r="B759" s="18" t="str">
        <f>INDEX('Product Variant'!$B:$B,MATCH($A759,'Product Variant'!$A:$A,0))</f>
        <v>PRODUCT-00141</v>
      </c>
      <c r="C759" s="18" t="str">
        <f>INDEX(Product!$B:$B,MATCH($B759,Product!$A:$A,0))</f>
        <v>[Mera Senko] Ống mở khí quản 2 nòng có bóng kèm ống hút trên bóng - Sofit D-CS</v>
      </c>
      <c r="D759" t="s">
        <v>2426</v>
      </c>
      <c r="E759" s="18" t="str">
        <f>INDEX('Attribute Definition'!$B:$B,MATCH($D759,'Attribute Definition'!$A:$A,0))</f>
        <v>Hút trên bóng</v>
      </c>
      <c r="F759" s="34" t="s">
        <v>2485</v>
      </c>
    </row>
    <row r="760" spans="1:6" x14ac:dyDescent="0.25">
      <c r="A760" t="s">
        <v>1893</v>
      </c>
      <c r="B760" s="18" t="str">
        <f>INDEX('Product Variant'!$B:$B,MATCH($A760,'Product Variant'!$A:$A,0))</f>
        <v>PRODUCT-00141</v>
      </c>
      <c r="C760" s="18" t="str">
        <f>INDEX(Product!$B:$B,MATCH($B760,Product!$A:$A,0))</f>
        <v>[Mera Senko] Ống mở khí quản 2 nòng có bóng kèm ống hút trên bóng - Sofit D-CS</v>
      </c>
      <c r="D760" t="s">
        <v>2471</v>
      </c>
      <c r="E760" s="18" t="str">
        <f>INDEX('Attribute Definition'!$B:$B,MATCH($D760,'Attribute Definition'!$A:$A,0))</f>
        <v>Dạng sản phẩm</v>
      </c>
      <c r="F760" s="34" t="s">
        <v>2574</v>
      </c>
    </row>
    <row r="761" spans="1:6" x14ac:dyDescent="0.25">
      <c r="A761" t="s">
        <v>1893</v>
      </c>
      <c r="B761" s="18" t="str">
        <f>INDEX('Product Variant'!$B:$B,MATCH($A761,'Product Variant'!$A:$A,0))</f>
        <v>PRODUCT-00141</v>
      </c>
      <c r="C761" s="18" t="str">
        <f>INDEX(Product!$B:$B,MATCH($B761,Product!$A:$A,0))</f>
        <v>[Mera Senko] Ống mở khí quản 2 nòng có bóng kèm ống hút trên bóng - Sofit D-CS</v>
      </c>
      <c r="D761" t="s">
        <v>2656</v>
      </c>
      <c r="E761" s="18" t="str">
        <f>INDEX('Attribute Definition'!$B:$B,MATCH($D761,'Attribute Definition'!$A:$A,0))</f>
        <v>Kích cỡ</v>
      </c>
      <c r="F761" s="34" t="s">
        <v>1168</v>
      </c>
    </row>
    <row r="762" spans="1:6" x14ac:dyDescent="0.25">
      <c r="A762" t="s">
        <v>1894</v>
      </c>
      <c r="B762" s="18" t="str">
        <f>INDEX('Product Variant'!$B:$B,MATCH($A762,'Product Variant'!$A:$A,0))</f>
        <v>PRODUCT-00141</v>
      </c>
      <c r="C762" s="18" t="str">
        <f>INDEX(Product!$B:$B,MATCH($B762,Product!$A:$A,0))</f>
        <v>[Mera Senko] Ống mở khí quản 2 nòng có bóng kèm ống hút trên bóng - Sofit D-CS</v>
      </c>
      <c r="D762" t="s">
        <v>2411</v>
      </c>
      <c r="E762" s="18" t="str">
        <f>INDEX('Attribute Definition'!$B:$B,MATCH($D762,'Attribute Definition'!$A:$A,0))</f>
        <v>Số nòng / nhánh</v>
      </c>
      <c r="F762" s="34" t="s">
        <v>2571</v>
      </c>
    </row>
    <row r="763" spans="1:6" x14ac:dyDescent="0.25">
      <c r="A763" t="s">
        <v>1894</v>
      </c>
      <c r="B763" s="18" t="str">
        <f>INDEX('Product Variant'!$B:$B,MATCH($A763,'Product Variant'!$A:$A,0))</f>
        <v>PRODUCT-00141</v>
      </c>
      <c r="C763" s="18" t="str">
        <f>INDEX(Product!$B:$B,MATCH($B763,Product!$A:$A,0))</f>
        <v>[Mera Senko] Ống mở khí quản 2 nòng có bóng kèm ống hút trên bóng - Sofit D-CS</v>
      </c>
      <c r="D763" t="s">
        <v>2416</v>
      </c>
      <c r="E763" s="18" t="str">
        <f>INDEX('Attribute Definition'!$B:$B,MATCH($D763,'Attribute Definition'!$A:$A,0))</f>
        <v>Bóng chèn</v>
      </c>
      <c r="F763" s="34" t="s">
        <v>2575</v>
      </c>
    </row>
    <row r="764" spans="1:6" x14ac:dyDescent="0.25">
      <c r="A764" t="s">
        <v>1894</v>
      </c>
      <c r="B764" s="18" t="str">
        <f>INDEX('Product Variant'!$B:$B,MATCH($A764,'Product Variant'!$A:$A,0))</f>
        <v>PRODUCT-00141</v>
      </c>
      <c r="C764" s="18" t="str">
        <f>INDEX(Product!$B:$B,MATCH($B764,Product!$A:$A,0))</f>
        <v>[Mera Senko] Ống mở khí quản 2 nòng có bóng kèm ống hút trên bóng - Sofit D-CS</v>
      </c>
      <c r="D764" t="s">
        <v>2426</v>
      </c>
      <c r="E764" s="18" t="str">
        <f>INDEX('Attribute Definition'!$B:$B,MATCH($D764,'Attribute Definition'!$A:$A,0))</f>
        <v>Hút trên bóng</v>
      </c>
      <c r="F764" s="34" t="s">
        <v>2485</v>
      </c>
    </row>
    <row r="765" spans="1:6" x14ac:dyDescent="0.25">
      <c r="A765" t="s">
        <v>1894</v>
      </c>
      <c r="B765" s="18" t="str">
        <f>INDEX('Product Variant'!$B:$B,MATCH($A765,'Product Variant'!$A:$A,0))</f>
        <v>PRODUCT-00141</v>
      </c>
      <c r="C765" s="18" t="str">
        <f>INDEX(Product!$B:$B,MATCH($B765,Product!$A:$A,0))</f>
        <v>[Mera Senko] Ống mở khí quản 2 nòng có bóng kèm ống hút trên bóng - Sofit D-CS</v>
      </c>
      <c r="D765" t="s">
        <v>2471</v>
      </c>
      <c r="E765" s="18" t="str">
        <f>INDEX('Attribute Definition'!$B:$B,MATCH($D765,'Attribute Definition'!$A:$A,0))</f>
        <v>Dạng sản phẩm</v>
      </c>
      <c r="F765" s="34" t="s">
        <v>2574</v>
      </c>
    </row>
    <row r="766" spans="1:6" x14ac:dyDescent="0.25">
      <c r="A766" t="s">
        <v>1894</v>
      </c>
      <c r="B766" s="18" t="str">
        <f>INDEX('Product Variant'!$B:$B,MATCH($A766,'Product Variant'!$A:$A,0))</f>
        <v>PRODUCT-00141</v>
      </c>
      <c r="C766" s="18" t="str">
        <f>INDEX(Product!$B:$B,MATCH($B766,Product!$A:$A,0))</f>
        <v>[Mera Senko] Ống mở khí quản 2 nòng có bóng kèm ống hút trên bóng - Sofit D-CS</v>
      </c>
      <c r="D766" t="s">
        <v>2656</v>
      </c>
      <c r="E766" s="18" t="str">
        <f>INDEX('Attribute Definition'!$B:$B,MATCH($D766,'Attribute Definition'!$A:$A,0))</f>
        <v>Kích cỡ</v>
      </c>
      <c r="F766" s="34" t="s">
        <v>1177</v>
      </c>
    </row>
    <row r="767" spans="1:6" x14ac:dyDescent="0.25">
      <c r="A767" t="s">
        <v>1895</v>
      </c>
      <c r="B767" s="18" t="str">
        <f>INDEX('Product Variant'!$B:$B,MATCH($A767,'Product Variant'!$A:$A,0))</f>
        <v>PRODUCT-00141</v>
      </c>
      <c r="C767" s="18" t="str">
        <f>INDEX(Product!$B:$B,MATCH($B767,Product!$A:$A,0))</f>
        <v>[Mera Senko] Ống mở khí quản 2 nòng có bóng kèm ống hút trên bóng - Sofit D-CS</v>
      </c>
      <c r="D767" t="s">
        <v>2411</v>
      </c>
      <c r="E767" s="18" t="str">
        <f>INDEX('Attribute Definition'!$B:$B,MATCH($D767,'Attribute Definition'!$A:$A,0))</f>
        <v>Số nòng / nhánh</v>
      </c>
      <c r="F767" s="34" t="s">
        <v>2571</v>
      </c>
    </row>
    <row r="768" spans="1:6" x14ac:dyDescent="0.25">
      <c r="A768" t="s">
        <v>1895</v>
      </c>
      <c r="B768" s="18" t="str">
        <f>INDEX('Product Variant'!$B:$B,MATCH($A768,'Product Variant'!$A:$A,0))</f>
        <v>PRODUCT-00141</v>
      </c>
      <c r="C768" s="18" t="str">
        <f>INDEX(Product!$B:$B,MATCH($B768,Product!$A:$A,0))</f>
        <v>[Mera Senko] Ống mở khí quản 2 nòng có bóng kèm ống hút trên bóng - Sofit D-CS</v>
      </c>
      <c r="D768" t="s">
        <v>2416</v>
      </c>
      <c r="E768" s="18" t="str">
        <f>INDEX('Attribute Definition'!$B:$B,MATCH($D768,'Attribute Definition'!$A:$A,0))</f>
        <v>Bóng chèn</v>
      </c>
      <c r="F768" s="34" t="s">
        <v>2575</v>
      </c>
    </row>
    <row r="769" spans="1:6" x14ac:dyDescent="0.25">
      <c r="A769" t="s">
        <v>1895</v>
      </c>
      <c r="B769" s="18" t="str">
        <f>INDEX('Product Variant'!$B:$B,MATCH($A769,'Product Variant'!$A:$A,0))</f>
        <v>PRODUCT-00141</v>
      </c>
      <c r="C769" s="18" t="str">
        <f>INDEX(Product!$B:$B,MATCH($B769,Product!$A:$A,0))</f>
        <v>[Mera Senko] Ống mở khí quản 2 nòng có bóng kèm ống hút trên bóng - Sofit D-CS</v>
      </c>
      <c r="D769" t="s">
        <v>2426</v>
      </c>
      <c r="E769" s="18" t="str">
        <f>INDEX('Attribute Definition'!$B:$B,MATCH($D769,'Attribute Definition'!$A:$A,0))</f>
        <v>Hút trên bóng</v>
      </c>
      <c r="F769" s="34" t="s">
        <v>2485</v>
      </c>
    </row>
    <row r="770" spans="1:6" x14ac:dyDescent="0.25">
      <c r="A770" t="s">
        <v>1895</v>
      </c>
      <c r="B770" s="18" t="str">
        <f>INDEX('Product Variant'!$B:$B,MATCH($A770,'Product Variant'!$A:$A,0))</f>
        <v>PRODUCT-00141</v>
      </c>
      <c r="C770" s="18" t="str">
        <f>INDEX(Product!$B:$B,MATCH($B770,Product!$A:$A,0))</f>
        <v>[Mera Senko] Ống mở khí quản 2 nòng có bóng kèm ống hút trên bóng - Sofit D-CS</v>
      </c>
      <c r="D770" t="s">
        <v>2471</v>
      </c>
      <c r="E770" s="18" t="str">
        <f>INDEX('Attribute Definition'!$B:$B,MATCH($D770,'Attribute Definition'!$A:$A,0))</f>
        <v>Dạng sản phẩm</v>
      </c>
      <c r="F770" s="34" t="s">
        <v>2574</v>
      </c>
    </row>
    <row r="771" spans="1:6" x14ac:dyDescent="0.25">
      <c r="A771" t="s">
        <v>1895</v>
      </c>
      <c r="B771" s="18" t="str">
        <f>INDEX('Product Variant'!$B:$B,MATCH($A771,'Product Variant'!$A:$A,0))</f>
        <v>PRODUCT-00141</v>
      </c>
      <c r="C771" s="18" t="str">
        <f>INDEX(Product!$B:$B,MATCH($B771,Product!$A:$A,0))</f>
        <v>[Mera Senko] Ống mở khí quản 2 nòng có bóng kèm ống hút trên bóng - Sofit D-CS</v>
      </c>
      <c r="D771" t="s">
        <v>2656</v>
      </c>
      <c r="E771" s="18" t="str">
        <f>INDEX('Attribute Definition'!$B:$B,MATCH($D771,'Attribute Definition'!$A:$A,0))</f>
        <v>Kích cỡ</v>
      </c>
      <c r="F771" s="34" t="s">
        <v>1169</v>
      </c>
    </row>
    <row r="772" spans="1:6" x14ac:dyDescent="0.25">
      <c r="A772" t="s">
        <v>1896</v>
      </c>
      <c r="B772" s="18" t="str">
        <f>INDEX('Product Variant'!$B:$B,MATCH($A772,'Product Variant'!$A:$A,0))</f>
        <v>PRODUCT-00142</v>
      </c>
      <c r="C772" s="18" t="str">
        <f>INDEX(Product!$B:$B,MATCH($B772,Product!$A:$A,0))</f>
        <v>[Mera Senko] Ống mở khí quản 2 nòng có bóng, có cửa sổ - Sofit D-CF</v>
      </c>
      <c r="D772" t="s">
        <v>2411</v>
      </c>
      <c r="E772" s="18" t="str">
        <f>INDEX('Attribute Definition'!$B:$B,MATCH($D772,'Attribute Definition'!$A:$A,0))</f>
        <v>Số nòng / nhánh</v>
      </c>
      <c r="F772" s="34" t="s">
        <v>2571</v>
      </c>
    </row>
    <row r="773" spans="1:6" x14ac:dyDescent="0.25">
      <c r="A773" t="s">
        <v>1896</v>
      </c>
      <c r="B773" s="18" t="str">
        <f>INDEX('Product Variant'!$B:$B,MATCH($A773,'Product Variant'!$A:$A,0))</f>
        <v>PRODUCT-00142</v>
      </c>
      <c r="C773" s="18" t="str">
        <f>INDEX(Product!$B:$B,MATCH($B773,Product!$A:$A,0))</f>
        <v>[Mera Senko] Ống mở khí quản 2 nòng có bóng, có cửa sổ - Sofit D-CF</v>
      </c>
      <c r="D773" t="s">
        <v>2416</v>
      </c>
      <c r="E773" s="18" t="str">
        <f>INDEX('Attribute Definition'!$B:$B,MATCH($D773,'Attribute Definition'!$A:$A,0))</f>
        <v>Bóng chèn</v>
      </c>
      <c r="F773" s="34" t="s">
        <v>2575</v>
      </c>
    </row>
    <row r="774" spans="1:6" x14ac:dyDescent="0.25">
      <c r="A774" t="s">
        <v>1896</v>
      </c>
      <c r="B774" s="18" t="str">
        <f>INDEX('Product Variant'!$B:$B,MATCH($A774,'Product Variant'!$A:$A,0))</f>
        <v>PRODUCT-00142</v>
      </c>
      <c r="C774" s="18" t="str">
        <f>INDEX(Product!$B:$B,MATCH($B774,Product!$A:$A,0))</f>
        <v>[Mera Senko] Ống mở khí quản 2 nòng có bóng, có cửa sổ - Sofit D-CF</v>
      </c>
      <c r="D774" t="s">
        <v>2421</v>
      </c>
      <c r="E774" s="18" t="str">
        <f>INDEX('Attribute Definition'!$B:$B,MATCH($D774,'Attribute Definition'!$A:$A,0))</f>
        <v>Cửa sổ</v>
      </c>
      <c r="F774" s="34" t="s">
        <v>2576</v>
      </c>
    </row>
    <row r="775" spans="1:6" x14ac:dyDescent="0.25">
      <c r="A775" t="s">
        <v>1896</v>
      </c>
      <c r="B775" s="18" t="str">
        <f>INDEX('Product Variant'!$B:$B,MATCH($A775,'Product Variant'!$A:$A,0))</f>
        <v>PRODUCT-00142</v>
      </c>
      <c r="C775" s="18" t="str">
        <f>INDEX(Product!$B:$B,MATCH($B775,Product!$A:$A,0))</f>
        <v>[Mera Senko] Ống mở khí quản 2 nòng có bóng, có cửa sổ - Sofit D-CF</v>
      </c>
      <c r="D775" t="s">
        <v>2471</v>
      </c>
      <c r="E775" s="18" t="str">
        <f>INDEX('Attribute Definition'!$B:$B,MATCH($D775,'Attribute Definition'!$A:$A,0))</f>
        <v>Dạng sản phẩm</v>
      </c>
      <c r="F775" s="34" t="s">
        <v>2574</v>
      </c>
    </row>
    <row r="776" spans="1:6" x14ac:dyDescent="0.25">
      <c r="A776" t="s">
        <v>1896</v>
      </c>
      <c r="B776" s="18" t="str">
        <f>INDEX('Product Variant'!$B:$B,MATCH($A776,'Product Variant'!$A:$A,0))</f>
        <v>PRODUCT-00142</v>
      </c>
      <c r="C776" s="18" t="str">
        <f>INDEX(Product!$B:$B,MATCH($B776,Product!$A:$A,0))</f>
        <v>[Mera Senko] Ống mở khí quản 2 nòng có bóng, có cửa sổ - Sofit D-CF</v>
      </c>
      <c r="D776" t="s">
        <v>2656</v>
      </c>
      <c r="E776" s="18" t="str">
        <f>INDEX('Attribute Definition'!$B:$B,MATCH($D776,'Attribute Definition'!$A:$A,0))</f>
        <v>Kích cỡ</v>
      </c>
      <c r="F776" s="34" t="s">
        <v>1178</v>
      </c>
    </row>
    <row r="777" spans="1:6" x14ac:dyDescent="0.25">
      <c r="A777" t="s">
        <v>1897</v>
      </c>
      <c r="B777" s="18" t="str">
        <f>INDEX('Product Variant'!$B:$B,MATCH($A777,'Product Variant'!$A:$A,0))</f>
        <v>PRODUCT-00142</v>
      </c>
      <c r="C777" s="18" t="str">
        <f>INDEX(Product!$B:$B,MATCH($B777,Product!$A:$A,0))</f>
        <v>[Mera Senko] Ống mở khí quản 2 nòng có bóng, có cửa sổ - Sofit D-CF</v>
      </c>
      <c r="D777" t="s">
        <v>2411</v>
      </c>
      <c r="E777" s="18" t="str">
        <f>INDEX('Attribute Definition'!$B:$B,MATCH($D777,'Attribute Definition'!$A:$A,0))</f>
        <v>Số nòng / nhánh</v>
      </c>
      <c r="F777" s="34" t="s">
        <v>2571</v>
      </c>
    </row>
    <row r="778" spans="1:6" x14ac:dyDescent="0.25">
      <c r="A778" t="s">
        <v>1897</v>
      </c>
      <c r="B778" s="18" t="str">
        <f>INDEX('Product Variant'!$B:$B,MATCH($A778,'Product Variant'!$A:$A,0))</f>
        <v>PRODUCT-00142</v>
      </c>
      <c r="C778" s="18" t="str">
        <f>INDEX(Product!$B:$B,MATCH($B778,Product!$A:$A,0))</f>
        <v>[Mera Senko] Ống mở khí quản 2 nòng có bóng, có cửa sổ - Sofit D-CF</v>
      </c>
      <c r="D778" t="s">
        <v>2416</v>
      </c>
      <c r="E778" s="18" t="str">
        <f>INDEX('Attribute Definition'!$B:$B,MATCH($D778,'Attribute Definition'!$A:$A,0))</f>
        <v>Bóng chèn</v>
      </c>
      <c r="F778" s="34" t="s">
        <v>2575</v>
      </c>
    </row>
    <row r="779" spans="1:6" x14ac:dyDescent="0.25">
      <c r="A779" t="s">
        <v>1897</v>
      </c>
      <c r="B779" s="18" t="str">
        <f>INDEX('Product Variant'!$B:$B,MATCH($A779,'Product Variant'!$A:$A,0))</f>
        <v>PRODUCT-00142</v>
      </c>
      <c r="C779" s="18" t="str">
        <f>INDEX(Product!$B:$B,MATCH($B779,Product!$A:$A,0))</f>
        <v>[Mera Senko] Ống mở khí quản 2 nòng có bóng, có cửa sổ - Sofit D-CF</v>
      </c>
      <c r="D779" t="s">
        <v>2421</v>
      </c>
      <c r="E779" s="18" t="str">
        <f>INDEX('Attribute Definition'!$B:$B,MATCH($D779,'Attribute Definition'!$A:$A,0))</f>
        <v>Cửa sổ</v>
      </c>
      <c r="F779" s="34" t="s">
        <v>2576</v>
      </c>
    </row>
    <row r="780" spans="1:6" x14ac:dyDescent="0.25">
      <c r="A780" t="s">
        <v>1897</v>
      </c>
      <c r="B780" s="18" t="str">
        <f>INDEX('Product Variant'!$B:$B,MATCH($A780,'Product Variant'!$A:$A,0))</f>
        <v>PRODUCT-00142</v>
      </c>
      <c r="C780" s="18" t="str">
        <f>INDEX(Product!$B:$B,MATCH($B780,Product!$A:$A,0))</f>
        <v>[Mera Senko] Ống mở khí quản 2 nòng có bóng, có cửa sổ - Sofit D-CF</v>
      </c>
      <c r="D780" t="s">
        <v>2471</v>
      </c>
      <c r="E780" s="18" t="str">
        <f>INDEX('Attribute Definition'!$B:$B,MATCH($D780,'Attribute Definition'!$A:$A,0))</f>
        <v>Dạng sản phẩm</v>
      </c>
      <c r="F780" s="34" t="s">
        <v>2574</v>
      </c>
    </row>
    <row r="781" spans="1:6" x14ac:dyDescent="0.25">
      <c r="A781" t="s">
        <v>1897</v>
      </c>
      <c r="B781" s="18" t="str">
        <f>INDEX('Product Variant'!$B:$B,MATCH($A781,'Product Variant'!$A:$A,0))</f>
        <v>PRODUCT-00142</v>
      </c>
      <c r="C781" s="18" t="str">
        <f>INDEX(Product!$B:$B,MATCH($B781,Product!$A:$A,0))</f>
        <v>[Mera Senko] Ống mở khí quản 2 nòng có bóng, có cửa sổ - Sofit D-CF</v>
      </c>
      <c r="D781" t="s">
        <v>2656</v>
      </c>
      <c r="E781" s="18" t="str">
        <f>INDEX('Attribute Definition'!$B:$B,MATCH($D781,'Attribute Definition'!$A:$A,0))</f>
        <v>Kích cỡ</v>
      </c>
      <c r="F781" s="34" t="s">
        <v>1168</v>
      </c>
    </row>
    <row r="782" spans="1:6" x14ac:dyDescent="0.25">
      <c r="A782" t="s">
        <v>1898</v>
      </c>
      <c r="B782" s="18" t="str">
        <f>INDEX('Product Variant'!$B:$B,MATCH($A782,'Product Variant'!$A:$A,0))</f>
        <v>PRODUCT-00142</v>
      </c>
      <c r="C782" s="18" t="str">
        <f>INDEX(Product!$B:$B,MATCH($B782,Product!$A:$A,0))</f>
        <v>[Mera Senko] Ống mở khí quản 2 nòng có bóng, có cửa sổ - Sofit D-CF</v>
      </c>
      <c r="D782" t="s">
        <v>2411</v>
      </c>
      <c r="E782" s="18" t="str">
        <f>INDEX('Attribute Definition'!$B:$B,MATCH($D782,'Attribute Definition'!$A:$A,0))</f>
        <v>Số nòng / nhánh</v>
      </c>
      <c r="F782" s="34" t="s">
        <v>2571</v>
      </c>
    </row>
    <row r="783" spans="1:6" x14ac:dyDescent="0.25">
      <c r="A783" t="s">
        <v>1898</v>
      </c>
      <c r="B783" s="18" t="str">
        <f>INDEX('Product Variant'!$B:$B,MATCH($A783,'Product Variant'!$A:$A,0))</f>
        <v>PRODUCT-00142</v>
      </c>
      <c r="C783" s="18" t="str">
        <f>INDEX(Product!$B:$B,MATCH($B783,Product!$A:$A,0))</f>
        <v>[Mera Senko] Ống mở khí quản 2 nòng có bóng, có cửa sổ - Sofit D-CF</v>
      </c>
      <c r="D783" t="s">
        <v>2416</v>
      </c>
      <c r="E783" s="18" t="str">
        <f>INDEX('Attribute Definition'!$B:$B,MATCH($D783,'Attribute Definition'!$A:$A,0))</f>
        <v>Bóng chèn</v>
      </c>
      <c r="F783" s="34" t="s">
        <v>2575</v>
      </c>
    </row>
    <row r="784" spans="1:6" x14ac:dyDescent="0.25">
      <c r="A784" t="s">
        <v>1898</v>
      </c>
      <c r="B784" s="18" t="str">
        <f>INDEX('Product Variant'!$B:$B,MATCH($A784,'Product Variant'!$A:$A,0))</f>
        <v>PRODUCT-00142</v>
      </c>
      <c r="C784" s="18" t="str">
        <f>INDEX(Product!$B:$B,MATCH($B784,Product!$A:$A,0))</f>
        <v>[Mera Senko] Ống mở khí quản 2 nòng có bóng, có cửa sổ - Sofit D-CF</v>
      </c>
      <c r="D784" t="s">
        <v>2421</v>
      </c>
      <c r="E784" s="18" t="str">
        <f>INDEX('Attribute Definition'!$B:$B,MATCH($D784,'Attribute Definition'!$A:$A,0))</f>
        <v>Cửa sổ</v>
      </c>
      <c r="F784" s="34" t="s">
        <v>2576</v>
      </c>
    </row>
    <row r="785" spans="1:6" x14ac:dyDescent="0.25">
      <c r="A785" t="s">
        <v>1898</v>
      </c>
      <c r="B785" s="18" t="str">
        <f>INDEX('Product Variant'!$B:$B,MATCH($A785,'Product Variant'!$A:$A,0))</f>
        <v>PRODUCT-00142</v>
      </c>
      <c r="C785" s="18" t="str">
        <f>INDEX(Product!$B:$B,MATCH($B785,Product!$A:$A,0))</f>
        <v>[Mera Senko] Ống mở khí quản 2 nòng có bóng, có cửa sổ - Sofit D-CF</v>
      </c>
      <c r="D785" t="s">
        <v>2471</v>
      </c>
      <c r="E785" s="18" t="str">
        <f>INDEX('Attribute Definition'!$B:$B,MATCH($D785,'Attribute Definition'!$A:$A,0))</f>
        <v>Dạng sản phẩm</v>
      </c>
      <c r="F785" s="34" t="s">
        <v>2574</v>
      </c>
    </row>
    <row r="786" spans="1:6" x14ac:dyDescent="0.25">
      <c r="A786" t="s">
        <v>1898</v>
      </c>
      <c r="B786" s="18" t="str">
        <f>INDEX('Product Variant'!$B:$B,MATCH($A786,'Product Variant'!$A:$A,0))</f>
        <v>PRODUCT-00142</v>
      </c>
      <c r="C786" s="18" t="str">
        <f>INDEX(Product!$B:$B,MATCH($B786,Product!$A:$A,0))</f>
        <v>[Mera Senko] Ống mở khí quản 2 nòng có bóng, có cửa sổ - Sofit D-CF</v>
      </c>
      <c r="D786" t="s">
        <v>2656</v>
      </c>
      <c r="E786" s="18" t="str">
        <f>INDEX('Attribute Definition'!$B:$B,MATCH($D786,'Attribute Definition'!$A:$A,0))</f>
        <v>Kích cỡ</v>
      </c>
      <c r="F786" s="34" t="s">
        <v>1177</v>
      </c>
    </row>
    <row r="787" spans="1:6" x14ac:dyDescent="0.25">
      <c r="A787" t="s">
        <v>1899</v>
      </c>
      <c r="B787" s="18" t="str">
        <f>INDEX('Product Variant'!$B:$B,MATCH($A787,'Product Variant'!$A:$A,0))</f>
        <v>PRODUCT-00142</v>
      </c>
      <c r="C787" s="18" t="str">
        <f>INDEX(Product!$B:$B,MATCH($B787,Product!$A:$A,0))</f>
        <v>[Mera Senko] Ống mở khí quản 2 nòng có bóng, có cửa sổ - Sofit D-CF</v>
      </c>
      <c r="D787" t="s">
        <v>2411</v>
      </c>
      <c r="E787" s="18" t="str">
        <f>INDEX('Attribute Definition'!$B:$B,MATCH($D787,'Attribute Definition'!$A:$A,0))</f>
        <v>Số nòng / nhánh</v>
      </c>
      <c r="F787" s="34" t="s">
        <v>2571</v>
      </c>
    </row>
    <row r="788" spans="1:6" x14ac:dyDescent="0.25">
      <c r="A788" t="s">
        <v>1899</v>
      </c>
      <c r="B788" s="18" t="str">
        <f>INDEX('Product Variant'!$B:$B,MATCH($A788,'Product Variant'!$A:$A,0))</f>
        <v>PRODUCT-00142</v>
      </c>
      <c r="C788" s="18" t="str">
        <f>INDEX(Product!$B:$B,MATCH($B788,Product!$A:$A,0))</f>
        <v>[Mera Senko] Ống mở khí quản 2 nòng có bóng, có cửa sổ - Sofit D-CF</v>
      </c>
      <c r="D788" t="s">
        <v>2416</v>
      </c>
      <c r="E788" s="18" t="str">
        <f>INDEX('Attribute Definition'!$B:$B,MATCH($D788,'Attribute Definition'!$A:$A,0))</f>
        <v>Bóng chèn</v>
      </c>
      <c r="F788" s="34" t="s">
        <v>2575</v>
      </c>
    </row>
    <row r="789" spans="1:6" x14ac:dyDescent="0.25">
      <c r="A789" t="s">
        <v>1899</v>
      </c>
      <c r="B789" s="18" t="str">
        <f>INDEX('Product Variant'!$B:$B,MATCH($A789,'Product Variant'!$A:$A,0))</f>
        <v>PRODUCT-00142</v>
      </c>
      <c r="C789" s="18" t="str">
        <f>INDEX(Product!$B:$B,MATCH($B789,Product!$A:$A,0))</f>
        <v>[Mera Senko] Ống mở khí quản 2 nòng có bóng, có cửa sổ - Sofit D-CF</v>
      </c>
      <c r="D789" t="s">
        <v>2421</v>
      </c>
      <c r="E789" s="18" t="str">
        <f>INDEX('Attribute Definition'!$B:$B,MATCH($D789,'Attribute Definition'!$A:$A,0))</f>
        <v>Cửa sổ</v>
      </c>
      <c r="F789" s="34" t="s">
        <v>2576</v>
      </c>
    </row>
    <row r="790" spans="1:6" x14ac:dyDescent="0.25">
      <c r="A790" t="s">
        <v>1899</v>
      </c>
      <c r="B790" s="18" t="str">
        <f>INDEX('Product Variant'!$B:$B,MATCH($A790,'Product Variant'!$A:$A,0))</f>
        <v>PRODUCT-00142</v>
      </c>
      <c r="C790" s="18" t="str">
        <f>INDEX(Product!$B:$B,MATCH($B790,Product!$A:$A,0))</f>
        <v>[Mera Senko] Ống mở khí quản 2 nòng có bóng, có cửa sổ - Sofit D-CF</v>
      </c>
      <c r="D790" t="s">
        <v>2471</v>
      </c>
      <c r="E790" s="18" t="str">
        <f>INDEX('Attribute Definition'!$B:$B,MATCH($D790,'Attribute Definition'!$A:$A,0))</f>
        <v>Dạng sản phẩm</v>
      </c>
      <c r="F790" s="34" t="s">
        <v>2574</v>
      </c>
    </row>
    <row r="791" spans="1:6" x14ac:dyDescent="0.25">
      <c r="A791" t="s">
        <v>1899</v>
      </c>
      <c r="B791" s="18" t="str">
        <f>INDEX('Product Variant'!$B:$B,MATCH($A791,'Product Variant'!$A:$A,0))</f>
        <v>PRODUCT-00142</v>
      </c>
      <c r="C791" s="18" t="str">
        <f>INDEX(Product!$B:$B,MATCH($B791,Product!$A:$A,0))</f>
        <v>[Mera Senko] Ống mở khí quản 2 nòng có bóng, có cửa sổ - Sofit D-CF</v>
      </c>
      <c r="D791" t="s">
        <v>2656</v>
      </c>
      <c r="E791" s="18" t="str">
        <f>INDEX('Attribute Definition'!$B:$B,MATCH($D791,'Attribute Definition'!$A:$A,0))</f>
        <v>Kích cỡ</v>
      </c>
      <c r="F791" s="34" t="s">
        <v>1169</v>
      </c>
    </row>
    <row r="792" spans="1:6" x14ac:dyDescent="0.25">
      <c r="A792" t="s">
        <v>1900</v>
      </c>
      <c r="B792" s="18" t="str">
        <f>INDEX('Product Variant'!$B:$B,MATCH($A792,'Product Variant'!$A:$A,0))</f>
        <v>PRODUCT-00143</v>
      </c>
      <c r="C792" s="18" t="str">
        <f>INDEX(Product!$B:$B,MATCH($B792,Product!$A:$A,0))</f>
        <v>[Mera Senko] Ống mở khí quản 2 nòng có bóng, có cửa sổ kèm ống hút trên bóng - Sofit D-CFS</v>
      </c>
      <c r="D792" t="s">
        <v>2411</v>
      </c>
      <c r="E792" s="18" t="str">
        <f>INDEX('Attribute Definition'!$B:$B,MATCH($D792,'Attribute Definition'!$A:$A,0))</f>
        <v>Số nòng / nhánh</v>
      </c>
      <c r="F792" s="34" t="s">
        <v>2571</v>
      </c>
    </row>
    <row r="793" spans="1:6" x14ac:dyDescent="0.25">
      <c r="A793" t="s">
        <v>1900</v>
      </c>
      <c r="B793" s="18" t="str">
        <f>INDEX('Product Variant'!$B:$B,MATCH($A793,'Product Variant'!$A:$A,0))</f>
        <v>PRODUCT-00143</v>
      </c>
      <c r="C793" s="18" t="str">
        <f>INDEX(Product!$B:$B,MATCH($B793,Product!$A:$A,0))</f>
        <v>[Mera Senko] Ống mở khí quản 2 nòng có bóng, có cửa sổ kèm ống hút trên bóng - Sofit D-CFS</v>
      </c>
      <c r="D793" t="s">
        <v>2416</v>
      </c>
      <c r="E793" s="18" t="str">
        <f>INDEX('Attribute Definition'!$B:$B,MATCH($D793,'Attribute Definition'!$A:$A,0))</f>
        <v>Bóng chèn</v>
      </c>
      <c r="F793" s="34" t="s">
        <v>2575</v>
      </c>
    </row>
    <row r="794" spans="1:6" x14ac:dyDescent="0.25">
      <c r="A794" t="s">
        <v>1900</v>
      </c>
      <c r="B794" s="18" t="str">
        <f>INDEX('Product Variant'!$B:$B,MATCH($A794,'Product Variant'!$A:$A,0))</f>
        <v>PRODUCT-00143</v>
      </c>
      <c r="C794" s="18" t="str">
        <f>INDEX(Product!$B:$B,MATCH($B794,Product!$A:$A,0))</f>
        <v>[Mera Senko] Ống mở khí quản 2 nòng có bóng, có cửa sổ kèm ống hút trên bóng - Sofit D-CFS</v>
      </c>
      <c r="D794" t="s">
        <v>2421</v>
      </c>
      <c r="E794" s="18" t="str">
        <f>INDEX('Attribute Definition'!$B:$B,MATCH($D794,'Attribute Definition'!$A:$A,0))</f>
        <v>Cửa sổ</v>
      </c>
      <c r="F794" s="34" t="s">
        <v>2576</v>
      </c>
    </row>
    <row r="795" spans="1:6" x14ac:dyDescent="0.25">
      <c r="A795" t="s">
        <v>1900</v>
      </c>
      <c r="B795" s="18" t="str">
        <f>INDEX('Product Variant'!$B:$B,MATCH($A795,'Product Variant'!$A:$A,0))</f>
        <v>PRODUCT-00143</v>
      </c>
      <c r="C795" s="18" t="str">
        <f>INDEX(Product!$B:$B,MATCH($B795,Product!$A:$A,0))</f>
        <v>[Mera Senko] Ống mở khí quản 2 nòng có bóng, có cửa sổ kèm ống hút trên bóng - Sofit D-CFS</v>
      </c>
      <c r="D795" t="s">
        <v>2426</v>
      </c>
      <c r="E795" s="18" t="str">
        <f>INDEX('Attribute Definition'!$B:$B,MATCH($D795,'Attribute Definition'!$A:$A,0))</f>
        <v>Hút trên bóng</v>
      </c>
      <c r="F795" s="34" t="s">
        <v>2485</v>
      </c>
    </row>
    <row r="796" spans="1:6" x14ac:dyDescent="0.25">
      <c r="A796" t="s">
        <v>1900</v>
      </c>
      <c r="B796" s="18" t="str">
        <f>INDEX('Product Variant'!$B:$B,MATCH($A796,'Product Variant'!$A:$A,0))</f>
        <v>PRODUCT-00143</v>
      </c>
      <c r="C796" s="18" t="str">
        <f>INDEX(Product!$B:$B,MATCH($B796,Product!$A:$A,0))</f>
        <v>[Mera Senko] Ống mở khí quản 2 nòng có bóng, có cửa sổ kèm ống hút trên bóng - Sofit D-CFS</v>
      </c>
      <c r="D796" t="s">
        <v>2471</v>
      </c>
      <c r="E796" s="18" t="str">
        <f>INDEX('Attribute Definition'!$B:$B,MATCH($D796,'Attribute Definition'!$A:$A,0))</f>
        <v>Dạng sản phẩm</v>
      </c>
      <c r="F796" s="34" t="s">
        <v>2574</v>
      </c>
    </row>
    <row r="797" spans="1:6" x14ac:dyDescent="0.25">
      <c r="A797" t="s">
        <v>1900</v>
      </c>
      <c r="B797" s="18" t="str">
        <f>INDEX('Product Variant'!$B:$B,MATCH($A797,'Product Variant'!$A:$A,0))</f>
        <v>PRODUCT-00143</v>
      </c>
      <c r="C797" s="18" t="str">
        <f>INDEX(Product!$B:$B,MATCH($B797,Product!$A:$A,0))</f>
        <v>[Mera Senko] Ống mở khí quản 2 nòng có bóng, có cửa sổ kèm ống hút trên bóng - Sofit D-CFS</v>
      </c>
      <c r="D797" t="s">
        <v>2656</v>
      </c>
      <c r="E797" s="18" t="str">
        <f>INDEX('Attribute Definition'!$B:$B,MATCH($D797,'Attribute Definition'!$A:$A,0))</f>
        <v>Kích cỡ</v>
      </c>
      <c r="F797" s="34" t="s">
        <v>1178</v>
      </c>
    </row>
    <row r="798" spans="1:6" x14ac:dyDescent="0.25">
      <c r="A798" t="s">
        <v>1901</v>
      </c>
      <c r="B798" s="18" t="str">
        <f>INDEX('Product Variant'!$B:$B,MATCH($A798,'Product Variant'!$A:$A,0))</f>
        <v>PRODUCT-00143</v>
      </c>
      <c r="C798" s="18" t="str">
        <f>INDEX(Product!$B:$B,MATCH($B798,Product!$A:$A,0))</f>
        <v>[Mera Senko] Ống mở khí quản 2 nòng có bóng, có cửa sổ kèm ống hút trên bóng - Sofit D-CFS</v>
      </c>
      <c r="D798" t="s">
        <v>2411</v>
      </c>
      <c r="E798" s="18" t="str">
        <f>INDEX('Attribute Definition'!$B:$B,MATCH($D798,'Attribute Definition'!$A:$A,0))</f>
        <v>Số nòng / nhánh</v>
      </c>
      <c r="F798" s="34" t="s">
        <v>2571</v>
      </c>
    </row>
    <row r="799" spans="1:6" x14ac:dyDescent="0.25">
      <c r="A799" t="s">
        <v>1901</v>
      </c>
      <c r="B799" s="18" t="str">
        <f>INDEX('Product Variant'!$B:$B,MATCH($A799,'Product Variant'!$A:$A,0))</f>
        <v>PRODUCT-00143</v>
      </c>
      <c r="C799" s="18" t="str">
        <f>INDEX(Product!$B:$B,MATCH($B799,Product!$A:$A,0))</f>
        <v>[Mera Senko] Ống mở khí quản 2 nòng có bóng, có cửa sổ kèm ống hút trên bóng - Sofit D-CFS</v>
      </c>
      <c r="D799" t="s">
        <v>2416</v>
      </c>
      <c r="E799" s="18" t="str">
        <f>INDEX('Attribute Definition'!$B:$B,MATCH($D799,'Attribute Definition'!$A:$A,0))</f>
        <v>Bóng chèn</v>
      </c>
      <c r="F799" s="34" t="s">
        <v>2575</v>
      </c>
    </row>
    <row r="800" spans="1:6" x14ac:dyDescent="0.25">
      <c r="A800" t="s">
        <v>1901</v>
      </c>
      <c r="B800" s="18" t="str">
        <f>INDEX('Product Variant'!$B:$B,MATCH($A800,'Product Variant'!$A:$A,0))</f>
        <v>PRODUCT-00143</v>
      </c>
      <c r="C800" s="18" t="str">
        <f>INDEX(Product!$B:$B,MATCH($B800,Product!$A:$A,0))</f>
        <v>[Mera Senko] Ống mở khí quản 2 nòng có bóng, có cửa sổ kèm ống hút trên bóng - Sofit D-CFS</v>
      </c>
      <c r="D800" t="s">
        <v>2421</v>
      </c>
      <c r="E800" s="18" t="str">
        <f>INDEX('Attribute Definition'!$B:$B,MATCH($D800,'Attribute Definition'!$A:$A,0))</f>
        <v>Cửa sổ</v>
      </c>
      <c r="F800" s="34" t="s">
        <v>2576</v>
      </c>
    </row>
    <row r="801" spans="1:6" x14ac:dyDescent="0.25">
      <c r="A801" t="s">
        <v>1901</v>
      </c>
      <c r="B801" s="18" t="str">
        <f>INDEX('Product Variant'!$B:$B,MATCH($A801,'Product Variant'!$A:$A,0))</f>
        <v>PRODUCT-00143</v>
      </c>
      <c r="C801" s="18" t="str">
        <f>INDEX(Product!$B:$B,MATCH($B801,Product!$A:$A,0))</f>
        <v>[Mera Senko] Ống mở khí quản 2 nòng có bóng, có cửa sổ kèm ống hút trên bóng - Sofit D-CFS</v>
      </c>
      <c r="D801" t="s">
        <v>2426</v>
      </c>
      <c r="E801" s="18" t="str">
        <f>INDEX('Attribute Definition'!$B:$B,MATCH($D801,'Attribute Definition'!$A:$A,0))</f>
        <v>Hút trên bóng</v>
      </c>
      <c r="F801" s="34" t="s">
        <v>2485</v>
      </c>
    </row>
    <row r="802" spans="1:6" x14ac:dyDescent="0.25">
      <c r="A802" t="s">
        <v>1901</v>
      </c>
      <c r="B802" s="18" t="str">
        <f>INDEX('Product Variant'!$B:$B,MATCH($A802,'Product Variant'!$A:$A,0))</f>
        <v>PRODUCT-00143</v>
      </c>
      <c r="C802" s="18" t="str">
        <f>INDEX(Product!$B:$B,MATCH($B802,Product!$A:$A,0))</f>
        <v>[Mera Senko] Ống mở khí quản 2 nòng có bóng, có cửa sổ kèm ống hút trên bóng - Sofit D-CFS</v>
      </c>
      <c r="D802" t="s">
        <v>2471</v>
      </c>
      <c r="E802" s="18" t="str">
        <f>INDEX('Attribute Definition'!$B:$B,MATCH($D802,'Attribute Definition'!$A:$A,0))</f>
        <v>Dạng sản phẩm</v>
      </c>
      <c r="F802" s="34" t="s">
        <v>2574</v>
      </c>
    </row>
    <row r="803" spans="1:6" x14ac:dyDescent="0.25">
      <c r="A803" t="s">
        <v>1901</v>
      </c>
      <c r="B803" s="18" t="str">
        <f>INDEX('Product Variant'!$B:$B,MATCH($A803,'Product Variant'!$A:$A,0))</f>
        <v>PRODUCT-00143</v>
      </c>
      <c r="C803" s="18" t="str">
        <f>INDEX(Product!$B:$B,MATCH($B803,Product!$A:$A,0))</f>
        <v>[Mera Senko] Ống mở khí quản 2 nòng có bóng, có cửa sổ kèm ống hút trên bóng - Sofit D-CFS</v>
      </c>
      <c r="D803" t="s">
        <v>2656</v>
      </c>
      <c r="E803" s="18" t="str">
        <f>INDEX('Attribute Definition'!$B:$B,MATCH($D803,'Attribute Definition'!$A:$A,0))</f>
        <v>Kích cỡ</v>
      </c>
      <c r="F803" s="34" t="s">
        <v>1168</v>
      </c>
    </row>
    <row r="804" spans="1:6" x14ac:dyDescent="0.25">
      <c r="A804" t="s">
        <v>1902</v>
      </c>
      <c r="B804" s="18" t="str">
        <f>INDEX('Product Variant'!$B:$B,MATCH($A804,'Product Variant'!$A:$A,0))</f>
        <v>PRODUCT-00143</v>
      </c>
      <c r="C804" s="18" t="str">
        <f>INDEX(Product!$B:$B,MATCH($B804,Product!$A:$A,0))</f>
        <v>[Mera Senko] Ống mở khí quản 2 nòng có bóng, có cửa sổ kèm ống hút trên bóng - Sofit D-CFS</v>
      </c>
      <c r="D804" t="s">
        <v>2411</v>
      </c>
      <c r="E804" s="18" t="str">
        <f>INDEX('Attribute Definition'!$B:$B,MATCH($D804,'Attribute Definition'!$A:$A,0))</f>
        <v>Số nòng / nhánh</v>
      </c>
      <c r="F804" s="34" t="s">
        <v>2571</v>
      </c>
    </row>
    <row r="805" spans="1:6" x14ac:dyDescent="0.25">
      <c r="A805" t="s">
        <v>1902</v>
      </c>
      <c r="B805" s="18" t="str">
        <f>INDEX('Product Variant'!$B:$B,MATCH($A805,'Product Variant'!$A:$A,0))</f>
        <v>PRODUCT-00143</v>
      </c>
      <c r="C805" s="18" t="str">
        <f>INDEX(Product!$B:$B,MATCH($B805,Product!$A:$A,0))</f>
        <v>[Mera Senko] Ống mở khí quản 2 nòng có bóng, có cửa sổ kèm ống hút trên bóng - Sofit D-CFS</v>
      </c>
      <c r="D805" t="s">
        <v>2416</v>
      </c>
      <c r="E805" s="18" t="str">
        <f>INDEX('Attribute Definition'!$B:$B,MATCH($D805,'Attribute Definition'!$A:$A,0))</f>
        <v>Bóng chèn</v>
      </c>
      <c r="F805" s="34" t="s">
        <v>2575</v>
      </c>
    </row>
    <row r="806" spans="1:6" x14ac:dyDescent="0.25">
      <c r="A806" t="s">
        <v>1902</v>
      </c>
      <c r="B806" s="18" t="str">
        <f>INDEX('Product Variant'!$B:$B,MATCH($A806,'Product Variant'!$A:$A,0))</f>
        <v>PRODUCT-00143</v>
      </c>
      <c r="C806" s="18" t="str">
        <f>INDEX(Product!$B:$B,MATCH($B806,Product!$A:$A,0))</f>
        <v>[Mera Senko] Ống mở khí quản 2 nòng có bóng, có cửa sổ kèm ống hút trên bóng - Sofit D-CFS</v>
      </c>
      <c r="D806" t="s">
        <v>2421</v>
      </c>
      <c r="E806" s="18" t="str">
        <f>INDEX('Attribute Definition'!$B:$B,MATCH($D806,'Attribute Definition'!$A:$A,0))</f>
        <v>Cửa sổ</v>
      </c>
      <c r="F806" s="34" t="s">
        <v>2576</v>
      </c>
    </row>
    <row r="807" spans="1:6" x14ac:dyDescent="0.25">
      <c r="A807" t="s">
        <v>1902</v>
      </c>
      <c r="B807" s="18" t="str">
        <f>INDEX('Product Variant'!$B:$B,MATCH($A807,'Product Variant'!$A:$A,0))</f>
        <v>PRODUCT-00143</v>
      </c>
      <c r="C807" s="18" t="str">
        <f>INDEX(Product!$B:$B,MATCH($B807,Product!$A:$A,0))</f>
        <v>[Mera Senko] Ống mở khí quản 2 nòng có bóng, có cửa sổ kèm ống hút trên bóng - Sofit D-CFS</v>
      </c>
      <c r="D807" t="s">
        <v>2426</v>
      </c>
      <c r="E807" s="18" t="str">
        <f>INDEX('Attribute Definition'!$B:$B,MATCH($D807,'Attribute Definition'!$A:$A,0))</f>
        <v>Hút trên bóng</v>
      </c>
      <c r="F807" s="34" t="s">
        <v>2485</v>
      </c>
    </row>
    <row r="808" spans="1:6" x14ac:dyDescent="0.25">
      <c r="A808" t="s">
        <v>1902</v>
      </c>
      <c r="B808" s="18" t="str">
        <f>INDEX('Product Variant'!$B:$B,MATCH($A808,'Product Variant'!$A:$A,0))</f>
        <v>PRODUCT-00143</v>
      </c>
      <c r="C808" s="18" t="str">
        <f>INDEX(Product!$B:$B,MATCH($B808,Product!$A:$A,0))</f>
        <v>[Mera Senko] Ống mở khí quản 2 nòng có bóng, có cửa sổ kèm ống hút trên bóng - Sofit D-CFS</v>
      </c>
      <c r="D808" t="s">
        <v>2471</v>
      </c>
      <c r="E808" s="18" t="str">
        <f>INDEX('Attribute Definition'!$B:$B,MATCH($D808,'Attribute Definition'!$A:$A,0))</f>
        <v>Dạng sản phẩm</v>
      </c>
      <c r="F808" s="34" t="s">
        <v>2574</v>
      </c>
    </row>
    <row r="809" spans="1:6" x14ac:dyDescent="0.25">
      <c r="A809" t="s">
        <v>1902</v>
      </c>
      <c r="B809" s="18" t="str">
        <f>INDEX('Product Variant'!$B:$B,MATCH($A809,'Product Variant'!$A:$A,0))</f>
        <v>PRODUCT-00143</v>
      </c>
      <c r="C809" s="18" t="str">
        <f>INDEX(Product!$B:$B,MATCH($B809,Product!$A:$A,0))</f>
        <v>[Mera Senko] Ống mở khí quản 2 nòng có bóng, có cửa sổ kèm ống hút trên bóng - Sofit D-CFS</v>
      </c>
      <c r="D809" t="s">
        <v>2656</v>
      </c>
      <c r="E809" s="18" t="str">
        <f>INDEX('Attribute Definition'!$B:$B,MATCH($D809,'Attribute Definition'!$A:$A,0))</f>
        <v>Kích cỡ</v>
      </c>
      <c r="F809" s="34" t="s">
        <v>1177</v>
      </c>
    </row>
    <row r="810" spans="1:6" x14ac:dyDescent="0.25">
      <c r="A810" t="s">
        <v>1903</v>
      </c>
      <c r="B810" s="18" t="str">
        <f>INDEX('Product Variant'!$B:$B,MATCH($A810,'Product Variant'!$A:$A,0))</f>
        <v>PRODUCT-00143</v>
      </c>
      <c r="C810" s="18" t="str">
        <f>INDEX(Product!$B:$B,MATCH($B810,Product!$A:$A,0))</f>
        <v>[Mera Senko] Ống mở khí quản 2 nòng có bóng, có cửa sổ kèm ống hút trên bóng - Sofit D-CFS</v>
      </c>
      <c r="D810" t="s">
        <v>2411</v>
      </c>
      <c r="E810" s="18" t="str">
        <f>INDEX('Attribute Definition'!$B:$B,MATCH($D810,'Attribute Definition'!$A:$A,0))</f>
        <v>Số nòng / nhánh</v>
      </c>
      <c r="F810" s="34" t="s">
        <v>2571</v>
      </c>
    </row>
    <row r="811" spans="1:6" x14ac:dyDescent="0.25">
      <c r="A811" t="s">
        <v>1903</v>
      </c>
      <c r="B811" s="18" t="str">
        <f>INDEX('Product Variant'!$B:$B,MATCH($A811,'Product Variant'!$A:$A,0))</f>
        <v>PRODUCT-00143</v>
      </c>
      <c r="C811" s="18" t="str">
        <f>INDEX(Product!$B:$B,MATCH($B811,Product!$A:$A,0))</f>
        <v>[Mera Senko] Ống mở khí quản 2 nòng có bóng, có cửa sổ kèm ống hút trên bóng - Sofit D-CFS</v>
      </c>
      <c r="D811" t="s">
        <v>2416</v>
      </c>
      <c r="E811" s="18" t="str">
        <f>INDEX('Attribute Definition'!$B:$B,MATCH($D811,'Attribute Definition'!$A:$A,0))</f>
        <v>Bóng chèn</v>
      </c>
      <c r="F811" s="34" t="s">
        <v>2575</v>
      </c>
    </row>
    <row r="812" spans="1:6" x14ac:dyDescent="0.25">
      <c r="A812" t="s">
        <v>1903</v>
      </c>
      <c r="B812" s="18" t="str">
        <f>INDEX('Product Variant'!$B:$B,MATCH($A812,'Product Variant'!$A:$A,0))</f>
        <v>PRODUCT-00143</v>
      </c>
      <c r="C812" s="18" t="str">
        <f>INDEX(Product!$B:$B,MATCH($B812,Product!$A:$A,0))</f>
        <v>[Mera Senko] Ống mở khí quản 2 nòng có bóng, có cửa sổ kèm ống hút trên bóng - Sofit D-CFS</v>
      </c>
      <c r="D812" t="s">
        <v>2421</v>
      </c>
      <c r="E812" s="18" t="str">
        <f>INDEX('Attribute Definition'!$B:$B,MATCH($D812,'Attribute Definition'!$A:$A,0))</f>
        <v>Cửa sổ</v>
      </c>
      <c r="F812" s="34" t="s">
        <v>2576</v>
      </c>
    </row>
    <row r="813" spans="1:6" x14ac:dyDescent="0.25">
      <c r="A813" t="s">
        <v>1903</v>
      </c>
      <c r="B813" s="18" t="str">
        <f>INDEX('Product Variant'!$B:$B,MATCH($A813,'Product Variant'!$A:$A,0))</f>
        <v>PRODUCT-00143</v>
      </c>
      <c r="C813" s="18" t="str">
        <f>INDEX(Product!$B:$B,MATCH($B813,Product!$A:$A,0))</f>
        <v>[Mera Senko] Ống mở khí quản 2 nòng có bóng, có cửa sổ kèm ống hút trên bóng - Sofit D-CFS</v>
      </c>
      <c r="D813" t="s">
        <v>2426</v>
      </c>
      <c r="E813" s="18" t="str">
        <f>INDEX('Attribute Definition'!$B:$B,MATCH($D813,'Attribute Definition'!$A:$A,0))</f>
        <v>Hút trên bóng</v>
      </c>
      <c r="F813" s="34" t="s">
        <v>2485</v>
      </c>
    </row>
    <row r="814" spans="1:6" x14ac:dyDescent="0.25">
      <c r="A814" t="s">
        <v>1903</v>
      </c>
      <c r="B814" s="18" t="str">
        <f>INDEX('Product Variant'!$B:$B,MATCH($A814,'Product Variant'!$A:$A,0))</f>
        <v>PRODUCT-00143</v>
      </c>
      <c r="C814" s="18" t="str">
        <f>INDEX(Product!$B:$B,MATCH($B814,Product!$A:$A,0))</f>
        <v>[Mera Senko] Ống mở khí quản 2 nòng có bóng, có cửa sổ kèm ống hút trên bóng - Sofit D-CFS</v>
      </c>
      <c r="D814" t="s">
        <v>2471</v>
      </c>
      <c r="E814" s="18" t="str">
        <f>INDEX('Attribute Definition'!$B:$B,MATCH($D814,'Attribute Definition'!$A:$A,0))</f>
        <v>Dạng sản phẩm</v>
      </c>
      <c r="F814" s="34" t="s">
        <v>2574</v>
      </c>
    </row>
    <row r="815" spans="1:6" x14ac:dyDescent="0.25">
      <c r="A815" t="s">
        <v>1903</v>
      </c>
      <c r="B815" s="18" t="str">
        <f>INDEX('Product Variant'!$B:$B,MATCH($A815,'Product Variant'!$A:$A,0))</f>
        <v>PRODUCT-00143</v>
      </c>
      <c r="C815" s="18" t="str">
        <f>INDEX(Product!$B:$B,MATCH($B815,Product!$A:$A,0))</f>
        <v>[Mera Senko] Ống mở khí quản 2 nòng có bóng, có cửa sổ kèm ống hút trên bóng - Sofit D-CFS</v>
      </c>
      <c r="D815" t="s">
        <v>2656</v>
      </c>
      <c r="E815" s="18" t="str">
        <f>INDEX('Attribute Definition'!$B:$B,MATCH($D815,'Attribute Definition'!$A:$A,0))</f>
        <v>Kích cỡ</v>
      </c>
      <c r="F815" s="34" t="s">
        <v>1169</v>
      </c>
    </row>
    <row r="816" spans="1:6" x14ac:dyDescent="0.25">
      <c r="A816" t="s">
        <v>1904</v>
      </c>
      <c r="B816" s="18" t="str">
        <f>INDEX('Product Variant'!$B:$B,MATCH($A816,'Product Variant'!$A:$A,0))</f>
        <v>PRODUCT-00144</v>
      </c>
      <c r="C816" s="18" t="str">
        <f>INDEX(Product!$B:$B,MATCH($B816,Product!$A:$A,0))</f>
        <v>[Mera Senko] Ống mở khí quản 2 nòng không bóng - Sofit D-NC</v>
      </c>
      <c r="D816" t="s">
        <v>2411</v>
      </c>
      <c r="E816" s="18" t="str">
        <f>INDEX('Attribute Definition'!$B:$B,MATCH($D816,'Attribute Definition'!$A:$A,0))</f>
        <v>Số nòng / nhánh</v>
      </c>
      <c r="F816" s="34" t="s">
        <v>2571</v>
      </c>
    </row>
    <row r="817" spans="1:6" x14ac:dyDescent="0.25">
      <c r="A817" t="s">
        <v>1904</v>
      </c>
      <c r="B817" s="18" t="str">
        <f>INDEX('Product Variant'!$B:$B,MATCH($A817,'Product Variant'!$A:$A,0))</f>
        <v>PRODUCT-00144</v>
      </c>
      <c r="C817" s="18" t="str">
        <f>INDEX(Product!$B:$B,MATCH($B817,Product!$A:$A,0))</f>
        <v>[Mera Senko] Ống mở khí quản 2 nòng không bóng - Sofit D-NC</v>
      </c>
      <c r="D817" t="s">
        <v>2416</v>
      </c>
      <c r="E817" s="18" t="str">
        <f>INDEX('Attribute Definition'!$B:$B,MATCH($D817,'Attribute Definition'!$A:$A,0))</f>
        <v>Bóng chèn</v>
      </c>
      <c r="F817" s="34" t="s">
        <v>2577</v>
      </c>
    </row>
    <row r="818" spans="1:6" x14ac:dyDescent="0.25">
      <c r="A818" t="s">
        <v>1904</v>
      </c>
      <c r="B818" s="18" t="str">
        <f>INDEX('Product Variant'!$B:$B,MATCH($A818,'Product Variant'!$A:$A,0))</f>
        <v>PRODUCT-00144</v>
      </c>
      <c r="C818" s="18" t="str">
        <f>INDEX(Product!$B:$B,MATCH($B818,Product!$A:$A,0))</f>
        <v>[Mera Senko] Ống mở khí quản 2 nòng không bóng - Sofit D-NC</v>
      </c>
      <c r="D818" t="s">
        <v>2471</v>
      </c>
      <c r="E818" s="18" t="str">
        <f>INDEX('Attribute Definition'!$B:$B,MATCH($D818,'Attribute Definition'!$A:$A,0))</f>
        <v>Dạng sản phẩm</v>
      </c>
      <c r="F818" s="34" t="s">
        <v>2574</v>
      </c>
    </row>
    <row r="819" spans="1:6" x14ac:dyDescent="0.25">
      <c r="A819" t="s">
        <v>1904</v>
      </c>
      <c r="B819" s="18" t="str">
        <f>INDEX('Product Variant'!$B:$B,MATCH($A819,'Product Variant'!$A:$A,0))</f>
        <v>PRODUCT-00144</v>
      </c>
      <c r="C819" s="18" t="str">
        <f>INDEX(Product!$B:$B,MATCH($B819,Product!$A:$A,0))</f>
        <v>[Mera Senko] Ống mở khí quản 2 nòng không bóng - Sofit D-NC</v>
      </c>
      <c r="D819" t="s">
        <v>2656</v>
      </c>
      <c r="E819" s="18" t="str">
        <f>INDEX('Attribute Definition'!$B:$B,MATCH($D819,'Attribute Definition'!$A:$A,0))</f>
        <v>Kích cỡ</v>
      </c>
      <c r="F819" s="34" t="s">
        <v>1178</v>
      </c>
    </row>
    <row r="820" spans="1:6" x14ac:dyDescent="0.25">
      <c r="A820" t="s">
        <v>1905</v>
      </c>
      <c r="B820" s="18" t="str">
        <f>INDEX('Product Variant'!$B:$B,MATCH($A820,'Product Variant'!$A:$A,0))</f>
        <v>PRODUCT-00144</v>
      </c>
      <c r="C820" s="18" t="str">
        <f>INDEX(Product!$B:$B,MATCH($B820,Product!$A:$A,0))</f>
        <v>[Mera Senko] Ống mở khí quản 2 nòng không bóng - Sofit D-NC</v>
      </c>
      <c r="D820" t="s">
        <v>2411</v>
      </c>
      <c r="E820" s="18" t="str">
        <f>INDEX('Attribute Definition'!$B:$B,MATCH($D820,'Attribute Definition'!$A:$A,0))</f>
        <v>Số nòng / nhánh</v>
      </c>
      <c r="F820" s="34" t="s">
        <v>2571</v>
      </c>
    </row>
    <row r="821" spans="1:6" x14ac:dyDescent="0.25">
      <c r="A821" t="s">
        <v>1905</v>
      </c>
      <c r="B821" s="18" t="str">
        <f>INDEX('Product Variant'!$B:$B,MATCH($A821,'Product Variant'!$A:$A,0))</f>
        <v>PRODUCT-00144</v>
      </c>
      <c r="C821" s="18" t="str">
        <f>INDEX(Product!$B:$B,MATCH($B821,Product!$A:$A,0))</f>
        <v>[Mera Senko] Ống mở khí quản 2 nòng không bóng - Sofit D-NC</v>
      </c>
      <c r="D821" t="s">
        <v>2416</v>
      </c>
      <c r="E821" s="18" t="str">
        <f>INDEX('Attribute Definition'!$B:$B,MATCH($D821,'Attribute Definition'!$A:$A,0))</f>
        <v>Bóng chèn</v>
      </c>
      <c r="F821" s="34" t="s">
        <v>2577</v>
      </c>
    </row>
    <row r="822" spans="1:6" x14ac:dyDescent="0.25">
      <c r="A822" t="s">
        <v>1905</v>
      </c>
      <c r="B822" s="18" t="str">
        <f>INDEX('Product Variant'!$B:$B,MATCH($A822,'Product Variant'!$A:$A,0))</f>
        <v>PRODUCT-00144</v>
      </c>
      <c r="C822" s="18" t="str">
        <f>INDEX(Product!$B:$B,MATCH($B822,Product!$A:$A,0))</f>
        <v>[Mera Senko] Ống mở khí quản 2 nòng không bóng - Sofit D-NC</v>
      </c>
      <c r="D822" t="s">
        <v>2471</v>
      </c>
      <c r="E822" s="18" t="str">
        <f>INDEX('Attribute Definition'!$B:$B,MATCH($D822,'Attribute Definition'!$A:$A,0))</f>
        <v>Dạng sản phẩm</v>
      </c>
      <c r="F822" s="34" t="s">
        <v>2574</v>
      </c>
    </row>
    <row r="823" spans="1:6" x14ac:dyDescent="0.25">
      <c r="A823" t="s">
        <v>1905</v>
      </c>
      <c r="B823" s="18" t="str">
        <f>INDEX('Product Variant'!$B:$B,MATCH($A823,'Product Variant'!$A:$A,0))</f>
        <v>PRODUCT-00144</v>
      </c>
      <c r="C823" s="18" t="str">
        <f>INDEX(Product!$B:$B,MATCH($B823,Product!$A:$A,0))</f>
        <v>[Mera Senko] Ống mở khí quản 2 nòng không bóng - Sofit D-NC</v>
      </c>
      <c r="D823" t="s">
        <v>2656</v>
      </c>
      <c r="E823" s="18" t="str">
        <f>INDEX('Attribute Definition'!$B:$B,MATCH($D823,'Attribute Definition'!$A:$A,0))</f>
        <v>Kích cỡ</v>
      </c>
      <c r="F823" s="34" t="s">
        <v>1168</v>
      </c>
    </row>
    <row r="824" spans="1:6" x14ac:dyDescent="0.25">
      <c r="A824" t="s">
        <v>1906</v>
      </c>
      <c r="B824" s="18" t="str">
        <f>INDEX('Product Variant'!$B:$B,MATCH($A824,'Product Variant'!$A:$A,0))</f>
        <v>PRODUCT-00144</v>
      </c>
      <c r="C824" s="18" t="str">
        <f>INDEX(Product!$B:$B,MATCH($B824,Product!$A:$A,0))</f>
        <v>[Mera Senko] Ống mở khí quản 2 nòng không bóng - Sofit D-NC</v>
      </c>
      <c r="D824" t="s">
        <v>2411</v>
      </c>
      <c r="E824" s="18" t="str">
        <f>INDEX('Attribute Definition'!$B:$B,MATCH($D824,'Attribute Definition'!$A:$A,0))</f>
        <v>Số nòng / nhánh</v>
      </c>
      <c r="F824" s="34" t="s">
        <v>2571</v>
      </c>
    </row>
    <row r="825" spans="1:6" x14ac:dyDescent="0.25">
      <c r="A825" t="s">
        <v>1906</v>
      </c>
      <c r="B825" s="18" t="str">
        <f>INDEX('Product Variant'!$B:$B,MATCH($A825,'Product Variant'!$A:$A,0))</f>
        <v>PRODUCT-00144</v>
      </c>
      <c r="C825" s="18" t="str">
        <f>INDEX(Product!$B:$B,MATCH($B825,Product!$A:$A,0))</f>
        <v>[Mera Senko] Ống mở khí quản 2 nòng không bóng - Sofit D-NC</v>
      </c>
      <c r="D825" t="s">
        <v>2416</v>
      </c>
      <c r="E825" s="18" t="str">
        <f>INDEX('Attribute Definition'!$B:$B,MATCH($D825,'Attribute Definition'!$A:$A,0))</f>
        <v>Bóng chèn</v>
      </c>
      <c r="F825" s="34" t="s">
        <v>2577</v>
      </c>
    </row>
    <row r="826" spans="1:6" x14ac:dyDescent="0.25">
      <c r="A826" t="s">
        <v>1906</v>
      </c>
      <c r="B826" s="18" t="str">
        <f>INDEX('Product Variant'!$B:$B,MATCH($A826,'Product Variant'!$A:$A,0))</f>
        <v>PRODUCT-00144</v>
      </c>
      <c r="C826" s="18" t="str">
        <f>INDEX(Product!$B:$B,MATCH($B826,Product!$A:$A,0))</f>
        <v>[Mera Senko] Ống mở khí quản 2 nòng không bóng - Sofit D-NC</v>
      </c>
      <c r="D826" t="s">
        <v>2471</v>
      </c>
      <c r="E826" s="18" t="str">
        <f>INDEX('Attribute Definition'!$B:$B,MATCH($D826,'Attribute Definition'!$A:$A,0))</f>
        <v>Dạng sản phẩm</v>
      </c>
      <c r="F826" s="34" t="s">
        <v>2574</v>
      </c>
    </row>
    <row r="827" spans="1:6" x14ac:dyDescent="0.25">
      <c r="A827" t="s">
        <v>1906</v>
      </c>
      <c r="B827" s="18" t="str">
        <f>INDEX('Product Variant'!$B:$B,MATCH($A827,'Product Variant'!$A:$A,0))</f>
        <v>PRODUCT-00144</v>
      </c>
      <c r="C827" s="18" t="str">
        <f>INDEX(Product!$B:$B,MATCH($B827,Product!$A:$A,0))</f>
        <v>[Mera Senko] Ống mở khí quản 2 nòng không bóng - Sofit D-NC</v>
      </c>
      <c r="D827" t="s">
        <v>2656</v>
      </c>
      <c r="E827" s="18" t="str">
        <f>INDEX('Attribute Definition'!$B:$B,MATCH($D827,'Attribute Definition'!$A:$A,0))</f>
        <v>Kích cỡ</v>
      </c>
      <c r="F827" s="34" t="s">
        <v>1177</v>
      </c>
    </row>
    <row r="828" spans="1:6" x14ac:dyDescent="0.25">
      <c r="A828" t="s">
        <v>1907</v>
      </c>
      <c r="B828" s="18" t="str">
        <f>INDEX('Product Variant'!$B:$B,MATCH($A828,'Product Variant'!$A:$A,0))</f>
        <v>PRODUCT-00144</v>
      </c>
      <c r="C828" s="18" t="str">
        <f>INDEX(Product!$B:$B,MATCH($B828,Product!$A:$A,0))</f>
        <v>[Mera Senko] Ống mở khí quản 2 nòng không bóng - Sofit D-NC</v>
      </c>
      <c r="D828" t="s">
        <v>2411</v>
      </c>
      <c r="E828" s="18" t="str">
        <f>INDEX('Attribute Definition'!$B:$B,MATCH($D828,'Attribute Definition'!$A:$A,0))</f>
        <v>Số nòng / nhánh</v>
      </c>
      <c r="F828" s="34" t="s">
        <v>2571</v>
      </c>
    </row>
    <row r="829" spans="1:6" x14ac:dyDescent="0.25">
      <c r="A829" t="s">
        <v>1907</v>
      </c>
      <c r="B829" s="18" t="str">
        <f>INDEX('Product Variant'!$B:$B,MATCH($A829,'Product Variant'!$A:$A,0))</f>
        <v>PRODUCT-00144</v>
      </c>
      <c r="C829" s="18" t="str">
        <f>INDEX(Product!$B:$B,MATCH($B829,Product!$A:$A,0))</f>
        <v>[Mera Senko] Ống mở khí quản 2 nòng không bóng - Sofit D-NC</v>
      </c>
      <c r="D829" t="s">
        <v>2416</v>
      </c>
      <c r="E829" s="18" t="str">
        <f>INDEX('Attribute Definition'!$B:$B,MATCH($D829,'Attribute Definition'!$A:$A,0))</f>
        <v>Bóng chèn</v>
      </c>
      <c r="F829" s="34" t="s">
        <v>2577</v>
      </c>
    </row>
    <row r="830" spans="1:6" x14ac:dyDescent="0.25">
      <c r="A830" t="s">
        <v>1907</v>
      </c>
      <c r="B830" s="18" t="str">
        <f>INDEX('Product Variant'!$B:$B,MATCH($A830,'Product Variant'!$A:$A,0))</f>
        <v>PRODUCT-00144</v>
      </c>
      <c r="C830" s="18" t="str">
        <f>INDEX(Product!$B:$B,MATCH($B830,Product!$A:$A,0))</f>
        <v>[Mera Senko] Ống mở khí quản 2 nòng không bóng - Sofit D-NC</v>
      </c>
      <c r="D830" t="s">
        <v>2471</v>
      </c>
      <c r="E830" s="18" t="str">
        <f>INDEX('Attribute Definition'!$B:$B,MATCH($D830,'Attribute Definition'!$A:$A,0))</f>
        <v>Dạng sản phẩm</v>
      </c>
      <c r="F830" s="34" t="s">
        <v>2574</v>
      </c>
    </row>
    <row r="831" spans="1:6" x14ac:dyDescent="0.25">
      <c r="A831" t="s">
        <v>1907</v>
      </c>
      <c r="B831" s="18" t="str">
        <f>INDEX('Product Variant'!$B:$B,MATCH($A831,'Product Variant'!$A:$A,0))</f>
        <v>PRODUCT-00144</v>
      </c>
      <c r="C831" s="18" t="str">
        <f>INDEX(Product!$B:$B,MATCH($B831,Product!$A:$A,0))</f>
        <v>[Mera Senko] Ống mở khí quản 2 nòng không bóng - Sofit D-NC</v>
      </c>
      <c r="D831" t="s">
        <v>2656</v>
      </c>
      <c r="E831" s="18" t="str">
        <f>INDEX('Attribute Definition'!$B:$B,MATCH($D831,'Attribute Definition'!$A:$A,0))</f>
        <v>Kích cỡ</v>
      </c>
      <c r="F831" s="34" t="s">
        <v>1169</v>
      </c>
    </row>
    <row r="832" spans="1:6" x14ac:dyDescent="0.25">
      <c r="A832" t="s">
        <v>1908</v>
      </c>
      <c r="B832" s="18" t="str">
        <f>INDEX('Product Variant'!$B:$B,MATCH($A832,'Product Variant'!$A:$A,0))</f>
        <v>PRODUCT-00145</v>
      </c>
      <c r="C832" s="18" t="str">
        <f>INDEX(Product!$B:$B,MATCH($B832,Product!$A:$A,0))</f>
        <v>[Mera Senko] Ống mở khí quản 2 nòng không bóng, có cửa sổ - Sofit D-F</v>
      </c>
      <c r="D832" t="s">
        <v>2411</v>
      </c>
      <c r="E832" s="18" t="str">
        <f>INDEX('Attribute Definition'!$B:$B,MATCH($D832,'Attribute Definition'!$A:$A,0))</f>
        <v>Số nòng / nhánh</v>
      </c>
      <c r="F832" s="34" t="s">
        <v>2571</v>
      </c>
    </row>
    <row r="833" spans="1:6" x14ac:dyDescent="0.25">
      <c r="A833" t="s">
        <v>1908</v>
      </c>
      <c r="B833" s="18" t="str">
        <f>INDEX('Product Variant'!$B:$B,MATCH($A833,'Product Variant'!$A:$A,0))</f>
        <v>PRODUCT-00145</v>
      </c>
      <c r="C833" s="18" t="str">
        <f>INDEX(Product!$B:$B,MATCH($B833,Product!$A:$A,0))</f>
        <v>[Mera Senko] Ống mở khí quản 2 nòng không bóng, có cửa sổ - Sofit D-F</v>
      </c>
      <c r="D833" t="s">
        <v>2416</v>
      </c>
      <c r="E833" s="18" t="str">
        <f>INDEX('Attribute Definition'!$B:$B,MATCH($D833,'Attribute Definition'!$A:$A,0))</f>
        <v>Bóng chèn</v>
      </c>
      <c r="F833" s="34" t="s">
        <v>2577</v>
      </c>
    </row>
    <row r="834" spans="1:6" x14ac:dyDescent="0.25">
      <c r="A834" t="s">
        <v>1908</v>
      </c>
      <c r="B834" s="18" t="str">
        <f>INDEX('Product Variant'!$B:$B,MATCH($A834,'Product Variant'!$A:$A,0))</f>
        <v>PRODUCT-00145</v>
      </c>
      <c r="C834" s="18" t="str">
        <f>INDEX(Product!$B:$B,MATCH($B834,Product!$A:$A,0))</f>
        <v>[Mera Senko] Ống mở khí quản 2 nòng không bóng, có cửa sổ - Sofit D-F</v>
      </c>
      <c r="D834" t="s">
        <v>2421</v>
      </c>
      <c r="E834" s="18" t="str">
        <f>INDEX('Attribute Definition'!$B:$B,MATCH($D834,'Attribute Definition'!$A:$A,0))</f>
        <v>Cửa sổ</v>
      </c>
      <c r="F834" s="34" t="s">
        <v>2576</v>
      </c>
    </row>
    <row r="835" spans="1:6" x14ac:dyDescent="0.25">
      <c r="A835" t="s">
        <v>1908</v>
      </c>
      <c r="B835" s="18" t="str">
        <f>INDEX('Product Variant'!$B:$B,MATCH($A835,'Product Variant'!$A:$A,0))</f>
        <v>PRODUCT-00145</v>
      </c>
      <c r="C835" s="18" t="str">
        <f>INDEX(Product!$B:$B,MATCH($B835,Product!$A:$A,0))</f>
        <v>[Mera Senko] Ống mở khí quản 2 nòng không bóng, có cửa sổ - Sofit D-F</v>
      </c>
      <c r="D835" t="s">
        <v>2471</v>
      </c>
      <c r="E835" s="18" t="str">
        <f>INDEX('Attribute Definition'!$B:$B,MATCH($D835,'Attribute Definition'!$A:$A,0))</f>
        <v>Dạng sản phẩm</v>
      </c>
      <c r="F835" s="34" t="s">
        <v>2574</v>
      </c>
    </row>
    <row r="836" spans="1:6" x14ac:dyDescent="0.25">
      <c r="A836" t="s">
        <v>1908</v>
      </c>
      <c r="B836" s="18" t="str">
        <f>INDEX('Product Variant'!$B:$B,MATCH($A836,'Product Variant'!$A:$A,0))</f>
        <v>PRODUCT-00145</v>
      </c>
      <c r="C836" s="18" t="str">
        <f>INDEX(Product!$B:$B,MATCH($B836,Product!$A:$A,0))</f>
        <v>[Mera Senko] Ống mở khí quản 2 nòng không bóng, có cửa sổ - Sofit D-F</v>
      </c>
      <c r="D836" t="s">
        <v>2656</v>
      </c>
      <c r="E836" s="18" t="str">
        <f>INDEX('Attribute Definition'!$B:$B,MATCH($D836,'Attribute Definition'!$A:$A,0))</f>
        <v>Kích cỡ</v>
      </c>
      <c r="F836" s="34" t="s">
        <v>1178</v>
      </c>
    </row>
    <row r="837" spans="1:6" x14ac:dyDescent="0.25">
      <c r="A837" t="s">
        <v>1909</v>
      </c>
      <c r="B837" s="18" t="str">
        <f>INDEX('Product Variant'!$B:$B,MATCH($A837,'Product Variant'!$A:$A,0))</f>
        <v>PRODUCT-00145</v>
      </c>
      <c r="C837" s="18" t="str">
        <f>INDEX(Product!$B:$B,MATCH($B837,Product!$A:$A,0))</f>
        <v>[Mera Senko] Ống mở khí quản 2 nòng không bóng, có cửa sổ - Sofit D-F</v>
      </c>
      <c r="D837" t="s">
        <v>2411</v>
      </c>
      <c r="E837" s="18" t="str">
        <f>INDEX('Attribute Definition'!$B:$B,MATCH($D837,'Attribute Definition'!$A:$A,0))</f>
        <v>Số nòng / nhánh</v>
      </c>
      <c r="F837" s="34" t="s">
        <v>2571</v>
      </c>
    </row>
    <row r="838" spans="1:6" x14ac:dyDescent="0.25">
      <c r="A838" t="s">
        <v>1909</v>
      </c>
      <c r="B838" s="18" t="str">
        <f>INDEX('Product Variant'!$B:$B,MATCH($A838,'Product Variant'!$A:$A,0))</f>
        <v>PRODUCT-00145</v>
      </c>
      <c r="C838" s="18" t="str">
        <f>INDEX(Product!$B:$B,MATCH($B838,Product!$A:$A,0))</f>
        <v>[Mera Senko] Ống mở khí quản 2 nòng không bóng, có cửa sổ - Sofit D-F</v>
      </c>
      <c r="D838" t="s">
        <v>2416</v>
      </c>
      <c r="E838" s="18" t="str">
        <f>INDEX('Attribute Definition'!$B:$B,MATCH($D838,'Attribute Definition'!$A:$A,0))</f>
        <v>Bóng chèn</v>
      </c>
      <c r="F838" s="34" t="s">
        <v>2577</v>
      </c>
    </row>
    <row r="839" spans="1:6" x14ac:dyDescent="0.25">
      <c r="A839" t="s">
        <v>1909</v>
      </c>
      <c r="B839" s="18" t="str">
        <f>INDEX('Product Variant'!$B:$B,MATCH($A839,'Product Variant'!$A:$A,0))</f>
        <v>PRODUCT-00145</v>
      </c>
      <c r="C839" s="18" t="str">
        <f>INDEX(Product!$B:$B,MATCH($B839,Product!$A:$A,0))</f>
        <v>[Mera Senko] Ống mở khí quản 2 nòng không bóng, có cửa sổ - Sofit D-F</v>
      </c>
      <c r="D839" t="s">
        <v>2421</v>
      </c>
      <c r="E839" s="18" t="str">
        <f>INDEX('Attribute Definition'!$B:$B,MATCH($D839,'Attribute Definition'!$A:$A,0))</f>
        <v>Cửa sổ</v>
      </c>
      <c r="F839" s="34" t="s">
        <v>2576</v>
      </c>
    </row>
    <row r="840" spans="1:6" x14ac:dyDescent="0.25">
      <c r="A840" t="s">
        <v>1909</v>
      </c>
      <c r="B840" s="18" t="str">
        <f>INDEX('Product Variant'!$B:$B,MATCH($A840,'Product Variant'!$A:$A,0))</f>
        <v>PRODUCT-00145</v>
      </c>
      <c r="C840" s="18" t="str">
        <f>INDEX(Product!$B:$B,MATCH($B840,Product!$A:$A,0))</f>
        <v>[Mera Senko] Ống mở khí quản 2 nòng không bóng, có cửa sổ - Sofit D-F</v>
      </c>
      <c r="D840" t="s">
        <v>2471</v>
      </c>
      <c r="E840" s="18" t="str">
        <f>INDEX('Attribute Definition'!$B:$B,MATCH($D840,'Attribute Definition'!$A:$A,0))</f>
        <v>Dạng sản phẩm</v>
      </c>
      <c r="F840" s="34" t="s">
        <v>2574</v>
      </c>
    </row>
    <row r="841" spans="1:6" x14ac:dyDescent="0.25">
      <c r="A841" t="s">
        <v>1909</v>
      </c>
      <c r="B841" s="18" t="str">
        <f>INDEX('Product Variant'!$B:$B,MATCH($A841,'Product Variant'!$A:$A,0))</f>
        <v>PRODUCT-00145</v>
      </c>
      <c r="C841" s="18" t="str">
        <f>INDEX(Product!$B:$B,MATCH($B841,Product!$A:$A,0))</f>
        <v>[Mera Senko] Ống mở khí quản 2 nòng không bóng, có cửa sổ - Sofit D-F</v>
      </c>
      <c r="D841" t="s">
        <v>2656</v>
      </c>
      <c r="E841" s="18" t="str">
        <f>INDEX('Attribute Definition'!$B:$B,MATCH($D841,'Attribute Definition'!$A:$A,0))</f>
        <v>Kích cỡ</v>
      </c>
      <c r="F841" s="34" t="s">
        <v>1168</v>
      </c>
    </row>
    <row r="842" spans="1:6" x14ac:dyDescent="0.25">
      <c r="A842" t="s">
        <v>1910</v>
      </c>
      <c r="B842" s="18" t="str">
        <f>INDEX('Product Variant'!$B:$B,MATCH($A842,'Product Variant'!$A:$A,0))</f>
        <v>PRODUCT-00145</v>
      </c>
      <c r="C842" s="18" t="str">
        <f>INDEX(Product!$B:$B,MATCH($B842,Product!$A:$A,0))</f>
        <v>[Mera Senko] Ống mở khí quản 2 nòng không bóng, có cửa sổ - Sofit D-F</v>
      </c>
      <c r="D842" t="s">
        <v>2411</v>
      </c>
      <c r="E842" s="18" t="str">
        <f>INDEX('Attribute Definition'!$B:$B,MATCH($D842,'Attribute Definition'!$A:$A,0))</f>
        <v>Số nòng / nhánh</v>
      </c>
      <c r="F842" s="34" t="s">
        <v>2571</v>
      </c>
    </row>
    <row r="843" spans="1:6" x14ac:dyDescent="0.25">
      <c r="A843" t="s">
        <v>1910</v>
      </c>
      <c r="B843" s="18" t="str">
        <f>INDEX('Product Variant'!$B:$B,MATCH($A843,'Product Variant'!$A:$A,0))</f>
        <v>PRODUCT-00145</v>
      </c>
      <c r="C843" s="18" t="str">
        <f>INDEX(Product!$B:$B,MATCH($B843,Product!$A:$A,0))</f>
        <v>[Mera Senko] Ống mở khí quản 2 nòng không bóng, có cửa sổ - Sofit D-F</v>
      </c>
      <c r="D843" t="s">
        <v>2416</v>
      </c>
      <c r="E843" s="18" t="str">
        <f>INDEX('Attribute Definition'!$B:$B,MATCH($D843,'Attribute Definition'!$A:$A,0))</f>
        <v>Bóng chèn</v>
      </c>
      <c r="F843" s="34" t="s">
        <v>2577</v>
      </c>
    </row>
    <row r="844" spans="1:6" x14ac:dyDescent="0.25">
      <c r="A844" t="s">
        <v>1910</v>
      </c>
      <c r="B844" s="18" t="str">
        <f>INDEX('Product Variant'!$B:$B,MATCH($A844,'Product Variant'!$A:$A,0))</f>
        <v>PRODUCT-00145</v>
      </c>
      <c r="C844" s="18" t="str">
        <f>INDEX(Product!$B:$B,MATCH($B844,Product!$A:$A,0))</f>
        <v>[Mera Senko] Ống mở khí quản 2 nòng không bóng, có cửa sổ - Sofit D-F</v>
      </c>
      <c r="D844" t="s">
        <v>2421</v>
      </c>
      <c r="E844" s="18" t="str">
        <f>INDEX('Attribute Definition'!$B:$B,MATCH($D844,'Attribute Definition'!$A:$A,0))</f>
        <v>Cửa sổ</v>
      </c>
      <c r="F844" s="34" t="s">
        <v>2576</v>
      </c>
    </row>
    <row r="845" spans="1:6" x14ac:dyDescent="0.25">
      <c r="A845" t="s">
        <v>1910</v>
      </c>
      <c r="B845" s="18" t="str">
        <f>INDEX('Product Variant'!$B:$B,MATCH($A845,'Product Variant'!$A:$A,0))</f>
        <v>PRODUCT-00145</v>
      </c>
      <c r="C845" s="18" t="str">
        <f>INDEX(Product!$B:$B,MATCH($B845,Product!$A:$A,0))</f>
        <v>[Mera Senko] Ống mở khí quản 2 nòng không bóng, có cửa sổ - Sofit D-F</v>
      </c>
      <c r="D845" t="s">
        <v>2471</v>
      </c>
      <c r="E845" s="18" t="str">
        <f>INDEX('Attribute Definition'!$B:$B,MATCH($D845,'Attribute Definition'!$A:$A,0))</f>
        <v>Dạng sản phẩm</v>
      </c>
      <c r="F845" s="34" t="s">
        <v>2574</v>
      </c>
    </row>
    <row r="846" spans="1:6" x14ac:dyDescent="0.25">
      <c r="A846" t="s">
        <v>1910</v>
      </c>
      <c r="B846" s="18" t="str">
        <f>INDEX('Product Variant'!$B:$B,MATCH($A846,'Product Variant'!$A:$A,0))</f>
        <v>PRODUCT-00145</v>
      </c>
      <c r="C846" s="18" t="str">
        <f>INDEX(Product!$B:$B,MATCH($B846,Product!$A:$A,0))</f>
        <v>[Mera Senko] Ống mở khí quản 2 nòng không bóng, có cửa sổ - Sofit D-F</v>
      </c>
      <c r="D846" t="s">
        <v>2656</v>
      </c>
      <c r="E846" s="18" t="str">
        <f>INDEX('Attribute Definition'!$B:$B,MATCH($D846,'Attribute Definition'!$A:$A,0))</f>
        <v>Kích cỡ</v>
      </c>
      <c r="F846" s="34" t="s">
        <v>1177</v>
      </c>
    </row>
    <row r="847" spans="1:6" x14ac:dyDescent="0.25">
      <c r="A847" t="s">
        <v>1911</v>
      </c>
      <c r="B847" s="18" t="str">
        <f>INDEX('Product Variant'!$B:$B,MATCH($A847,'Product Variant'!$A:$A,0))</f>
        <v>PRODUCT-00145</v>
      </c>
      <c r="C847" s="18" t="str">
        <f>INDEX(Product!$B:$B,MATCH($B847,Product!$A:$A,0))</f>
        <v>[Mera Senko] Ống mở khí quản 2 nòng không bóng, có cửa sổ - Sofit D-F</v>
      </c>
      <c r="D847" t="s">
        <v>2411</v>
      </c>
      <c r="E847" s="18" t="str">
        <f>INDEX('Attribute Definition'!$B:$B,MATCH($D847,'Attribute Definition'!$A:$A,0))</f>
        <v>Số nòng / nhánh</v>
      </c>
      <c r="F847" s="34" t="s">
        <v>2571</v>
      </c>
    </row>
    <row r="848" spans="1:6" x14ac:dyDescent="0.25">
      <c r="A848" t="s">
        <v>1911</v>
      </c>
      <c r="B848" s="18" t="str">
        <f>INDEX('Product Variant'!$B:$B,MATCH($A848,'Product Variant'!$A:$A,0))</f>
        <v>PRODUCT-00145</v>
      </c>
      <c r="C848" s="18" t="str">
        <f>INDEX(Product!$B:$B,MATCH($B848,Product!$A:$A,0))</f>
        <v>[Mera Senko] Ống mở khí quản 2 nòng không bóng, có cửa sổ - Sofit D-F</v>
      </c>
      <c r="D848" t="s">
        <v>2416</v>
      </c>
      <c r="E848" s="18" t="str">
        <f>INDEX('Attribute Definition'!$B:$B,MATCH($D848,'Attribute Definition'!$A:$A,0))</f>
        <v>Bóng chèn</v>
      </c>
      <c r="F848" s="34" t="s">
        <v>2577</v>
      </c>
    </row>
    <row r="849" spans="1:6" x14ac:dyDescent="0.25">
      <c r="A849" t="s">
        <v>1911</v>
      </c>
      <c r="B849" s="18" t="str">
        <f>INDEX('Product Variant'!$B:$B,MATCH($A849,'Product Variant'!$A:$A,0))</f>
        <v>PRODUCT-00145</v>
      </c>
      <c r="C849" s="18" t="str">
        <f>INDEX(Product!$B:$B,MATCH($B849,Product!$A:$A,0))</f>
        <v>[Mera Senko] Ống mở khí quản 2 nòng không bóng, có cửa sổ - Sofit D-F</v>
      </c>
      <c r="D849" t="s">
        <v>2421</v>
      </c>
      <c r="E849" s="18" t="str">
        <f>INDEX('Attribute Definition'!$B:$B,MATCH($D849,'Attribute Definition'!$A:$A,0))</f>
        <v>Cửa sổ</v>
      </c>
      <c r="F849" s="34" t="s">
        <v>2576</v>
      </c>
    </row>
    <row r="850" spans="1:6" x14ac:dyDescent="0.25">
      <c r="A850" t="s">
        <v>1911</v>
      </c>
      <c r="B850" s="18" t="str">
        <f>INDEX('Product Variant'!$B:$B,MATCH($A850,'Product Variant'!$A:$A,0))</f>
        <v>PRODUCT-00145</v>
      </c>
      <c r="C850" s="18" t="str">
        <f>INDEX(Product!$B:$B,MATCH($B850,Product!$A:$A,0))</f>
        <v>[Mera Senko] Ống mở khí quản 2 nòng không bóng, có cửa sổ - Sofit D-F</v>
      </c>
      <c r="D850" t="s">
        <v>2471</v>
      </c>
      <c r="E850" s="18" t="str">
        <f>INDEX('Attribute Definition'!$B:$B,MATCH($D850,'Attribute Definition'!$A:$A,0))</f>
        <v>Dạng sản phẩm</v>
      </c>
      <c r="F850" s="34" t="s">
        <v>2574</v>
      </c>
    </row>
    <row r="851" spans="1:6" x14ac:dyDescent="0.25">
      <c r="A851" t="s">
        <v>1911</v>
      </c>
      <c r="B851" s="18" t="str">
        <f>INDEX('Product Variant'!$B:$B,MATCH($A851,'Product Variant'!$A:$A,0))</f>
        <v>PRODUCT-00145</v>
      </c>
      <c r="C851" s="18" t="str">
        <f>INDEX(Product!$B:$B,MATCH($B851,Product!$A:$A,0))</f>
        <v>[Mera Senko] Ống mở khí quản 2 nòng không bóng, có cửa sổ - Sofit D-F</v>
      </c>
      <c r="D851" t="s">
        <v>2656</v>
      </c>
      <c r="E851" s="18" t="str">
        <f>INDEX('Attribute Definition'!$B:$B,MATCH($D851,'Attribute Definition'!$A:$A,0))</f>
        <v>Kích cỡ</v>
      </c>
      <c r="F851" s="34" t="s">
        <v>1169</v>
      </c>
    </row>
    <row r="852" spans="1:6" x14ac:dyDescent="0.25">
      <c r="A852" t="s">
        <v>1912</v>
      </c>
      <c r="B852" s="18" t="str">
        <f>INDEX('Product Variant'!$B:$B,MATCH($A852,'Product Variant'!$A:$A,0))</f>
        <v>PRODUCT-00146</v>
      </c>
      <c r="C852" s="18" t="str">
        <f>INDEX(Product!$B:$B,MATCH($B852,Product!$A:$A,0))</f>
        <v>[Mera Senko] Van tập nói - Sofit</v>
      </c>
      <c r="D852" t="s">
        <v>2471</v>
      </c>
      <c r="E852" s="18" t="str">
        <f>INDEX('Attribute Definition'!$B:$B,MATCH($D852,'Attribute Definition'!$A:$A,0))</f>
        <v>Dạng sản phẩm</v>
      </c>
      <c r="F852" s="34" t="s">
        <v>2561</v>
      </c>
    </row>
    <row r="853" spans="1:6" x14ac:dyDescent="0.25">
      <c r="A853" t="s">
        <v>1913</v>
      </c>
      <c r="B853" s="18" t="str">
        <f>INDEX('Product Variant'!$B:$B,MATCH($A853,'Product Variant'!$A:$A,0))</f>
        <v>PRODUCT-00147</v>
      </c>
      <c r="C853" s="18" t="str">
        <f>INDEX(Product!$B:$B,MATCH($B853,Product!$A:$A,0))</f>
        <v>[Omron] Máy xông khí dung - NE-C101</v>
      </c>
      <c r="D853" t="s">
        <v>2471</v>
      </c>
      <c r="E853" s="18" t="str">
        <f>INDEX('Attribute Definition'!$B:$B,MATCH($D853,'Attribute Definition'!$A:$A,0))</f>
        <v>Dạng sản phẩm</v>
      </c>
      <c r="F853" s="34" t="s">
        <v>2481</v>
      </c>
    </row>
    <row r="854" spans="1:6" x14ac:dyDescent="0.25">
      <c r="A854" t="s">
        <v>1914</v>
      </c>
      <c r="B854" s="18" t="str">
        <f>INDEX('Product Variant'!$B:$B,MATCH($A854,'Product Variant'!$A:$A,0))</f>
        <v>PRODUCT-00148</v>
      </c>
      <c r="C854" s="18" t="str">
        <f>INDEX(Product!$B:$B,MATCH($B854,Product!$A:$A,0))</f>
        <v>[Omron] Máy xông khí dung - NE-C106</v>
      </c>
      <c r="D854" t="s">
        <v>2471</v>
      </c>
      <c r="E854" s="18" t="str">
        <f>INDEX('Attribute Definition'!$B:$B,MATCH($D854,'Attribute Definition'!$A:$A,0))</f>
        <v>Dạng sản phẩm</v>
      </c>
      <c r="F854" s="34" t="s">
        <v>2481</v>
      </c>
    </row>
    <row r="855" spans="1:6" x14ac:dyDescent="0.25">
      <c r="A855" t="s">
        <v>1915</v>
      </c>
      <c r="B855" s="18" t="str">
        <f>INDEX('Product Variant'!$B:$B,MATCH($A855,'Product Variant'!$A:$A,0))</f>
        <v>PRODUCT-00149</v>
      </c>
      <c r="C855" s="18" t="str">
        <f>INDEX(Product!$B:$B,MATCH($B855,Product!$A:$A,0))</f>
        <v>[Omron] Máy xông khí dung - NE-C28</v>
      </c>
      <c r="D855" t="s">
        <v>2471</v>
      </c>
      <c r="E855" s="18" t="str">
        <f>INDEX('Attribute Definition'!$B:$B,MATCH($D855,'Attribute Definition'!$A:$A,0))</f>
        <v>Dạng sản phẩm</v>
      </c>
      <c r="F855" s="34" t="s">
        <v>2481</v>
      </c>
    </row>
    <row r="856" spans="1:6" x14ac:dyDescent="0.25">
      <c r="A856" t="s">
        <v>1916</v>
      </c>
      <c r="B856" s="18" t="str">
        <f>INDEX('Product Variant'!$B:$B,MATCH($A856,'Product Variant'!$A:$A,0))</f>
        <v>PRODUCT-00150</v>
      </c>
      <c r="C856" s="18" t="str">
        <f>INDEX(Product!$B:$B,MATCH($B856,Product!$A:$A,0))</f>
        <v>[Owgels] Máy tạo oxy 10 lít có xông khí dung - OZ-5-01GW0-10L</v>
      </c>
      <c r="D856" t="s">
        <v>2459</v>
      </c>
      <c r="E856" s="18" t="str">
        <f>INDEX('Attribute Definition'!$B:$B,MATCH($D856,'Attribute Definition'!$A:$A,0))</f>
        <v>Lưu lượng oxy</v>
      </c>
      <c r="F856" s="34" t="s">
        <v>2583</v>
      </c>
    </row>
    <row r="857" spans="1:6" x14ac:dyDescent="0.25">
      <c r="A857" t="s">
        <v>1916</v>
      </c>
      <c r="B857" s="18" t="str">
        <f>INDEX('Product Variant'!$B:$B,MATCH($A857,'Product Variant'!$A:$A,0))</f>
        <v>PRODUCT-00150</v>
      </c>
      <c r="C857" s="18" t="str">
        <f>INDEX(Product!$B:$B,MATCH($B857,Product!$A:$A,0))</f>
        <v>[Owgels] Máy tạo oxy 10 lít có xông khí dung - OZ-5-01GW0-10L</v>
      </c>
      <c r="D857" t="s">
        <v>2471</v>
      </c>
      <c r="E857" s="18" t="str">
        <f>INDEX('Attribute Definition'!$B:$B,MATCH($D857,'Attribute Definition'!$A:$A,0))</f>
        <v>Dạng sản phẩm</v>
      </c>
      <c r="F857" s="34" t="s">
        <v>2481</v>
      </c>
    </row>
    <row r="858" spans="1:6" x14ac:dyDescent="0.25">
      <c r="A858" t="s">
        <v>1917</v>
      </c>
      <c r="B858" s="18" t="str">
        <f>INDEX('Product Variant'!$B:$B,MATCH($A858,'Product Variant'!$A:$A,0))</f>
        <v>PRODUCT-00151</v>
      </c>
      <c r="C858" s="18" t="str">
        <f>INDEX(Product!$B:$B,MATCH($B858,Product!$A:$A,0))</f>
        <v>[Owgels] Máy tạo oxy 5 lít có xông khí dung - OZ-501PW0</v>
      </c>
      <c r="D858" t="s">
        <v>2459</v>
      </c>
      <c r="E858" s="18" t="str">
        <f>INDEX('Attribute Definition'!$B:$B,MATCH($D858,'Attribute Definition'!$A:$A,0))</f>
        <v>Lưu lượng oxy</v>
      </c>
      <c r="F858" s="34" t="s">
        <v>2579</v>
      </c>
    </row>
    <row r="859" spans="1:6" x14ac:dyDescent="0.25">
      <c r="A859" t="s">
        <v>1917</v>
      </c>
      <c r="B859" s="18" t="str">
        <f>INDEX('Product Variant'!$B:$B,MATCH($A859,'Product Variant'!$A:$A,0))</f>
        <v>PRODUCT-00151</v>
      </c>
      <c r="C859" s="18" t="str">
        <f>INDEX(Product!$B:$B,MATCH($B859,Product!$A:$A,0))</f>
        <v>[Owgels] Máy tạo oxy 5 lít có xông khí dung - OZ-501PW0</v>
      </c>
      <c r="D859" t="s">
        <v>2471</v>
      </c>
      <c r="E859" s="18" t="str">
        <f>INDEX('Attribute Definition'!$B:$B,MATCH($D859,'Attribute Definition'!$A:$A,0))</f>
        <v>Dạng sản phẩm</v>
      </c>
      <c r="F859" s="34" t="s">
        <v>2481</v>
      </c>
    </row>
    <row r="860" spans="1:6" x14ac:dyDescent="0.25">
      <c r="A860" t="s">
        <v>1918</v>
      </c>
      <c r="B860" s="18" t="str">
        <f>INDEX('Product Variant'!$B:$B,MATCH($A860,'Product Variant'!$A:$A,0))</f>
        <v>PRODUCT-00152</v>
      </c>
      <c r="C860" s="18" t="str">
        <f>INDEX(Product!$B:$B,MATCH($B860,Product!$A:$A,0))</f>
        <v>[Owgels] Máy tạo oxy 5 lít có xông khí dung - OZ-501TW0</v>
      </c>
      <c r="D860" t="s">
        <v>2459</v>
      </c>
      <c r="E860" s="18" t="str">
        <f>INDEX('Attribute Definition'!$B:$B,MATCH($D860,'Attribute Definition'!$A:$A,0))</f>
        <v>Lưu lượng oxy</v>
      </c>
      <c r="F860" s="34" t="s">
        <v>2579</v>
      </c>
    </row>
    <row r="861" spans="1:6" x14ac:dyDescent="0.25">
      <c r="A861" t="s">
        <v>1918</v>
      </c>
      <c r="B861" s="18" t="str">
        <f>INDEX('Product Variant'!$B:$B,MATCH($A861,'Product Variant'!$A:$A,0))</f>
        <v>PRODUCT-00152</v>
      </c>
      <c r="C861" s="18" t="str">
        <f>INDEX(Product!$B:$B,MATCH($B861,Product!$A:$A,0))</f>
        <v>[Owgels] Máy tạo oxy 5 lít có xông khí dung - OZ-501TW0</v>
      </c>
      <c r="D861" t="s">
        <v>2471</v>
      </c>
      <c r="E861" s="18" t="str">
        <f>INDEX('Attribute Definition'!$B:$B,MATCH($D861,'Attribute Definition'!$A:$A,0))</f>
        <v>Dạng sản phẩm</v>
      </c>
      <c r="F861" s="34" t="s">
        <v>2481</v>
      </c>
    </row>
    <row r="862" spans="1:6" x14ac:dyDescent="0.25">
      <c r="A862" t="s">
        <v>1919</v>
      </c>
      <c r="B862" s="18" t="str">
        <f>INDEX('Product Variant'!$B:$B,MATCH($A862,'Product Variant'!$A:$A,0))</f>
        <v>PRODUCT-00153</v>
      </c>
      <c r="C862" s="18" t="str">
        <f>INDEX(Product!$B:$B,MATCH($B862,Product!$A:$A,0))</f>
        <v>[Owgels] Máy trợ thở 2 chiều BiPAP - OGH-520C</v>
      </c>
      <c r="D862" t="s">
        <v>2471</v>
      </c>
      <c r="E862" s="18" t="str">
        <f>INDEX('Attribute Definition'!$B:$B,MATCH($D862,'Attribute Definition'!$A:$A,0))</f>
        <v>Dạng sản phẩm</v>
      </c>
      <c r="F862" s="34" t="s">
        <v>2481</v>
      </c>
    </row>
    <row r="863" spans="1:6" x14ac:dyDescent="0.25">
      <c r="A863" t="s">
        <v>1920</v>
      </c>
      <c r="B863" s="18" t="str">
        <f>INDEX('Product Variant'!$B:$B,MATCH($A863,'Product Variant'!$A:$A,0))</f>
        <v>PRODUCT-00154</v>
      </c>
      <c r="C863" s="18" t="str">
        <f>INDEX(Product!$B:$B,MATCH($B863,Product!$A:$A,0))</f>
        <v>[Owgels] Máy trợ thở Auto CPAP - OGH-520A</v>
      </c>
      <c r="D863" t="s">
        <v>2471</v>
      </c>
      <c r="E863" s="18" t="str">
        <f>INDEX('Attribute Definition'!$B:$B,MATCH($D863,'Attribute Definition'!$A:$A,0))</f>
        <v>Dạng sản phẩm</v>
      </c>
      <c r="F863" s="34" t="s">
        <v>2481</v>
      </c>
    </row>
    <row r="864" spans="1:6" x14ac:dyDescent="0.25">
      <c r="A864" t="s">
        <v>1921</v>
      </c>
      <c r="B864" s="18" t="str">
        <f>INDEX('Product Variant'!$B:$B,MATCH($A864,'Product Variant'!$A:$A,0))</f>
        <v>PRODUCT-00155</v>
      </c>
      <c r="C864" s="18" t="str">
        <f>INDEX(Product!$B:$B,MATCH($B864,Product!$A:$A,0))</f>
        <v>[Pharma] Làm ẩm mở khí quản (mũi nhân tạo)</v>
      </c>
      <c r="D864" t="s">
        <v>2471</v>
      </c>
      <c r="E864" s="18" t="str">
        <f>INDEX('Attribute Definition'!$B:$B,MATCH($D864,'Attribute Definition'!$A:$A,0))</f>
        <v>Dạng sản phẩm</v>
      </c>
      <c r="F864" s="34" t="s">
        <v>2561</v>
      </c>
    </row>
    <row r="865" spans="1:6" x14ac:dyDescent="0.25">
      <c r="A865" t="s">
        <v>1922</v>
      </c>
      <c r="B865" s="18" t="str">
        <f>INDEX('Product Variant'!$B:$B,MATCH($A865,'Product Variant'!$A:$A,0))</f>
        <v>PRODUCT-00156</v>
      </c>
      <c r="C865" s="18" t="str">
        <f>INDEX(Product!$B:$B,MATCH($B865,Product!$A:$A,0))</f>
        <v>[SeaSight] Dụng cụ tập thở phế dung kế - 5000ml</v>
      </c>
      <c r="D865" t="s">
        <v>2349</v>
      </c>
      <c r="E865" s="18" t="str">
        <f>INDEX('Attribute Definition'!$B:$B,MATCH($D865,'Attribute Definition'!$A:$A,0))</f>
        <v>Dung tích</v>
      </c>
      <c r="F865" s="34" t="s">
        <v>2584</v>
      </c>
    </row>
    <row r="866" spans="1:6" x14ac:dyDescent="0.25">
      <c r="A866" t="s">
        <v>1922</v>
      </c>
      <c r="B866" s="18" t="str">
        <f>INDEX('Product Variant'!$B:$B,MATCH($A866,'Product Variant'!$A:$A,0))</f>
        <v>PRODUCT-00156</v>
      </c>
      <c r="C866" s="18" t="str">
        <f>INDEX(Product!$B:$B,MATCH($B866,Product!$A:$A,0))</f>
        <v>[SeaSight] Dụng cụ tập thở phế dung kế - 5000ml</v>
      </c>
      <c r="D866" t="s">
        <v>2471</v>
      </c>
      <c r="E866" s="18" t="str">
        <f>INDEX('Attribute Definition'!$B:$B,MATCH($D866,'Attribute Definition'!$A:$A,0))</f>
        <v>Dạng sản phẩm</v>
      </c>
      <c r="F866" s="34" t="s">
        <v>2561</v>
      </c>
    </row>
    <row r="867" spans="1:6" x14ac:dyDescent="0.25">
      <c r="A867" t="s">
        <v>1923</v>
      </c>
      <c r="B867" s="18" t="str">
        <f>INDEX('Product Variant'!$B:$B,MATCH($A867,'Product Variant'!$A:$A,0))</f>
        <v>PRODUCT-00157</v>
      </c>
      <c r="C867" s="18" t="str">
        <f>INDEX(Product!$B:$B,MATCH($B867,Product!$A:$A,0))</f>
        <v>[Smiths] Bộ mở khí quản cấp cứu - PCK</v>
      </c>
      <c r="D867" t="s">
        <v>2471</v>
      </c>
      <c r="E867" s="18" t="str">
        <f>INDEX('Attribute Definition'!$B:$B,MATCH($D867,'Attribute Definition'!$A:$A,0))</f>
        <v>Dạng sản phẩm</v>
      </c>
      <c r="F867" s="34" t="s">
        <v>2490</v>
      </c>
    </row>
    <row r="868" spans="1:6" x14ac:dyDescent="0.25">
      <c r="A868" t="s">
        <v>1924</v>
      </c>
      <c r="B868" s="18" t="str">
        <f>INDEX('Product Variant'!$B:$B,MATCH($A868,'Product Variant'!$A:$A,0))</f>
        <v>PRODUCT-00158</v>
      </c>
      <c r="C868" s="18" t="str">
        <f>INDEX(Product!$B:$B,MATCH($B868,Product!$A:$A,0))</f>
        <v>[Smiths] Bộ mở khí quản nhanh - Portex® Mini-Trach® II</v>
      </c>
      <c r="D868" t="s">
        <v>2471</v>
      </c>
      <c r="E868" s="18" t="str">
        <f>INDEX('Attribute Definition'!$B:$B,MATCH($D868,'Attribute Definition'!$A:$A,0))</f>
        <v>Dạng sản phẩm</v>
      </c>
      <c r="F868" s="34" t="s">
        <v>2490</v>
      </c>
    </row>
    <row r="869" spans="1:6" x14ac:dyDescent="0.25">
      <c r="A869" t="s">
        <v>1925</v>
      </c>
      <c r="B869" s="18" t="str">
        <f>INDEX('Product Variant'!$B:$B,MATCH($A869,'Product Variant'!$A:$A,0))</f>
        <v>PRODUCT-00159</v>
      </c>
      <c r="C869" s="18" t="str">
        <f>INDEX(Product!$B:$B,MATCH($B869,Product!$A:$A,0))</f>
        <v>[Smiths] Cây nòng đặt nội khí quản khó - Bougie</v>
      </c>
      <c r="D869" t="s">
        <v>2471</v>
      </c>
      <c r="E869" s="18" t="str">
        <f>INDEX('Attribute Definition'!$B:$B,MATCH($D869,'Attribute Definition'!$A:$A,0))</f>
        <v>Dạng sản phẩm</v>
      </c>
      <c r="F869" s="34" t="s">
        <v>2574</v>
      </c>
    </row>
    <row r="870" spans="1:6" x14ac:dyDescent="0.25">
      <c r="A870" t="s">
        <v>1925</v>
      </c>
      <c r="B870" s="18" t="str">
        <f>INDEX('Product Variant'!$B:$B,MATCH($A870,'Product Variant'!$A:$A,0))</f>
        <v>PRODUCT-00159</v>
      </c>
      <c r="C870" s="18" t="str">
        <f>INDEX(Product!$B:$B,MATCH($B870,Product!$A:$A,0))</f>
        <v>[Smiths] Cây nòng đặt nội khí quản khó - Bougie</v>
      </c>
      <c r="D870" t="s">
        <v>2656</v>
      </c>
      <c r="E870" s="18" t="str">
        <f>INDEX('Attribute Definition'!$B:$B,MATCH($D870,'Attribute Definition'!$A:$A,0))</f>
        <v>Kích cỡ</v>
      </c>
      <c r="F870" s="34" t="s">
        <v>1179</v>
      </c>
    </row>
    <row r="871" spans="1:6" x14ac:dyDescent="0.25">
      <c r="A871" t="s">
        <v>1926</v>
      </c>
      <c r="B871" s="18" t="str">
        <f>INDEX('Product Variant'!$B:$B,MATCH($A871,'Product Variant'!$A:$A,0))</f>
        <v>PRODUCT-00160</v>
      </c>
      <c r="C871" s="18" t="str">
        <f>INDEX(Product!$B:$B,MATCH($B871,Product!$A:$A,0))</f>
        <v>[Smiths] Đồng hồ đo áp lực bóng</v>
      </c>
      <c r="D871" t="s">
        <v>2471</v>
      </c>
      <c r="E871" s="18" t="str">
        <f>INDEX('Attribute Definition'!$B:$B,MATCH($D871,'Attribute Definition'!$A:$A,0))</f>
        <v>Dạng sản phẩm</v>
      </c>
      <c r="F871" s="34" t="s">
        <v>2561</v>
      </c>
    </row>
    <row r="872" spans="1:6" x14ac:dyDescent="0.25">
      <c r="A872" t="s">
        <v>1927</v>
      </c>
      <c r="B872" s="18" t="str">
        <f>INDEX('Product Variant'!$B:$B,MATCH($A872,'Product Variant'!$A:$A,0))</f>
        <v>PRODUCT-00161</v>
      </c>
      <c r="C872" s="18" t="str">
        <f>INDEX(Product!$B:$B,MATCH($B872,Product!$A:$A,0))</f>
        <v>[Smiths] Ống nội khí quản có ống hút trên bóng - Portex SACETT</v>
      </c>
      <c r="D872" t="s">
        <v>2426</v>
      </c>
      <c r="E872" s="18" t="str">
        <f>INDEX('Attribute Definition'!$B:$B,MATCH($D872,'Attribute Definition'!$A:$A,0))</f>
        <v>Hút trên bóng</v>
      </c>
      <c r="F872" s="34" t="s">
        <v>2485</v>
      </c>
    </row>
    <row r="873" spans="1:6" x14ac:dyDescent="0.25">
      <c r="A873" t="s">
        <v>1927</v>
      </c>
      <c r="B873" s="18" t="str">
        <f>INDEX('Product Variant'!$B:$B,MATCH($A873,'Product Variant'!$A:$A,0))</f>
        <v>PRODUCT-00161</v>
      </c>
      <c r="C873" s="18" t="str">
        <f>INDEX(Product!$B:$B,MATCH($B873,Product!$A:$A,0))</f>
        <v>[Smiths] Ống nội khí quản có ống hút trên bóng - Portex SACETT</v>
      </c>
      <c r="D873" t="s">
        <v>2471</v>
      </c>
      <c r="E873" s="18" t="str">
        <f>INDEX('Attribute Definition'!$B:$B,MATCH($D873,'Attribute Definition'!$A:$A,0))</f>
        <v>Dạng sản phẩm</v>
      </c>
      <c r="F873" s="34" t="s">
        <v>2574</v>
      </c>
    </row>
    <row r="874" spans="1:6" x14ac:dyDescent="0.25">
      <c r="A874" t="s">
        <v>1927</v>
      </c>
      <c r="B874" s="18" t="str">
        <f>INDEX('Product Variant'!$B:$B,MATCH($A874,'Product Variant'!$A:$A,0))</f>
        <v>PRODUCT-00161</v>
      </c>
      <c r="C874" s="18" t="str">
        <f>INDEX(Product!$B:$B,MATCH($B874,Product!$A:$A,0))</f>
        <v>[Smiths] Ống nội khí quản có ống hút trên bóng - Portex SACETT</v>
      </c>
      <c r="D874" t="s">
        <v>2656</v>
      </c>
      <c r="E874" s="18" t="str">
        <f>INDEX('Attribute Definition'!$B:$B,MATCH($D874,'Attribute Definition'!$A:$A,0))</f>
        <v>Kích cỡ</v>
      </c>
      <c r="F874" s="34" t="s">
        <v>1168</v>
      </c>
    </row>
    <row r="875" spans="1:6" x14ac:dyDescent="0.25">
      <c r="A875" t="s">
        <v>1928</v>
      </c>
      <c r="B875" s="18" t="str">
        <f>INDEX('Product Variant'!$B:$B,MATCH($A875,'Product Variant'!$A:$A,0))</f>
        <v>PRODUCT-00161</v>
      </c>
      <c r="C875" s="18" t="str">
        <f>INDEX(Product!$B:$B,MATCH($B875,Product!$A:$A,0))</f>
        <v>[Smiths] Ống nội khí quản có ống hút trên bóng - Portex SACETT</v>
      </c>
      <c r="D875" t="s">
        <v>2426</v>
      </c>
      <c r="E875" s="18" t="str">
        <f>INDEX('Attribute Definition'!$B:$B,MATCH($D875,'Attribute Definition'!$A:$A,0))</f>
        <v>Hút trên bóng</v>
      </c>
      <c r="F875" s="34" t="s">
        <v>2485</v>
      </c>
    </row>
    <row r="876" spans="1:6" x14ac:dyDescent="0.25">
      <c r="A876" t="s">
        <v>1928</v>
      </c>
      <c r="B876" s="18" t="str">
        <f>INDEX('Product Variant'!$B:$B,MATCH($A876,'Product Variant'!$A:$A,0))</f>
        <v>PRODUCT-00161</v>
      </c>
      <c r="C876" s="18" t="str">
        <f>INDEX(Product!$B:$B,MATCH($B876,Product!$A:$A,0))</f>
        <v>[Smiths] Ống nội khí quản có ống hút trên bóng - Portex SACETT</v>
      </c>
      <c r="D876" t="s">
        <v>2471</v>
      </c>
      <c r="E876" s="18" t="str">
        <f>INDEX('Attribute Definition'!$B:$B,MATCH($D876,'Attribute Definition'!$A:$A,0))</f>
        <v>Dạng sản phẩm</v>
      </c>
      <c r="F876" s="34" t="s">
        <v>2574</v>
      </c>
    </row>
    <row r="877" spans="1:6" x14ac:dyDescent="0.25">
      <c r="A877" t="s">
        <v>1928</v>
      </c>
      <c r="B877" s="18" t="str">
        <f>INDEX('Product Variant'!$B:$B,MATCH($A877,'Product Variant'!$A:$A,0))</f>
        <v>PRODUCT-00161</v>
      </c>
      <c r="C877" s="18" t="str">
        <f>INDEX(Product!$B:$B,MATCH($B877,Product!$A:$A,0))</f>
        <v>[Smiths] Ống nội khí quản có ống hút trên bóng - Portex SACETT</v>
      </c>
      <c r="D877" t="s">
        <v>2656</v>
      </c>
      <c r="E877" s="18" t="str">
        <f>INDEX('Attribute Definition'!$B:$B,MATCH($D877,'Attribute Definition'!$A:$A,0))</f>
        <v>Kích cỡ</v>
      </c>
      <c r="F877" s="34" t="s">
        <v>1428</v>
      </c>
    </row>
    <row r="878" spans="1:6" x14ac:dyDescent="0.25">
      <c r="A878" t="s">
        <v>1929</v>
      </c>
      <c r="B878" s="18" t="str">
        <f>INDEX('Product Variant'!$B:$B,MATCH($A878,'Product Variant'!$A:$A,0))</f>
        <v>PRODUCT-00161</v>
      </c>
      <c r="C878" s="18" t="str">
        <f>INDEX(Product!$B:$B,MATCH($B878,Product!$A:$A,0))</f>
        <v>[Smiths] Ống nội khí quản có ống hút trên bóng - Portex SACETT</v>
      </c>
      <c r="D878" t="s">
        <v>2426</v>
      </c>
      <c r="E878" s="18" t="str">
        <f>INDEX('Attribute Definition'!$B:$B,MATCH($D878,'Attribute Definition'!$A:$A,0))</f>
        <v>Hút trên bóng</v>
      </c>
      <c r="F878" s="34" t="s">
        <v>2485</v>
      </c>
    </row>
    <row r="879" spans="1:6" x14ac:dyDescent="0.25">
      <c r="A879" t="s">
        <v>1929</v>
      </c>
      <c r="B879" s="18" t="str">
        <f>INDEX('Product Variant'!$B:$B,MATCH($A879,'Product Variant'!$A:$A,0))</f>
        <v>PRODUCT-00161</v>
      </c>
      <c r="C879" s="18" t="str">
        <f>INDEX(Product!$B:$B,MATCH($B879,Product!$A:$A,0))</f>
        <v>[Smiths] Ống nội khí quản có ống hút trên bóng - Portex SACETT</v>
      </c>
      <c r="D879" t="s">
        <v>2471</v>
      </c>
      <c r="E879" s="18" t="str">
        <f>INDEX('Attribute Definition'!$B:$B,MATCH($D879,'Attribute Definition'!$A:$A,0))</f>
        <v>Dạng sản phẩm</v>
      </c>
      <c r="F879" s="34" t="s">
        <v>2574</v>
      </c>
    </row>
    <row r="880" spans="1:6" x14ac:dyDescent="0.25">
      <c r="A880" t="s">
        <v>1929</v>
      </c>
      <c r="B880" s="18" t="str">
        <f>INDEX('Product Variant'!$B:$B,MATCH($A880,'Product Variant'!$A:$A,0))</f>
        <v>PRODUCT-00161</v>
      </c>
      <c r="C880" s="18" t="str">
        <f>INDEX(Product!$B:$B,MATCH($B880,Product!$A:$A,0))</f>
        <v>[Smiths] Ống nội khí quản có ống hút trên bóng - Portex SACETT</v>
      </c>
      <c r="D880" t="s">
        <v>2656</v>
      </c>
      <c r="E880" s="18" t="str">
        <f>INDEX('Attribute Definition'!$B:$B,MATCH($D880,'Attribute Definition'!$A:$A,0))</f>
        <v>Kích cỡ</v>
      </c>
      <c r="F880" s="34" t="s">
        <v>1177</v>
      </c>
    </row>
    <row r="881" spans="1:6" x14ac:dyDescent="0.25">
      <c r="A881" t="s">
        <v>1930</v>
      </c>
      <c r="B881" s="18" t="str">
        <f>INDEX('Product Variant'!$B:$B,MATCH($A881,'Product Variant'!$A:$A,0))</f>
        <v>PRODUCT-00161</v>
      </c>
      <c r="C881" s="18" t="str">
        <f>INDEX(Product!$B:$B,MATCH($B881,Product!$A:$A,0))</f>
        <v>[Smiths] Ống nội khí quản có ống hút trên bóng - Portex SACETT</v>
      </c>
      <c r="D881" t="s">
        <v>2426</v>
      </c>
      <c r="E881" s="18" t="str">
        <f>INDEX('Attribute Definition'!$B:$B,MATCH($D881,'Attribute Definition'!$A:$A,0))</f>
        <v>Hút trên bóng</v>
      </c>
      <c r="F881" s="34" t="s">
        <v>2485</v>
      </c>
    </row>
    <row r="882" spans="1:6" x14ac:dyDescent="0.25">
      <c r="A882" t="s">
        <v>1930</v>
      </c>
      <c r="B882" s="18" t="str">
        <f>INDEX('Product Variant'!$B:$B,MATCH($A882,'Product Variant'!$A:$A,0))</f>
        <v>PRODUCT-00161</v>
      </c>
      <c r="C882" s="18" t="str">
        <f>INDEX(Product!$B:$B,MATCH($B882,Product!$A:$A,0))</f>
        <v>[Smiths] Ống nội khí quản có ống hút trên bóng - Portex SACETT</v>
      </c>
      <c r="D882" t="s">
        <v>2471</v>
      </c>
      <c r="E882" s="18" t="str">
        <f>INDEX('Attribute Definition'!$B:$B,MATCH($D882,'Attribute Definition'!$A:$A,0))</f>
        <v>Dạng sản phẩm</v>
      </c>
      <c r="F882" s="34" t="s">
        <v>2574</v>
      </c>
    </row>
    <row r="883" spans="1:6" x14ac:dyDescent="0.25">
      <c r="A883" t="s">
        <v>1930</v>
      </c>
      <c r="B883" s="18" t="str">
        <f>INDEX('Product Variant'!$B:$B,MATCH($A883,'Product Variant'!$A:$A,0))</f>
        <v>PRODUCT-00161</v>
      </c>
      <c r="C883" s="18" t="str">
        <f>INDEX(Product!$B:$B,MATCH($B883,Product!$A:$A,0))</f>
        <v>[Smiths] Ống nội khí quản có ống hút trên bóng - Portex SACETT</v>
      </c>
      <c r="D883" t="s">
        <v>2656</v>
      </c>
      <c r="E883" s="18" t="str">
        <f>INDEX('Attribute Definition'!$B:$B,MATCH($D883,'Attribute Definition'!$A:$A,0))</f>
        <v>Kích cỡ</v>
      </c>
      <c r="F883" s="34" t="s">
        <v>1429</v>
      </c>
    </row>
    <row r="884" spans="1:6" x14ac:dyDescent="0.25">
      <c r="A884" t="s">
        <v>1931</v>
      </c>
      <c r="B884" s="18" t="str">
        <f>INDEX('Product Variant'!$B:$B,MATCH($A884,'Product Variant'!$A:$A,0))</f>
        <v>PRODUCT-00161</v>
      </c>
      <c r="C884" s="18" t="str">
        <f>INDEX(Product!$B:$B,MATCH($B884,Product!$A:$A,0))</f>
        <v>[Smiths] Ống nội khí quản có ống hút trên bóng - Portex SACETT</v>
      </c>
      <c r="D884" t="s">
        <v>2426</v>
      </c>
      <c r="E884" s="18" t="str">
        <f>INDEX('Attribute Definition'!$B:$B,MATCH($D884,'Attribute Definition'!$A:$A,0))</f>
        <v>Hút trên bóng</v>
      </c>
      <c r="F884" s="34" t="s">
        <v>2485</v>
      </c>
    </row>
    <row r="885" spans="1:6" x14ac:dyDescent="0.25">
      <c r="A885" t="s">
        <v>1931</v>
      </c>
      <c r="B885" s="18" t="str">
        <f>INDEX('Product Variant'!$B:$B,MATCH($A885,'Product Variant'!$A:$A,0))</f>
        <v>PRODUCT-00161</v>
      </c>
      <c r="C885" s="18" t="str">
        <f>INDEX(Product!$B:$B,MATCH($B885,Product!$A:$A,0))</f>
        <v>[Smiths] Ống nội khí quản có ống hút trên bóng - Portex SACETT</v>
      </c>
      <c r="D885" t="s">
        <v>2471</v>
      </c>
      <c r="E885" s="18" t="str">
        <f>INDEX('Attribute Definition'!$B:$B,MATCH($D885,'Attribute Definition'!$A:$A,0))</f>
        <v>Dạng sản phẩm</v>
      </c>
      <c r="F885" s="34" t="s">
        <v>2574</v>
      </c>
    </row>
    <row r="886" spans="1:6" x14ac:dyDescent="0.25">
      <c r="A886" t="s">
        <v>1931</v>
      </c>
      <c r="B886" s="18" t="str">
        <f>INDEX('Product Variant'!$B:$B,MATCH($A886,'Product Variant'!$A:$A,0))</f>
        <v>PRODUCT-00161</v>
      </c>
      <c r="C886" s="18" t="str">
        <f>INDEX(Product!$B:$B,MATCH($B886,Product!$A:$A,0))</f>
        <v>[Smiths] Ống nội khí quản có ống hút trên bóng - Portex SACETT</v>
      </c>
      <c r="D886" t="s">
        <v>2656</v>
      </c>
      <c r="E886" s="18" t="str">
        <f>INDEX('Attribute Definition'!$B:$B,MATCH($D886,'Attribute Definition'!$A:$A,0))</f>
        <v>Kích cỡ</v>
      </c>
      <c r="F886" s="34" t="s">
        <v>1169</v>
      </c>
    </row>
    <row r="887" spans="1:6" x14ac:dyDescent="0.25">
      <c r="A887" t="s">
        <v>1932</v>
      </c>
      <c r="B887" s="18" t="str">
        <f>INDEX('Product Variant'!$B:$B,MATCH($A887,'Product Variant'!$A:$A,0))</f>
        <v>PRODUCT-00162</v>
      </c>
      <c r="C887" s="18" t="str">
        <f>INDEX(Product!$B:$B,MATCH($B887,Product!$A:$A,0))</f>
        <v>[VBM] Đồng hồ đo áp lực bóng chèn - Universal (Ø68mm)</v>
      </c>
      <c r="D887" t="s">
        <v>2342</v>
      </c>
      <c r="E887" s="18" t="str">
        <f>INDEX('Attribute Definition'!$B:$B,MATCH($D887,'Attribute Definition'!$A:$A,0))</f>
        <v>Kích thước</v>
      </c>
      <c r="F887" s="34" t="s">
        <v>2585</v>
      </c>
    </row>
    <row r="888" spans="1:6" x14ac:dyDescent="0.25">
      <c r="A888" t="s">
        <v>1932</v>
      </c>
      <c r="B888" s="18" t="str">
        <f>INDEX('Product Variant'!$B:$B,MATCH($A888,'Product Variant'!$A:$A,0))</f>
        <v>PRODUCT-00162</v>
      </c>
      <c r="C888" s="18" t="str">
        <f>INDEX(Product!$B:$B,MATCH($B888,Product!$A:$A,0))</f>
        <v>[VBM] Đồng hồ đo áp lực bóng chèn - Universal (Ø68mm)</v>
      </c>
      <c r="D888" t="s">
        <v>2471</v>
      </c>
      <c r="E888" s="18" t="str">
        <f>INDEX('Attribute Definition'!$B:$B,MATCH($D888,'Attribute Definition'!$A:$A,0))</f>
        <v>Dạng sản phẩm</v>
      </c>
      <c r="F888" s="34" t="s">
        <v>2561</v>
      </c>
    </row>
    <row r="889" spans="1:6" x14ac:dyDescent="0.25">
      <c r="A889" t="s">
        <v>1933</v>
      </c>
      <c r="B889" s="18" t="str">
        <f>INDEX('Product Variant'!$B:$B,MATCH($A889,'Product Variant'!$A:$A,0))</f>
        <v>PRODUCT-00163</v>
      </c>
      <c r="C889" s="18" t="str">
        <f>INDEX(Product!$B:$B,MATCH($B889,Product!$A:$A,0))</f>
        <v>[Vitaltec] Ống mở khí quản 2 nòng có bóng, có cửa sổ - Rota-Trach</v>
      </c>
      <c r="D889" t="s">
        <v>2411</v>
      </c>
      <c r="E889" s="18" t="str">
        <f>INDEX('Attribute Definition'!$B:$B,MATCH($D889,'Attribute Definition'!$A:$A,0))</f>
        <v>Số nòng / nhánh</v>
      </c>
      <c r="F889" s="34" t="s">
        <v>2571</v>
      </c>
    </row>
    <row r="890" spans="1:6" x14ac:dyDescent="0.25">
      <c r="A890" t="s">
        <v>1933</v>
      </c>
      <c r="B890" s="18" t="str">
        <f>INDEX('Product Variant'!$B:$B,MATCH($A890,'Product Variant'!$A:$A,0))</f>
        <v>PRODUCT-00163</v>
      </c>
      <c r="C890" s="18" t="str">
        <f>INDEX(Product!$B:$B,MATCH($B890,Product!$A:$A,0))</f>
        <v>[Vitaltec] Ống mở khí quản 2 nòng có bóng, có cửa sổ - Rota-Trach</v>
      </c>
      <c r="D890" t="s">
        <v>2416</v>
      </c>
      <c r="E890" s="18" t="str">
        <f>INDEX('Attribute Definition'!$B:$B,MATCH($D890,'Attribute Definition'!$A:$A,0))</f>
        <v>Bóng chèn</v>
      </c>
      <c r="F890" s="34" t="s">
        <v>2575</v>
      </c>
    </row>
    <row r="891" spans="1:6" x14ac:dyDescent="0.25">
      <c r="A891" t="s">
        <v>1933</v>
      </c>
      <c r="B891" s="18" t="str">
        <f>INDEX('Product Variant'!$B:$B,MATCH($A891,'Product Variant'!$A:$A,0))</f>
        <v>PRODUCT-00163</v>
      </c>
      <c r="C891" s="18" t="str">
        <f>INDEX(Product!$B:$B,MATCH($B891,Product!$A:$A,0))</f>
        <v>[Vitaltec] Ống mở khí quản 2 nòng có bóng, có cửa sổ - Rota-Trach</v>
      </c>
      <c r="D891" t="s">
        <v>2421</v>
      </c>
      <c r="E891" s="18" t="str">
        <f>INDEX('Attribute Definition'!$B:$B,MATCH($D891,'Attribute Definition'!$A:$A,0))</f>
        <v>Cửa sổ</v>
      </c>
      <c r="F891" s="34" t="s">
        <v>2576</v>
      </c>
    </row>
    <row r="892" spans="1:6" x14ac:dyDescent="0.25">
      <c r="A892" t="s">
        <v>1933</v>
      </c>
      <c r="B892" s="18" t="str">
        <f>INDEX('Product Variant'!$B:$B,MATCH($A892,'Product Variant'!$A:$A,0))</f>
        <v>PRODUCT-00163</v>
      </c>
      <c r="C892" s="18" t="str">
        <f>INDEX(Product!$B:$B,MATCH($B892,Product!$A:$A,0))</f>
        <v>[Vitaltec] Ống mở khí quản 2 nòng có bóng, có cửa sổ - Rota-Trach</v>
      </c>
      <c r="D892" t="s">
        <v>2471</v>
      </c>
      <c r="E892" s="18" t="str">
        <f>INDEX('Attribute Definition'!$B:$B,MATCH($D892,'Attribute Definition'!$A:$A,0))</f>
        <v>Dạng sản phẩm</v>
      </c>
      <c r="F892" s="34" t="s">
        <v>2574</v>
      </c>
    </row>
    <row r="893" spans="1:6" x14ac:dyDescent="0.25">
      <c r="A893" t="s">
        <v>1933</v>
      </c>
      <c r="B893" s="18" t="str">
        <f>INDEX('Product Variant'!$B:$B,MATCH($A893,'Product Variant'!$A:$A,0))</f>
        <v>PRODUCT-00163</v>
      </c>
      <c r="C893" s="18" t="str">
        <f>INDEX(Product!$B:$B,MATCH($B893,Product!$A:$A,0))</f>
        <v>[Vitaltec] Ống mở khí quản 2 nòng có bóng, có cửa sổ - Rota-Trach</v>
      </c>
      <c r="D893" t="s">
        <v>2656</v>
      </c>
      <c r="E893" s="18" t="str">
        <f>INDEX('Attribute Definition'!$B:$B,MATCH($D893,'Attribute Definition'!$A:$A,0))</f>
        <v>Kích cỡ</v>
      </c>
      <c r="F893" s="34" t="s">
        <v>1177</v>
      </c>
    </row>
    <row r="894" spans="1:6" x14ac:dyDescent="0.25">
      <c r="A894" t="s">
        <v>1934</v>
      </c>
      <c r="B894" s="18" t="str">
        <f>INDEX('Product Variant'!$B:$B,MATCH($A894,'Product Variant'!$A:$A,0))</f>
        <v>PRODUCT-00163</v>
      </c>
      <c r="C894" s="18" t="str">
        <f>INDEX(Product!$B:$B,MATCH($B894,Product!$A:$A,0))</f>
        <v>[Vitaltec] Ống mở khí quản 2 nòng có bóng, có cửa sổ - Rota-Trach</v>
      </c>
      <c r="D894" t="s">
        <v>2411</v>
      </c>
      <c r="E894" s="18" t="str">
        <f>INDEX('Attribute Definition'!$B:$B,MATCH($D894,'Attribute Definition'!$A:$A,0))</f>
        <v>Số nòng / nhánh</v>
      </c>
      <c r="F894" s="34" t="s">
        <v>2571</v>
      </c>
    </row>
    <row r="895" spans="1:6" x14ac:dyDescent="0.25">
      <c r="A895" t="s">
        <v>1934</v>
      </c>
      <c r="B895" s="18" t="str">
        <f>INDEX('Product Variant'!$B:$B,MATCH($A895,'Product Variant'!$A:$A,0))</f>
        <v>PRODUCT-00163</v>
      </c>
      <c r="C895" s="18" t="str">
        <f>INDEX(Product!$B:$B,MATCH($B895,Product!$A:$A,0))</f>
        <v>[Vitaltec] Ống mở khí quản 2 nòng có bóng, có cửa sổ - Rota-Trach</v>
      </c>
      <c r="D895" t="s">
        <v>2416</v>
      </c>
      <c r="E895" s="18" t="str">
        <f>INDEX('Attribute Definition'!$B:$B,MATCH($D895,'Attribute Definition'!$A:$A,0))</f>
        <v>Bóng chèn</v>
      </c>
      <c r="F895" s="34" t="s">
        <v>2575</v>
      </c>
    </row>
    <row r="896" spans="1:6" x14ac:dyDescent="0.25">
      <c r="A896" t="s">
        <v>1934</v>
      </c>
      <c r="B896" s="18" t="str">
        <f>INDEX('Product Variant'!$B:$B,MATCH($A896,'Product Variant'!$A:$A,0))</f>
        <v>PRODUCT-00163</v>
      </c>
      <c r="C896" s="18" t="str">
        <f>INDEX(Product!$B:$B,MATCH($B896,Product!$A:$A,0))</f>
        <v>[Vitaltec] Ống mở khí quản 2 nòng có bóng, có cửa sổ - Rota-Trach</v>
      </c>
      <c r="D896" t="s">
        <v>2421</v>
      </c>
      <c r="E896" s="18" t="str">
        <f>INDEX('Attribute Definition'!$B:$B,MATCH($D896,'Attribute Definition'!$A:$A,0))</f>
        <v>Cửa sổ</v>
      </c>
      <c r="F896" s="34" t="s">
        <v>2576</v>
      </c>
    </row>
    <row r="897" spans="1:6" x14ac:dyDescent="0.25">
      <c r="A897" t="s">
        <v>1934</v>
      </c>
      <c r="B897" s="18" t="str">
        <f>INDEX('Product Variant'!$B:$B,MATCH($A897,'Product Variant'!$A:$A,0))</f>
        <v>PRODUCT-00163</v>
      </c>
      <c r="C897" s="18" t="str">
        <f>INDEX(Product!$B:$B,MATCH($B897,Product!$A:$A,0))</f>
        <v>[Vitaltec] Ống mở khí quản 2 nòng có bóng, có cửa sổ - Rota-Trach</v>
      </c>
      <c r="D897" t="s">
        <v>2471</v>
      </c>
      <c r="E897" s="18" t="str">
        <f>INDEX('Attribute Definition'!$B:$B,MATCH($D897,'Attribute Definition'!$A:$A,0))</f>
        <v>Dạng sản phẩm</v>
      </c>
      <c r="F897" s="34" t="s">
        <v>2574</v>
      </c>
    </row>
    <row r="898" spans="1:6" x14ac:dyDescent="0.25">
      <c r="A898" t="s">
        <v>1934</v>
      </c>
      <c r="B898" s="18" t="str">
        <f>INDEX('Product Variant'!$B:$B,MATCH($A898,'Product Variant'!$A:$A,0))</f>
        <v>PRODUCT-00163</v>
      </c>
      <c r="C898" s="18" t="str">
        <f>INDEX(Product!$B:$B,MATCH($B898,Product!$A:$A,0))</f>
        <v>[Vitaltec] Ống mở khí quản 2 nòng có bóng, có cửa sổ - Rota-Trach</v>
      </c>
      <c r="D898" t="s">
        <v>2656</v>
      </c>
      <c r="E898" s="18" t="str">
        <f>INDEX('Attribute Definition'!$B:$B,MATCH($D898,'Attribute Definition'!$A:$A,0))</f>
        <v>Kích cỡ</v>
      </c>
      <c r="F898" s="34" t="s">
        <v>1169</v>
      </c>
    </row>
    <row r="899" spans="1:6" x14ac:dyDescent="0.25">
      <c r="A899" t="s">
        <v>1935</v>
      </c>
      <c r="B899" s="18" t="str">
        <f>INDEX('Product Variant'!$B:$B,MATCH($A899,'Product Variant'!$A:$A,0))</f>
        <v>PRODUCT-00164</v>
      </c>
      <c r="C899" s="18" t="str">
        <f>INDEX(Product!$B:$B,MATCH($B899,Product!$A:$A,0))</f>
        <v>[Vitaltec] Ống mở khí quản 2 nòng có bóng, không cửa sổ - Rota-Trach</v>
      </c>
      <c r="D899" t="s">
        <v>2411</v>
      </c>
      <c r="E899" s="18" t="str">
        <f>INDEX('Attribute Definition'!$B:$B,MATCH($D899,'Attribute Definition'!$A:$A,0))</f>
        <v>Số nòng / nhánh</v>
      </c>
      <c r="F899" s="34" t="s">
        <v>2571</v>
      </c>
    </row>
    <row r="900" spans="1:6" x14ac:dyDescent="0.25">
      <c r="A900" t="s">
        <v>1935</v>
      </c>
      <c r="B900" s="18" t="str">
        <f>INDEX('Product Variant'!$B:$B,MATCH($A900,'Product Variant'!$A:$A,0))</f>
        <v>PRODUCT-00164</v>
      </c>
      <c r="C900" s="18" t="str">
        <f>INDEX(Product!$B:$B,MATCH($B900,Product!$A:$A,0))</f>
        <v>[Vitaltec] Ống mở khí quản 2 nòng có bóng, không cửa sổ - Rota-Trach</v>
      </c>
      <c r="D900" t="s">
        <v>2416</v>
      </c>
      <c r="E900" s="18" t="str">
        <f>INDEX('Attribute Definition'!$B:$B,MATCH($D900,'Attribute Definition'!$A:$A,0))</f>
        <v>Bóng chèn</v>
      </c>
      <c r="F900" s="34" t="s">
        <v>2575</v>
      </c>
    </row>
    <row r="901" spans="1:6" x14ac:dyDescent="0.25">
      <c r="A901" t="s">
        <v>1935</v>
      </c>
      <c r="B901" s="18" t="str">
        <f>INDEX('Product Variant'!$B:$B,MATCH($A901,'Product Variant'!$A:$A,0))</f>
        <v>PRODUCT-00164</v>
      </c>
      <c r="C901" s="18" t="str">
        <f>INDEX(Product!$B:$B,MATCH($B901,Product!$A:$A,0))</f>
        <v>[Vitaltec] Ống mở khí quản 2 nòng có bóng, không cửa sổ - Rota-Trach</v>
      </c>
      <c r="D901" t="s">
        <v>2421</v>
      </c>
      <c r="E901" s="18" t="str">
        <f>INDEX('Attribute Definition'!$B:$B,MATCH($D901,'Attribute Definition'!$A:$A,0))</f>
        <v>Cửa sổ</v>
      </c>
      <c r="F901" s="34" t="s">
        <v>2582</v>
      </c>
    </row>
    <row r="902" spans="1:6" x14ac:dyDescent="0.25">
      <c r="A902" t="s">
        <v>1935</v>
      </c>
      <c r="B902" s="18" t="str">
        <f>INDEX('Product Variant'!$B:$B,MATCH($A902,'Product Variant'!$A:$A,0))</f>
        <v>PRODUCT-00164</v>
      </c>
      <c r="C902" s="18" t="str">
        <f>INDEX(Product!$B:$B,MATCH($B902,Product!$A:$A,0))</f>
        <v>[Vitaltec] Ống mở khí quản 2 nòng có bóng, không cửa sổ - Rota-Trach</v>
      </c>
      <c r="D902" t="s">
        <v>2471</v>
      </c>
      <c r="E902" s="18" t="str">
        <f>INDEX('Attribute Definition'!$B:$B,MATCH($D902,'Attribute Definition'!$A:$A,0))</f>
        <v>Dạng sản phẩm</v>
      </c>
      <c r="F902" s="34" t="s">
        <v>2574</v>
      </c>
    </row>
    <row r="903" spans="1:6" x14ac:dyDescent="0.25">
      <c r="A903" t="s">
        <v>1935</v>
      </c>
      <c r="B903" s="18" t="str">
        <f>INDEX('Product Variant'!$B:$B,MATCH($A903,'Product Variant'!$A:$A,0))</f>
        <v>PRODUCT-00164</v>
      </c>
      <c r="C903" s="18" t="str">
        <f>INDEX(Product!$B:$B,MATCH($B903,Product!$A:$A,0))</f>
        <v>[Vitaltec] Ống mở khí quản 2 nòng có bóng, không cửa sổ - Rota-Trach</v>
      </c>
      <c r="D903" t="s">
        <v>2656</v>
      </c>
      <c r="E903" s="18" t="str">
        <f>INDEX('Attribute Definition'!$B:$B,MATCH($D903,'Attribute Definition'!$A:$A,0))</f>
        <v>Kích cỡ</v>
      </c>
      <c r="F903" s="34" t="s">
        <v>1177</v>
      </c>
    </row>
    <row r="904" spans="1:6" x14ac:dyDescent="0.25">
      <c r="A904" t="s">
        <v>1936</v>
      </c>
      <c r="B904" s="18" t="str">
        <f>INDEX('Product Variant'!$B:$B,MATCH($A904,'Product Variant'!$A:$A,0))</f>
        <v>PRODUCT-00164</v>
      </c>
      <c r="C904" s="18" t="str">
        <f>INDEX(Product!$B:$B,MATCH($B904,Product!$A:$A,0))</f>
        <v>[Vitaltec] Ống mở khí quản 2 nòng có bóng, không cửa sổ - Rota-Trach</v>
      </c>
      <c r="D904" t="s">
        <v>2411</v>
      </c>
      <c r="E904" s="18" t="str">
        <f>INDEX('Attribute Definition'!$B:$B,MATCH($D904,'Attribute Definition'!$A:$A,0))</f>
        <v>Số nòng / nhánh</v>
      </c>
      <c r="F904" s="34" t="s">
        <v>2571</v>
      </c>
    </row>
    <row r="905" spans="1:6" x14ac:dyDescent="0.25">
      <c r="A905" t="s">
        <v>1936</v>
      </c>
      <c r="B905" s="18" t="str">
        <f>INDEX('Product Variant'!$B:$B,MATCH($A905,'Product Variant'!$A:$A,0))</f>
        <v>PRODUCT-00164</v>
      </c>
      <c r="C905" s="18" t="str">
        <f>INDEX(Product!$B:$B,MATCH($B905,Product!$A:$A,0))</f>
        <v>[Vitaltec] Ống mở khí quản 2 nòng có bóng, không cửa sổ - Rota-Trach</v>
      </c>
      <c r="D905" t="s">
        <v>2416</v>
      </c>
      <c r="E905" s="18" t="str">
        <f>INDEX('Attribute Definition'!$B:$B,MATCH($D905,'Attribute Definition'!$A:$A,0))</f>
        <v>Bóng chèn</v>
      </c>
      <c r="F905" s="34" t="s">
        <v>2575</v>
      </c>
    </row>
    <row r="906" spans="1:6" x14ac:dyDescent="0.25">
      <c r="A906" t="s">
        <v>1936</v>
      </c>
      <c r="B906" s="18" t="str">
        <f>INDEX('Product Variant'!$B:$B,MATCH($A906,'Product Variant'!$A:$A,0))</f>
        <v>PRODUCT-00164</v>
      </c>
      <c r="C906" s="18" t="str">
        <f>INDEX(Product!$B:$B,MATCH($B906,Product!$A:$A,0))</f>
        <v>[Vitaltec] Ống mở khí quản 2 nòng có bóng, không cửa sổ - Rota-Trach</v>
      </c>
      <c r="D906" t="s">
        <v>2421</v>
      </c>
      <c r="E906" s="18" t="str">
        <f>INDEX('Attribute Definition'!$B:$B,MATCH($D906,'Attribute Definition'!$A:$A,0))</f>
        <v>Cửa sổ</v>
      </c>
      <c r="F906" s="34" t="s">
        <v>2582</v>
      </c>
    </row>
    <row r="907" spans="1:6" x14ac:dyDescent="0.25">
      <c r="A907" t="s">
        <v>1936</v>
      </c>
      <c r="B907" s="18" t="str">
        <f>INDEX('Product Variant'!$B:$B,MATCH($A907,'Product Variant'!$A:$A,0))</f>
        <v>PRODUCT-00164</v>
      </c>
      <c r="C907" s="18" t="str">
        <f>INDEX(Product!$B:$B,MATCH($B907,Product!$A:$A,0))</f>
        <v>[Vitaltec] Ống mở khí quản 2 nòng có bóng, không cửa sổ - Rota-Trach</v>
      </c>
      <c r="D907" t="s">
        <v>2471</v>
      </c>
      <c r="E907" s="18" t="str">
        <f>INDEX('Attribute Definition'!$B:$B,MATCH($D907,'Attribute Definition'!$A:$A,0))</f>
        <v>Dạng sản phẩm</v>
      </c>
      <c r="F907" s="34" t="s">
        <v>2574</v>
      </c>
    </row>
    <row r="908" spans="1:6" x14ac:dyDescent="0.25">
      <c r="A908" t="s">
        <v>1936</v>
      </c>
      <c r="B908" s="18" t="str">
        <f>INDEX('Product Variant'!$B:$B,MATCH($A908,'Product Variant'!$A:$A,0))</f>
        <v>PRODUCT-00164</v>
      </c>
      <c r="C908" s="18" t="str">
        <f>INDEX(Product!$B:$B,MATCH($B908,Product!$A:$A,0))</f>
        <v>[Vitaltec] Ống mở khí quản 2 nòng có bóng, không cửa sổ - Rota-Trach</v>
      </c>
      <c r="D908" t="s">
        <v>2656</v>
      </c>
      <c r="E908" s="18" t="str">
        <f>INDEX('Attribute Definition'!$B:$B,MATCH($D908,'Attribute Definition'!$A:$A,0))</f>
        <v>Kích cỡ</v>
      </c>
      <c r="F908" s="34" t="s">
        <v>1169</v>
      </c>
    </row>
    <row r="909" spans="1:6" x14ac:dyDescent="0.25">
      <c r="A909" t="s">
        <v>1937</v>
      </c>
      <c r="B909" s="18" t="str">
        <f>INDEX('Product Variant'!$B:$B,MATCH($A909,'Product Variant'!$A:$A,0))</f>
        <v>PRODUCT-00165</v>
      </c>
      <c r="C909" s="18" t="str">
        <f>INDEX(Product!$B:$B,MATCH($B909,Product!$A:$A,0))</f>
        <v>[Vitaltec] Ống mở khí quản 2 nòng không bóng, có cửa sổ - Rota-Trach</v>
      </c>
      <c r="D909" t="s">
        <v>2411</v>
      </c>
      <c r="E909" s="18" t="str">
        <f>INDEX('Attribute Definition'!$B:$B,MATCH($D909,'Attribute Definition'!$A:$A,0))</f>
        <v>Số nòng / nhánh</v>
      </c>
      <c r="F909" s="34" t="s">
        <v>2571</v>
      </c>
    </row>
    <row r="910" spans="1:6" x14ac:dyDescent="0.25">
      <c r="A910" t="s">
        <v>1937</v>
      </c>
      <c r="B910" s="18" t="str">
        <f>INDEX('Product Variant'!$B:$B,MATCH($A910,'Product Variant'!$A:$A,0))</f>
        <v>PRODUCT-00165</v>
      </c>
      <c r="C910" s="18" t="str">
        <f>INDEX(Product!$B:$B,MATCH($B910,Product!$A:$A,0))</f>
        <v>[Vitaltec] Ống mở khí quản 2 nòng không bóng, có cửa sổ - Rota-Trach</v>
      </c>
      <c r="D910" t="s">
        <v>2416</v>
      </c>
      <c r="E910" s="18" t="str">
        <f>INDEX('Attribute Definition'!$B:$B,MATCH($D910,'Attribute Definition'!$A:$A,0))</f>
        <v>Bóng chèn</v>
      </c>
      <c r="F910" s="34" t="s">
        <v>2577</v>
      </c>
    </row>
    <row r="911" spans="1:6" x14ac:dyDescent="0.25">
      <c r="A911" t="s">
        <v>1937</v>
      </c>
      <c r="B911" s="18" t="str">
        <f>INDEX('Product Variant'!$B:$B,MATCH($A911,'Product Variant'!$A:$A,0))</f>
        <v>PRODUCT-00165</v>
      </c>
      <c r="C911" s="18" t="str">
        <f>INDEX(Product!$B:$B,MATCH($B911,Product!$A:$A,0))</f>
        <v>[Vitaltec] Ống mở khí quản 2 nòng không bóng, có cửa sổ - Rota-Trach</v>
      </c>
      <c r="D911" t="s">
        <v>2421</v>
      </c>
      <c r="E911" s="18" t="str">
        <f>INDEX('Attribute Definition'!$B:$B,MATCH($D911,'Attribute Definition'!$A:$A,0))</f>
        <v>Cửa sổ</v>
      </c>
      <c r="F911" s="34" t="s">
        <v>2576</v>
      </c>
    </row>
    <row r="912" spans="1:6" x14ac:dyDescent="0.25">
      <c r="A912" t="s">
        <v>1937</v>
      </c>
      <c r="B912" s="18" t="str">
        <f>INDEX('Product Variant'!$B:$B,MATCH($A912,'Product Variant'!$A:$A,0))</f>
        <v>PRODUCT-00165</v>
      </c>
      <c r="C912" s="18" t="str">
        <f>INDEX(Product!$B:$B,MATCH($B912,Product!$A:$A,0))</f>
        <v>[Vitaltec] Ống mở khí quản 2 nòng không bóng, có cửa sổ - Rota-Trach</v>
      </c>
      <c r="D912" t="s">
        <v>2471</v>
      </c>
      <c r="E912" s="18" t="str">
        <f>INDEX('Attribute Definition'!$B:$B,MATCH($D912,'Attribute Definition'!$A:$A,0))</f>
        <v>Dạng sản phẩm</v>
      </c>
      <c r="F912" s="34" t="s">
        <v>2574</v>
      </c>
    </row>
    <row r="913" spans="1:6" x14ac:dyDescent="0.25">
      <c r="A913" t="s">
        <v>1937</v>
      </c>
      <c r="B913" s="18" t="str">
        <f>INDEX('Product Variant'!$B:$B,MATCH($A913,'Product Variant'!$A:$A,0))</f>
        <v>PRODUCT-00165</v>
      </c>
      <c r="C913" s="18" t="str">
        <f>INDEX(Product!$B:$B,MATCH($B913,Product!$A:$A,0))</f>
        <v>[Vitaltec] Ống mở khí quản 2 nòng không bóng, có cửa sổ - Rota-Trach</v>
      </c>
      <c r="D913" t="s">
        <v>2656</v>
      </c>
      <c r="E913" s="18" t="str">
        <f>INDEX('Attribute Definition'!$B:$B,MATCH($D913,'Attribute Definition'!$A:$A,0))</f>
        <v>Kích cỡ</v>
      </c>
      <c r="F913" s="34" t="s">
        <v>1177</v>
      </c>
    </row>
    <row r="914" spans="1:6" x14ac:dyDescent="0.25">
      <c r="A914" t="s">
        <v>1938</v>
      </c>
      <c r="B914" s="18" t="str">
        <f>INDEX('Product Variant'!$B:$B,MATCH($A914,'Product Variant'!$A:$A,0))</f>
        <v>PRODUCT-00165</v>
      </c>
      <c r="C914" s="18" t="str">
        <f>INDEX(Product!$B:$B,MATCH($B914,Product!$A:$A,0))</f>
        <v>[Vitaltec] Ống mở khí quản 2 nòng không bóng, có cửa sổ - Rota-Trach</v>
      </c>
      <c r="D914" t="s">
        <v>2411</v>
      </c>
      <c r="E914" s="18" t="str">
        <f>INDEX('Attribute Definition'!$B:$B,MATCH($D914,'Attribute Definition'!$A:$A,0))</f>
        <v>Số nòng / nhánh</v>
      </c>
      <c r="F914" s="34" t="s">
        <v>2571</v>
      </c>
    </row>
    <row r="915" spans="1:6" x14ac:dyDescent="0.25">
      <c r="A915" t="s">
        <v>1938</v>
      </c>
      <c r="B915" s="18" t="str">
        <f>INDEX('Product Variant'!$B:$B,MATCH($A915,'Product Variant'!$A:$A,0))</f>
        <v>PRODUCT-00165</v>
      </c>
      <c r="C915" s="18" t="str">
        <f>INDEX(Product!$B:$B,MATCH($B915,Product!$A:$A,0))</f>
        <v>[Vitaltec] Ống mở khí quản 2 nòng không bóng, có cửa sổ - Rota-Trach</v>
      </c>
      <c r="D915" t="s">
        <v>2416</v>
      </c>
      <c r="E915" s="18" t="str">
        <f>INDEX('Attribute Definition'!$B:$B,MATCH($D915,'Attribute Definition'!$A:$A,0))</f>
        <v>Bóng chèn</v>
      </c>
      <c r="F915" s="34" t="s">
        <v>2577</v>
      </c>
    </row>
    <row r="916" spans="1:6" x14ac:dyDescent="0.25">
      <c r="A916" t="s">
        <v>1938</v>
      </c>
      <c r="B916" s="18" t="str">
        <f>INDEX('Product Variant'!$B:$B,MATCH($A916,'Product Variant'!$A:$A,0))</f>
        <v>PRODUCT-00165</v>
      </c>
      <c r="C916" s="18" t="str">
        <f>INDEX(Product!$B:$B,MATCH($B916,Product!$A:$A,0))</f>
        <v>[Vitaltec] Ống mở khí quản 2 nòng không bóng, có cửa sổ - Rota-Trach</v>
      </c>
      <c r="D916" t="s">
        <v>2421</v>
      </c>
      <c r="E916" s="18" t="str">
        <f>INDEX('Attribute Definition'!$B:$B,MATCH($D916,'Attribute Definition'!$A:$A,0))</f>
        <v>Cửa sổ</v>
      </c>
      <c r="F916" s="34" t="s">
        <v>2576</v>
      </c>
    </row>
    <row r="917" spans="1:6" x14ac:dyDescent="0.25">
      <c r="A917" t="s">
        <v>1938</v>
      </c>
      <c r="B917" s="18" t="str">
        <f>INDEX('Product Variant'!$B:$B,MATCH($A917,'Product Variant'!$A:$A,0))</f>
        <v>PRODUCT-00165</v>
      </c>
      <c r="C917" s="18" t="str">
        <f>INDEX(Product!$B:$B,MATCH($B917,Product!$A:$A,0))</f>
        <v>[Vitaltec] Ống mở khí quản 2 nòng không bóng, có cửa sổ - Rota-Trach</v>
      </c>
      <c r="D917" t="s">
        <v>2471</v>
      </c>
      <c r="E917" s="18" t="str">
        <f>INDEX('Attribute Definition'!$B:$B,MATCH($D917,'Attribute Definition'!$A:$A,0))</f>
        <v>Dạng sản phẩm</v>
      </c>
      <c r="F917" s="34" t="s">
        <v>2574</v>
      </c>
    </row>
    <row r="918" spans="1:6" x14ac:dyDescent="0.25">
      <c r="A918" t="s">
        <v>1938</v>
      </c>
      <c r="B918" s="18" t="str">
        <f>INDEX('Product Variant'!$B:$B,MATCH($A918,'Product Variant'!$A:$A,0))</f>
        <v>PRODUCT-00165</v>
      </c>
      <c r="C918" s="18" t="str">
        <f>INDEX(Product!$B:$B,MATCH($B918,Product!$A:$A,0))</f>
        <v>[Vitaltec] Ống mở khí quản 2 nòng không bóng, có cửa sổ - Rota-Trach</v>
      </c>
      <c r="D918" t="s">
        <v>2656</v>
      </c>
      <c r="E918" s="18" t="str">
        <f>INDEX('Attribute Definition'!$B:$B,MATCH($D918,'Attribute Definition'!$A:$A,0))</f>
        <v>Kích cỡ</v>
      </c>
      <c r="F918" s="34" t="s">
        <v>1169</v>
      </c>
    </row>
    <row r="919" spans="1:6" x14ac:dyDescent="0.25">
      <c r="A919" t="s">
        <v>1939</v>
      </c>
      <c r="B919" s="18" t="str">
        <f>INDEX('Product Variant'!$B:$B,MATCH($A919,'Product Variant'!$A:$A,0))</f>
        <v>PRODUCT-00166</v>
      </c>
      <c r="C919" s="18" t="str">
        <f>INDEX(Product!$B:$B,MATCH($B919,Product!$A:$A,0))</f>
        <v>[Vitaltec] Ống mở khí quản 2 nòng không bóng, không cửa sổ - Rota-Trach</v>
      </c>
      <c r="D919" t="s">
        <v>2411</v>
      </c>
      <c r="E919" s="18" t="str">
        <f>INDEX('Attribute Definition'!$B:$B,MATCH($D919,'Attribute Definition'!$A:$A,0))</f>
        <v>Số nòng / nhánh</v>
      </c>
      <c r="F919" s="34" t="s">
        <v>2571</v>
      </c>
    </row>
    <row r="920" spans="1:6" x14ac:dyDescent="0.25">
      <c r="A920" t="s">
        <v>1939</v>
      </c>
      <c r="B920" s="18" t="str">
        <f>INDEX('Product Variant'!$B:$B,MATCH($A920,'Product Variant'!$A:$A,0))</f>
        <v>PRODUCT-00166</v>
      </c>
      <c r="C920" s="18" t="str">
        <f>INDEX(Product!$B:$B,MATCH($B920,Product!$A:$A,0))</f>
        <v>[Vitaltec] Ống mở khí quản 2 nòng không bóng, không cửa sổ - Rota-Trach</v>
      </c>
      <c r="D920" t="s">
        <v>2416</v>
      </c>
      <c r="E920" s="18" t="str">
        <f>INDEX('Attribute Definition'!$B:$B,MATCH($D920,'Attribute Definition'!$A:$A,0))</f>
        <v>Bóng chèn</v>
      </c>
      <c r="F920" s="34" t="s">
        <v>2577</v>
      </c>
    </row>
    <row r="921" spans="1:6" x14ac:dyDescent="0.25">
      <c r="A921" t="s">
        <v>1939</v>
      </c>
      <c r="B921" s="18" t="str">
        <f>INDEX('Product Variant'!$B:$B,MATCH($A921,'Product Variant'!$A:$A,0))</f>
        <v>PRODUCT-00166</v>
      </c>
      <c r="C921" s="18" t="str">
        <f>INDEX(Product!$B:$B,MATCH($B921,Product!$A:$A,0))</f>
        <v>[Vitaltec] Ống mở khí quản 2 nòng không bóng, không cửa sổ - Rota-Trach</v>
      </c>
      <c r="D921" t="s">
        <v>2421</v>
      </c>
      <c r="E921" s="18" t="str">
        <f>INDEX('Attribute Definition'!$B:$B,MATCH($D921,'Attribute Definition'!$A:$A,0))</f>
        <v>Cửa sổ</v>
      </c>
      <c r="F921" s="34" t="s">
        <v>2582</v>
      </c>
    </row>
    <row r="922" spans="1:6" x14ac:dyDescent="0.25">
      <c r="A922" t="s">
        <v>1939</v>
      </c>
      <c r="B922" s="18" t="str">
        <f>INDEX('Product Variant'!$B:$B,MATCH($A922,'Product Variant'!$A:$A,0))</f>
        <v>PRODUCT-00166</v>
      </c>
      <c r="C922" s="18" t="str">
        <f>INDEX(Product!$B:$B,MATCH($B922,Product!$A:$A,0))</f>
        <v>[Vitaltec] Ống mở khí quản 2 nòng không bóng, không cửa sổ - Rota-Trach</v>
      </c>
      <c r="D922" t="s">
        <v>2471</v>
      </c>
      <c r="E922" s="18" t="str">
        <f>INDEX('Attribute Definition'!$B:$B,MATCH($D922,'Attribute Definition'!$A:$A,0))</f>
        <v>Dạng sản phẩm</v>
      </c>
      <c r="F922" s="34" t="s">
        <v>2574</v>
      </c>
    </row>
    <row r="923" spans="1:6" x14ac:dyDescent="0.25">
      <c r="A923" t="s">
        <v>1939</v>
      </c>
      <c r="B923" s="18" t="str">
        <f>INDEX('Product Variant'!$B:$B,MATCH($A923,'Product Variant'!$A:$A,0))</f>
        <v>PRODUCT-00166</v>
      </c>
      <c r="C923" s="18" t="str">
        <f>INDEX(Product!$B:$B,MATCH($B923,Product!$A:$A,0))</f>
        <v>[Vitaltec] Ống mở khí quản 2 nòng không bóng, không cửa sổ - Rota-Trach</v>
      </c>
      <c r="D923" t="s">
        <v>2656</v>
      </c>
      <c r="E923" s="18" t="str">
        <f>INDEX('Attribute Definition'!$B:$B,MATCH($D923,'Attribute Definition'!$A:$A,0))</f>
        <v>Kích cỡ</v>
      </c>
      <c r="F923" s="34" t="s">
        <v>1177</v>
      </c>
    </row>
    <row r="924" spans="1:6" x14ac:dyDescent="0.25">
      <c r="A924" t="s">
        <v>1940</v>
      </c>
      <c r="B924" s="18" t="str">
        <f>INDEX('Product Variant'!$B:$B,MATCH($A924,'Product Variant'!$A:$A,0))</f>
        <v>PRODUCT-00166</v>
      </c>
      <c r="C924" s="18" t="str">
        <f>INDEX(Product!$B:$B,MATCH($B924,Product!$A:$A,0))</f>
        <v>[Vitaltec] Ống mở khí quản 2 nòng không bóng, không cửa sổ - Rota-Trach</v>
      </c>
      <c r="D924" t="s">
        <v>2411</v>
      </c>
      <c r="E924" s="18" t="str">
        <f>INDEX('Attribute Definition'!$B:$B,MATCH($D924,'Attribute Definition'!$A:$A,0))</f>
        <v>Số nòng / nhánh</v>
      </c>
      <c r="F924" s="34" t="s">
        <v>2571</v>
      </c>
    </row>
    <row r="925" spans="1:6" x14ac:dyDescent="0.25">
      <c r="A925" t="s">
        <v>1940</v>
      </c>
      <c r="B925" s="18" t="str">
        <f>INDEX('Product Variant'!$B:$B,MATCH($A925,'Product Variant'!$A:$A,0))</f>
        <v>PRODUCT-00166</v>
      </c>
      <c r="C925" s="18" t="str">
        <f>INDEX(Product!$B:$B,MATCH($B925,Product!$A:$A,0))</f>
        <v>[Vitaltec] Ống mở khí quản 2 nòng không bóng, không cửa sổ - Rota-Trach</v>
      </c>
      <c r="D925" t="s">
        <v>2416</v>
      </c>
      <c r="E925" s="18" t="str">
        <f>INDEX('Attribute Definition'!$B:$B,MATCH($D925,'Attribute Definition'!$A:$A,0))</f>
        <v>Bóng chèn</v>
      </c>
      <c r="F925" s="34" t="s">
        <v>2577</v>
      </c>
    </row>
    <row r="926" spans="1:6" x14ac:dyDescent="0.25">
      <c r="A926" t="s">
        <v>1940</v>
      </c>
      <c r="B926" s="18" t="str">
        <f>INDEX('Product Variant'!$B:$B,MATCH($A926,'Product Variant'!$A:$A,0))</f>
        <v>PRODUCT-00166</v>
      </c>
      <c r="C926" s="18" t="str">
        <f>INDEX(Product!$B:$B,MATCH($B926,Product!$A:$A,0))</f>
        <v>[Vitaltec] Ống mở khí quản 2 nòng không bóng, không cửa sổ - Rota-Trach</v>
      </c>
      <c r="D926" t="s">
        <v>2421</v>
      </c>
      <c r="E926" s="18" t="str">
        <f>INDEX('Attribute Definition'!$B:$B,MATCH($D926,'Attribute Definition'!$A:$A,0))</f>
        <v>Cửa sổ</v>
      </c>
      <c r="F926" s="34" t="s">
        <v>2582</v>
      </c>
    </row>
    <row r="927" spans="1:6" x14ac:dyDescent="0.25">
      <c r="A927" t="s">
        <v>1940</v>
      </c>
      <c r="B927" s="18" t="str">
        <f>INDEX('Product Variant'!$B:$B,MATCH($A927,'Product Variant'!$A:$A,0))</f>
        <v>PRODUCT-00166</v>
      </c>
      <c r="C927" s="18" t="str">
        <f>INDEX(Product!$B:$B,MATCH($B927,Product!$A:$A,0))</f>
        <v>[Vitaltec] Ống mở khí quản 2 nòng không bóng, không cửa sổ - Rota-Trach</v>
      </c>
      <c r="D927" t="s">
        <v>2471</v>
      </c>
      <c r="E927" s="18" t="str">
        <f>INDEX('Attribute Definition'!$B:$B,MATCH($D927,'Attribute Definition'!$A:$A,0))</f>
        <v>Dạng sản phẩm</v>
      </c>
      <c r="F927" s="34" t="s">
        <v>2574</v>
      </c>
    </row>
    <row r="928" spans="1:6" x14ac:dyDescent="0.25">
      <c r="A928" t="s">
        <v>1940</v>
      </c>
      <c r="B928" s="18" t="str">
        <f>INDEX('Product Variant'!$B:$B,MATCH($A928,'Product Variant'!$A:$A,0))</f>
        <v>PRODUCT-00166</v>
      </c>
      <c r="C928" s="18" t="str">
        <f>INDEX(Product!$B:$B,MATCH($B928,Product!$A:$A,0))</f>
        <v>[Vitaltec] Ống mở khí quản 2 nòng không bóng, không cửa sổ - Rota-Trach</v>
      </c>
      <c r="D928" t="s">
        <v>2656</v>
      </c>
      <c r="E928" s="18" t="str">
        <f>INDEX('Attribute Definition'!$B:$B,MATCH($D928,'Attribute Definition'!$A:$A,0))</f>
        <v>Kích cỡ</v>
      </c>
      <c r="F928" s="34" t="s">
        <v>1169</v>
      </c>
    </row>
    <row r="929" spans="1:6" x14ac:dyDescent="0.25">
      <c r="A929" t="s">
        <v>1941</v>
      </c>
      <c r="B929" s="18" t="str">
        <f>INDEX('Product Variant'!$B:$B,MATCH($A929,'Product Variant'!$A:$A,0))</f>
        <v>PRODUCT-00167</v>
      </c>
      <c r="C929" s="18" t="str">
        <f>INDEX(Product!$B:$B,MATCH($B929,Product!$A:$A,0))</f>
        <v>[Yafho] Dây đai cố định ống mở khí quản (3.6cmx18cm / Xanh đậm)</v>
      </c>
      <c r="D929" t="s">
        <v>2342</v>
      </c>
      <c r="E929" s="18" t="str">
        <f>INDEX('Attribute Definition'!$B:$B,MATCH($D929,'Attribute Definition'!$A:$A,0))</f>
        <v>Kích thước</v>
      </c>
      <c r="F929" s="34" t="s">
        <v>2586</v>
      </c>
    </row>
    <row r="930" spans="1:6" x14ac:dyDescent="0.25">
      <c r="A930" t="s">
        <v>1941</v>
      </c>
      <c r="B930" s="18" t="str">
        <f>INDEX('Product Variant'!$B:$B,MATCH($A930,'Product Variant'!$A:$A,0))</f>
        <v>PRODUCT-00167</v>
      </c>
      <c r="C930" s="18" t="str">
        <f>INDEX(Product!$B:$B,MATCH($B930,Product!$A:$A,0))</f>
        <v>[Yafho] Dây đai cố định ống mở khí quản (3.6cmx18cm / Xanh đậm)</v>
      </c>
      <c r="D930" t="s">
        <v>2464</v>
      </c>
      <c r="E930" s="18" t="str">
        <f>INDEX('Attribute Definition'!$B:$B,MATCH($D930,'Attribute Definition'!$A:$A,0))</f>
        <v>Màu sắc</v>
      </c>
      <c r="F930" s="34" t="s">
        <v>2587</v>
      </c>
    </row>
    <row r="931" spans="1:6" x14ac:dyDescent="0.25">
      <c r="A931" t="s">
        <v>1941</v>
      </c>
      <c r="B931" s="18" t="str">
        <f>INDEX('Product Variant'!$B:$B,MATCH($A931,'Product Variant'!$A:$A,0))</f>
        <v>PRODUCT-00167</v>
      </c>
      <c r="C931" s="18" t="str">
        <f>INDEX(Product!$B:$B,MATCH($B931,Product!$A:$A,0))</f>
        <v>[Yafho] Dây đai cố định ống mở khí quản (3.6cmx18cm / Xanh đậm)</v>
      </c>
      <c r="D931" t="s">
        <v>2471</v>
      </c>
      <c r="E931" s="18" t="str">
        <f>INDEX('Attribute Definition'!$B:$B,MATCH($D931,'Attribute Definition'!$A:$A,0))</f>
        <v>Dạng sản phẩm</v>
      </c>
      <c r="F931" s="34" t="s">
        <v>2574</v>
      </c>
    </row>
    <row r="932" spans="1:6" x14ac:dyDescent="0.25">
      <c r="A932" t="s">
        <v>1942</v>
      </c>
      <c r="B932" s="18" t="str">
        <f>INDEX('Product Variant'!$B:$B,MATCH($A932,'Product Variant'!$A:$A,0))</f>
        <v>PRODUCT-00291</v>
      </c>
      <c r="C932" s="18" t="str">
        <f>INDEX(Product!$B:$B,MATCH($B932,Product!$A:$A,0))</f>
        <v>[Yafho] Dây đai cố định ống mở khí quản (2.5cmx33cm / Xanh nhạt)</v>
      </c>
      <c r="D932" t="s">
        <v>2342</v>
      </c>
      <c r="E932" s="18" t="str">
        <f>INDEX('Attribute Definition'!$B:$B,MATCH($D932,'Attribute Definition'!$A:$A,0))</f>
        <v>Kích thước</v>
      </c>
      <c r="F932" s="34" t="s">
        <v>2649</v>
      </c>
    </row>
    <row r="933" spans="1:6" x14ac:dyDescent="0.25">
      <c r="A933" t="s">
        <v>1942</v>
      </c>
      <c r="B933" s="18" t="str">
        <f>INDEX('Product Variant'!$B:$B,MATCH($A933,'Product Variant'!$A:$A,0))</f>
        <v>PRODUCT-00291</v>
      </c>
      <c r="C933" s="18" t="str">
        <f>INDEX(Product!$B:$B,MATCH($B933,Product!$A:$A,0))</f>
        <v>[Yafho] Dây đai cố định ống mở khí quản (2.5cmx33cm / Xanh nhạt)</v>
      </c>
      <c r="D933" t="s">
        <v>2464</v>
      </c>
      <c r="E933" s="18" t="str">
        <f>INDEX('Attribute Definition'!$B:$B,MATCH($D933,'Attribute Definition'!$A:$A,0))</f>
        <v>Màu sắc</v>
      </c>
      <c r="F933" s="34" t="s">
        <v>2650</v>
      </c>
    </row>
    <row r="934" spans="1:6" x14ac:dyDescent="0.25">
      <c r="A934" t="s">
        <v>1942</v>
      </c>
      <c r="B934" s="18" t="str">
        <f>INDEX('Product Variant'!$B:$B,MATCH($A934,'Product Variant'!$A:$A,0))</f>
        <v>PRODUCT-00291</v>
      </c>
      <c r="C934" s="18" t="str">
        <f>INDEX(Product!$B:$B,MATCH($B934,Product!$A:$A,0))</f>
        <v>[Yafho] Dây đai cố định ống mở khí quản (2.5cmx33cm / Xanh nhạt)</v>
      </c>
      <c r="D934" t="s">
        <v>2471</v>
      </c>
      <c r="E934" s="18" t="str">
        <f>INDEX('Attribute Definition'!$B:$B,MATCH($D934,'Attribute Definition'!$A:$A,0))</f>
        <v>Dạng sản phẩm</v>
      </c>
      <c r="F934" s="34" t="s">
        <v>2574</v>
      </c>
    </row>
    <row r="935" spans="1:6" x14ac:dyDescent="0.25">
      <c r="A935" t="s">
        <v>1943</v>
      </c>
      <c r="B935" s="18" t="str">
        <f>INDEX('Product Variant'!$B:$B,MATCH($A935,'Product Variant'!$A:$A,0))</f>
        <v>PRODUCT-00292</v>
      </c>
      <c r="C935" s="18" t="str">
        <f>INDEX(Product!$B:$B,MATCH($B935,Product!$A:$A,0))</f>
        <v>[Yafho] Dây đai cố định ống mở khí quản (43cmx2.5cm)</v>
      </c>
      <c r="D935" t="s">
        <v>2342</v>
      </c>
      <c r="E935" s="18" t="str">
        <f>INDEX('Attribute Definition'!$B:$B,MATCH($D935,'Attribute Definition'!$A:$A,0))</f>
        <v>Kích thước</v>
      </c>
      <c r="F935" s="34" t="s">
        <v>2651</v>
      </c>
    </row>
    <row r="936" spans="1:6" x14ac:dyDescent="0.25">
      <c r="A936" t="s">
        <v>1943</v>
      </c>
      <c r="B936" s="18" t="str">
        <f>INDEX('Product Variant'!$B:$B,MATCH($A936,'Product Variant'!$A:$A,0))</f>
        <v>PRODUCT-00292</v>
      </c>
      <c r="C936" s="18" t="str">
        <f>INDEX(Product!$B:$B,MATCH($B936,Product!$A:$A,0))</f>
        <v>[Yafho] Dây đai cố định ống mở khí quản (43cmx2.5cm)</v>
      </c>
      <c r="D936" t="s">
        <v>2471</v>
      </c>
      <c r="E936" s="18" t="str">
        <f>INDEX('Attribute Definition'!$B:$B,MATCH($D936,'Attribute Definition'!$A:$A,0))</f>
        <v>Dạng sản phẩm</v>
      </c>
      <c r="F936" s="34" t="s">
        <v>2574</v>
      </c>
    </row>
    <row r="937" spans="1:6" x14ac:dyDescent="0.25">
      <c r="A937" t="s">
        <v>1944</v>
      </c>
      <c r="B937" s="18" t="str">
        <f>INDEX('Product Variant'!$B:$B,MATCH($A937,'Product Variant'!$A:$A,0))</f>
        <v>PRODUCT-00293</v>
      </c>
      <c r="C937" s="18" t="str">
        <f>INDEX(Product!$B:$B,MATCH($B937,Product!$A:$A,0))</f>
        <v>[Yafho] Dây đai cố định ống mở khí quản (45cmx3.5cm)</v>
      </c>
      <c r="D937" t="s">
        <v>2342</v>
      </c>
      <c r="E937" s="18" t="str">
        <f>INDEX('Attribute Definition'!$B:$B,MATCH($D937,'Attribute Definition'!$A:$A,0))</f>
        <v>Kích thước</v>
      </c>
      <c r="F937" s="34" t="s">
        <v>2652</v>
      </c>
    </row>
    <row r="938" spans="1:6" x14ac:dyDescent="0.25">
      <c r="A938" t="s">
        <v>1944</v>
      </c>
      <c r="B938" s="18" t="str">
        <f>INDEX('Product Variant'!$B:$B,MATCH($A938,'Product Variant'!$A:$A,0))</f>
        <v>PRODUCT-00293</v>
      </c>
      <c r="C938" s="18" t="str">
        <f>INDEX(Product!$B:$B,MATCH($B938,Product!$A:$A,0))</f>
        <v>[Yafho] Dây đai cố định ống mở khí quản (45cmx3.5cm)</v>
      </c>
      <c r="D938" t="s">
        <v>2471</v>
      </c>
      <c r="E938" s="18" t="str">
        <f>INDEX('Attribute Definition'!$B:$B,MATCH($D938,'Attribute Definition'!$A:$A,0))</f>
        <v>Dạng sản phẩm</v>
      </c>
      <c r="F938" s="34" t="s">
        <v>2574</v>
      </c>
    </row>
    <row r="939" spans="1:6" x14ac:dyDescent="0.25">
      <c r="A939" t="s">
        <v>1945</v>
      </c>
      <c r="B939" s="18" t="str">
        <f>INDEX('Product Variant'!$B:$B,MATCH($A939,'Product Variant'!$A:$A,0))</f>
        <v>PRODUCT-00168</v>
      </c>
      <c r="C939" s="18" t="str">
        <f>INDEX(Product!$B:$B,MATCH($B939,Product!$A:$A,0))</f>
        <v>[Yafho] Dụng cụ cố định ống nội khí quản</v>
      </c>
      <c r="D939" t="s">
        <v>2471</v>
      </c>
      <c r="E939" s="18" t="str">
        <f>INDEX('Attribute Definition'!$B:$B,MATCH($D939,'Attribute Definition'!$A:$A,0))</f>
        <v>Dạng sản phẩm</v>
      </c>
      <c r="F939" s="34" t="s">
        <v>2561</v>
      </c>
    </row>
    <row r="940" spans="1:6" x14ac:dyDescent="0.25">
      <c r="A940" t="s">
        <v>1946</v>
      </c>
      <c r="B940" s="18" t="str">
        <f>INDEX('Product Variant'!$B:$B,MATCH($A940,'Product Variant'!$A:$A,0))</f>
        <v>PRODUCT-00169</v>
      </c>
      <c r="C940" s="18" t="str">
        <f>INDEX(Product!$B:$B,MATCH($B940,Product!$A:$A,0))</f>
        <v>[Yafho] Dụng cụ cố định ống nội khí quản chống cắn</v>
      </c>
      <c r="D940" t="s">
        <v>2471</v>
      </c>
      <c r="E940" s="18" t="str">
        <f>INDEX('Attribute Definition'!$B:$B,MATCH($D940,'Attribute Definition'!$A:$A,0))</f>
        <v>Dạng sản phẩm</v>
      </c>
      <c r="F940" s="34" t="s">
        <v>2561</v>
      </c>
    </row>
    <row r="941" spans="1:6" x14ac:dyDescent="0.25">
      <c r="A941" t="s">
        <v>1947</v>
      </c>
      <c r="B941" s="18" t="str">
        <f>INDEX('Product Variant'!$B:$B,MATCH($A941,'Product Variant'!$A:$A,0))</f>
        <v>PRODUCT-00170</v>
      </c>
      <c r="C941" s="18" t="str">
        <f>INDEX(Product!$B:$B,MATCH($B941,Product!$A:$A,0))</f>
        <v>[Yuwell] Máy hút dịch 1 bình - 7E-A</v>
      </c>
      <c r="D941" t="s">
        <v>2471</v>
      </c>
      <c r="E941" s="18" t="str">
        <f>INDEX('Attribute Definition'!$B:$B,MATCH($D941,'Attribute Definition'!$A:$A,0))</f>
        <v>Dạng sản phẩm</v>
      </c>
      <c r="F941" s="34" t="s">
        <v>2481</v>
      </c>
    </row>
    <row r="942" spans="1:6" x14ac:dyDescent="0.25">
      <c r="A942" t="s">
        <v>1948</v>
      </c>
      <c r="B942" s="18" t="str">
        <f>INDEX('Product Variant'!$B:$B,MATCH($A942,'Product Variant'!$A:$A,0))</f>
        <v>PRODUCT-00173</v>
      </c>
      <c r="C942" s="18" t="str">
        <f>INDEX(Product!$B:$B,MATCH($B942,Product!$A:$A,0))</f>
        <v>[Abbott] Bộ cảm biến đo đường huyết - FreeStyle Libre Flash Glucose Monitoring Sensor</v>
      </c>
      <c r="D942" t="s">
        <v>2467</v>
      </c>
      <c r="E942" s="18" t="str">
        <f>INDEX('Attribute Definition'!$B:$B,MATCH($D942,'Attribute Definition'!$A:$A,0))</f>
        <v>Chỉ số đo</v>
      </c>
      <c r="F942" s="34" t="s">
        <v>2588</v>
      </c>
    </row>
    <row r="943" spans="1:6" x14ac:dyDescent="0.25">
      <c r="A943" t="s">
        <v>1948</v>
      </c>
      <c r="B943" s="18" t="str">
        <f>INDEX('Product Variant'!$B:$B,MATCH($A943,'Product Variant'!$A:$A,0))</f>
        <v>PRODUCT-00173</v>
      </c>
      <c r="C943" s="18" t="str">
        <f>INDEX(Product!$B:$B,MATCH($B943,Product!$A:$A,0))</f>
        <v>[Abbott] Bộ cảm biến đo đường huyết - FreeStyle Libre Flash Glucose Monitoring Sensor</v>
      </c>
      <c r="D943" t="s">
        <v>2471</v>
      </c>
      <c r="E943" s="18" t="str">
        <f>INDEX('Attribute Definition'!$B:$B,MATCH($D943,'Attribute Definition'!$A:$A,0))</f>
        <v>Dạng sản phẩm</v>
      </c>
      <c r="F943" s="34" t="s">
        <v>2589</v>
      </c>
    </row>
    <row r="944" spans="1:6" x14ac:dyDescent="0.25">
      <c r="A944" t="s">
        <v>1949</v>
      </c>
      <c r="B944" s="18" t="str">
        <f>INDEX('Product Variant'!$B:$B,MATCH($A944,'Product Variant'!$A:$A,0))</f>
        <v>PRODUCT-00174</v>
      </c>
      <c r="C944" s="18" t="str">
        <f>INDEX(Product!$B:$B,MATCH($B944,Product!$A:$A,0))</f>
        <v>[Abbott] Máy đo đường huyết liên tục - FreeStyle Libre 2</v>
      </c>
      <c r="D944" t="s">
        <v>2429</v>
      </c>
      <c r="E944" s="18" t="str">
        <f>INDEX('Attribute Definition'!$B:$B,MATCH($D944,'Attribute Definition'!$A:$A,0))</f>
        <v>Kết nối</v>
      </c>
      <c r="F944" s="34" t="s">
        <v>2590</v>
      </c>
    </row>
    <row r="945" spans="1:6" x14ac:dyDescent="0.25">
      <c r="A945" t="s">
        <v>1949</v>
      </c>
      <c r="B945" s="18" t="str">
        <f>INDEX('Product Variant'!$B:$B,MATCH($A945,'Product Variant'!$A:$A,0))</f>
        <v>PRODUCT-00174</v>
      </c>
      <c r="C945" s="18" t="str">
        <f>INDEX(Product!$B:$B,MATCH($B945,Product!$A:$A,0))</f>
        <v>[Abbott] Máy đo đường huyết liên tục - FreeStyle Libre 2</v>
      </c>
      <c r="D945" t="s">
        <v>2467</v>
      </c>
      <c r="E945" s="18" t="str">
        <f>INDEX('Attribute Definition'!$B:$B,MATCH($D945,'Attribute Definition'!$A:$A,0))</f>
        <v>Chỉ số đo</v>
      </c>
      <c r="F945" s="34" t="s">
        <v>2588</v>
      </c>
    </row>
    <row r="946" spans="1:6" x14ac:dyDescent="0.25">
      <c r="A946" t="s">
        <v>1949</v>
      </c>
      <c r="B946" s="18" t="str">
        <f>INDEX('Product Variant'!$B:$B,MATCH($A946,'Product Variant'!$A:$A,0))</f>
        <v>PRODUCT-00174</v>
      </c>
      <c r="C946" s="18" t="str">
        <f>INDEX(Product!$B:$B,MATCH($B946,Product!$A:$A,0))</f>
        <v>[Abbott] Máy đo đường huyết liên tục - FreeStyle Libre 2</v>
      </c>
      <c r="D946" t="s">
        <v>2471</v>
      </c>
      <c r="E946" s="18" t="str">
        <f>INDEX('Attribute Definition'!$B:$B,MATCH($D946,'Attribute Definition'!$A:$A,0))</f>
        <v>Dạng sản phẩm</v>
      </c>
      <c r="F946" s="34" t="s">
        <v>2481</v>
      </c>
    </row>
    <row r="947" spans="1:6" x14ac:dyDescent="0.25">
      <c r="A947" t="s">
        <v>1950</v>
      </c>
      <c r="B947" s="18" t="str">
        <f>INDEX('Product Variant'!$B:$B,MATCH($A947,'Product Variant'!$A:$A,0))</f>
        <v>PRODUCT-00175</v>
      </c>
      <c r="C947" s="18" t="str">
        <f>INDEX(Product!$B:$B,MATCH($B947,Product!$A:$A,0))</f>
        <v>[Acon] Máy đo đường huyết - On Call Plus</v>
      </c>
      <c r="D947" t="s">
        <v>2467</v>
      </c>
      <c r="E947" s="18" t="str">
        <f>INDEX('Attribute Definition'!$B:$B,MATCH($D947,'Attribute Definition'!$A:$A,0))</f>
        <v>Chỉ số đo</v>
      </c>
      <c r="F947" s="34" t="s">
        <v>2588</v>
      </c>
    </row>
    <row r="948" spans="1:6" x14ac:dyDescent="0.25">
      <c r="A948" t="s">
        <v>1950</v>
      </c>
      <c r="B948" s="18" t="str">
        <f>INDEX('Product Variant'!$B:$B,MATCH($A948,'Product Variant'!$A:$A,0))</f>
        <v>PRODUCT-00175</v>
      </c>
      <c r="C948" s="18" t="str">
        <f>INDEX(Product!$B:$B,MATCH($B948,Product!$A:$A,0))</f>
        <v>[Acon] Máy đo đường huyết - On Call Plus</v>
      </c>
      <c r="D948" t="s">
        <v>2471</v>
      </c>
      <c r="E948" s="18" t="str">
        <f>INDEX('Attribute Definition'!$B:$B,MATCH($D948,'Attribute Definition'!$A:$A,0))</f>
        <v>Dạng sản phẩm</v>
      </c>
      <c r="F948" s="34" t="s">
        <v>2481</v>
      </c>
    </row>
    <row r="949" spans="1:6" x14ac:dyDescent="0.25">
      <c r="A949" t="s">
        <v>1951</v>
      </c>
      <c r="B949" s="18" t="str">
        <f>INDEX('Product Variant'!$B:$B,MATCH($A949,'Product Variant'!$A:$A,0))</f>
        <v>PRODUCT-00176</v>
      </c>
      <c r="C949" s="18" t="str">
        <f>INDEX(Product!$B:$B,MATCH($B949,Product!$A:$A,0))</f>
        <v>[Acon] Que thử đường huyết - On Call Plus</v>
      </c>
      <c r="D949" t="s">
        <v>2467</v>
      </c>
      <c r="E949" s="18" t="str">
        <f>INDEX('Attribute Definition'!$B:$B,MATCH($D949,'Attribute Definition'!$A:$A,0))</f>
        <v>Chỉ số đo</v>
      </c>
      <c r="F949" s="34" t="s">
        <v>2588</v>
      </c>
    </row>
    <row r="950" spans="1:6" x14ac:dyDescent="0.25">
      <c r="A950" t="s">
        <v>1951</v>
      </c>
      <c r="B950" s="18" t="str">
        <f>INDEX('Product Variant'!$B:$B,MATCH($A950,'Product Variant'!$A:$A,0))</f>
        <v>PRODUCT-00176</v>
      </c>
      <c r="C950" s="18" t="str">
        <f>INDEX(Product!$B:$B,MATCH($B950,Product!$A:$A,0))</f>
        <v>[Acon] Que thử đường huyết - On Call Plus</v>
      </c>
      <c r="D950" t="s">
        <v>2471</v>
      </c>
      <c r="E950" s="18" t="str">
        <f>INDEX('Attribute Definition'!$B:$B,MATCH($D950,'Attribute Definition'!$A:$A,0))</f>
        <v>Dạng sản phẩm</v>
      </c>
      <c r="F950" s="34" t="s">
        <v>2293</v>
      </c>
    </row>
    <row r="951" spans="1:6" x14ac:dyDescent="0.25">
      <c r="A951" t="s">
        <v>1952</v>
      </c>
      <c r="B951" s="18" t="str">
        <f>INDEX('Product Variant'!$B:$B,MATCH($A951,'Product Variant'!$A:$A,0))</f>
        <v>PRODUCT-00177</v>
      </c>
      <c r="C951" s="18" t="str">
        <f>INDEX(Product!$B:$B,MATCH($B951,Product!$A:$A,0))</f>
        <v>[iMedicare] Máy đo huyết áp bắp tay - iBPM-6S</v>
      </c>
      <c r="D951" t="s">
        <v>2439</v>
      </c>
      <c r="E951" s="18" t="str">
        <f>INDEX('Attribute Definition'!$B:$B,MATCH($D951,'Attribute Definition'!$A:$A,0))</f>
        <v>Vị trí sử dụng trên cơ thể</v>
      </c>
      <c r="F951" s="34" t="s">
        <v>2591</v>
      </c>
    </row>
    <row r="952" spans="1:6" x14ac:dyDescent="0.25">
      <c r="A952" t="s">
        <v>1952</v>
      </c>
      <c r="B952" s="18" t="str">
        <f>INDEX('Product Variant'!$B:$B,MATCH($A952,'Product Variant'!$A:$A,0))</f>
        <v>PRODUCT-00177</v>
      </c>
      <c r="C952" s="18" t="str">
        <f>INDEX(Product!$B:$B,MATCH($B952,Product!$A:$A,0))</f>
        <v>[iMedicare] Máy đo huyết áp bắp tay - iBPM-6S</v>
      </c>
      <c r="D952" t="s">
        <v>2467</v>
      </c>
      <c r="E952" s="18" t="str">
        <f>INDEX('Attribute Definition'!$B:$B,MATCH($D952,'Attribute Definition'!$A:$A,0))</f>
        <v>Chỉ số đo</v>
      </c>
      <c r="F952" s="34" t="s">
        <v>2592</v>
      </c>
    </row>
    <row r="953" spans="1:6" x14ac:dyDescent="0.25">
      <c r="A953" t="s">
        <v>1952</v>
      </c>
      <c r="B953" s="18" t="str">
        <f>INDEX('Product Variant'!$B:$B,MATCH($A953,'Product Variant'!$A:$A,0))</f>
        <v>PRODUCT-00177</v>
      </c>
      <c r="C953" s="18" t="str">
        <f>INDEX(Product!$B:$B,MATCH($B953,Product!$A:$A,0))</f>
        <v>[iMedicare] Máy đo huyết áp bắp tay - iBPM-6S</v>
      </c>
      <c r="D953" t="s">
        <v>2471</v>
      </c>
      <c r="E953" s="18" t="str">
        <f>INDEX('Attribute Definition'!$B:$B,MATCH($D953,'Attribute Definition'!$A:$A,0))</f>
        <v>Dạng sản phẩm</v>
      </c>
      <c r="F953" s="34" t="s">
        <v>2481</v>
      </c>
    </row>
    <row r="954" spans="1:6" x14ac:dyDescent="0.25">
      <c r="A954" t="s">
        <v>1953</v>
      </c>
      <c r="B954" s="18" t="str">
        <f>INDEX('Product Variant'!$B:$B,MATCH($A954,'Product Variant'!$A:$A,0))</f>
        <v>PRODUCT-00178</v>
      </c>
      <c r="C954" s="18" t="str">
        <f>INDEX(Product!$B:$B,MATCH($B954,Product!$A:$A,0))</f>
        <v>[iMedicare] Máy đo SPO2 - iOM-A6</v>
      </c>
      <c r="D954" t="s">
        <v>2467</v>
      </c>
      <c r="E954" s="18" t="str">
        <f>INDEX('Attribute Definition'!$B:$B,MATCH($D954,'Attribute Definition'!$A:$A,0))</f>
        <v>Chỉ số đo</v>
      </c>
      <c r="F954" s="34" t="s">
        <v>2593</v>
      </c>
    </row>
    <row r="955" spans="1:6" x14ac:dyDescent="0.25">
      <c r="A955" t="s">
        <v>1953</v>
      </c>
      <c r="B955" s="18" t="str">
        <f>INDEX('Product Variant'!$B:$B,MATCH($A955,'Product Variant'!$A:$A,0))</f>
        <v>PRODUCT-00178</v>
      </c>
      <c r="C955" s="18" t="str">
        <f>INDEX(Product!$B:$B,MATCH($B955,Product!$A:$A,0))</f>
        <v>[iMedicare] Máy đo SPO2 - iOM-A6</v>
      </c>
      <c r="D955" t="s">
        <v>2471</v>
      </c>
      <c r="E955" s="18" t="str">
        <f>INDEX('Attribute Definition'!$B:$B,MATCH($D955,'Attribute Definition'!$A:$A,0))</f>
        <v>Dạng sản phẩm</v>
      </c>
      <c r="F955" s="34" t="s">
        <v>2481</v>
      </c>
    </row>
    <row r="956" spans="1:6" x14ac:dyDescent="0.25">
      <c r="A956" t="s">
        <v>1954</v>
      </c>
      <c r="B956" s="18" t="str">
        <f>INDEX('Product Variant'!$B:$B,MATCH($A956,'Product Variant'!$A:$A,0))</f>
        <v>PRODUCT-00179</v>
      </c>
      <c r="C956" s="18" t="str">
        <f>INDEX(Product!$B:$B,MATCH($B956,Product!$A:$A,0))</f>
        <v>[iMedicare] Nhiệt kế hồng ngoại - iTM-32A</v>
      </c>
      <c r="D956" t="s">
        <v>2467</v>
      </c>
      <c r="E956" s="18" t="str">
        <f>INDEX('Attribute Definition'!$B:$B,MATCH($D956,'Attribute Definition'!$A:$A,0))</f>
        <v>Chỉ số đo</v>
      </c>
      <c r="F956" s="34" t="s">
        <v>2594</v>
      </c>
    </row>
    <row r="957" spans="1:6" x14ac:dyDescent="0.25">
      <c r="A957" t="s">
        <v>1954</v>
      </c>
      <c r="B957" s="18" t="str">
        <f>INDEX('Product Variant'!$B:$B,MATCH($A957,'Product Variant'!$A:$A,0))</f>
        <v>PRODUCT-00179</v>
      </c>
      <c r="C957" s="18" t="str">
        <f>INDEX(Product!$B:$B,MATCH($B957,Product!$A:$A,0))</f>
        <v>[iMedicare] Nhiệt kế hồng ngoại - iTM-32A</v>
      </c>
      <c r="D957" t="s">
        <v>2471</v>
      </c>
      <c r="E957" s="18" t="str">
        <f>INDEX('Attribute Definition'!$B:$B,MATCH($D957,'Attribute Definition'!$A:$A,0))</f>
        <v>Dạng sản phẩm</v>
      </c>
      <c r="F957" s="34" t="s">
        <v>2481</v>
      </c>
    </row>
    <row r="958" spans="1:6" x14ac:dyDescent="0.25">
      <c r="A958" t="s">
        <v>1955</v>
      </c>
      <c r="B958" s="18" t="str">
        <f>INDEX('Product Variant'!$B:$B,MATCH($A958,'Product Variant'!$A:$A,0))</f>
        <v>PRODUCT-00180</v>
      </c>
      <c r="C958" s="18" t="str">
        <f>INDEX(Product!$B:$B,MATCH($B958,Product!$A:$A,0))</f>
        <v>[IN4 Care] Máy đo đường huyết, mỡ máu, gút 3 trong 1 - GlucoAlpha</v>
      </c>
      <c r="D958" t="s">
        <v>2467</v>
      </c>
      <c r="E958" s="18" t="str">
        <f>INDEX('Attribute Definition'!$B:$B,MATCH($D958,'Attribute Definition'!$A:$A,0))</f>
        <v>Chỉ số đo</v>
      </c>
      <c r="F958" s="34" t="s">
        <v>2595</v>
      </c>
    </row>
    <row r="959" spans="1:6" x14ac:dyDescent="0.25">
      <c r="A959" t="s">
        <v>1955</v>
      </c>
      <c r="B959" s="18" t="str">
        <f>INDEX('Product Variant'!$B:$B,MATCH($A959,'Product Variant'!$A:$A,0))</f>
        <v>PRODUCT-00180</v>
      </c>
      <c r="C959" s="18" t="str">
        <f>INDEX(Product!$B:$B,MATCH($B959,Product!$A:$A,0))</f>
        <v>[IN4 Care] Máy đo đường huyết, mỡ máu, gút 3 trong 1 - GlucoAlpha</v>
      </c>
      <c r="D959" t="s">
        <v>2471</v>
      </c>
      <c r="E959" s="18" t="str">
        <f>INDEX('Attribute Definition'!$B:$B,MATCH($D959,'Attribute Definition'!$A:$A,0))</f>
        <v>Dạng sản phẩm</v>
      </c>
      <c r="F959" s="34" t="s">
        <v>2481</v>
      </c>
    </row>
    <row r="960" spans="1:6" x14ac:dyDescent="0.25">
      <c r="A960" t="s">
        <v>1956</v>
      </c>
      <c r="B960" s="18" t="str">
        <f>INDEX('Product Variant'!$B:$B,MATCH($A960,'Product Variant'!$A:$A,0))</f>
        <v>PRODUCT-00181</v>
      </c>
      <c r="C960" s="18" t="str">
        <f>INDEX(Product!$B:$B,MATCH($B960,Product!$A:$A,0))</f>
        <v>[IN4 Care] Que thử axit uric (gút) cho máy 3 trong 1 - GlucoAlpha</v>
      </c>
      <c r="D960" t="s">
        <v>2467</v>
      </c>
      <c r="E960" s="18" t="str">
        <f>INDEX('Attribute Definition'!$B:$B,MATCH($D960,'Attribute Definition'!$A:$A,0))</f>
        <v>Chỉ số đo</v>
      </c>
      <c r="F960" s="34" t="s">
        <v>2596</v>
      </c>
    </row>
    <row r="961" spans="1:6" x14ac:dyDescent="0.25">
      <c r="A961" t="s">
        <v>1956</v>
      </c>
      <c r="B961" s="18" t="str">
        <f>INDEX('Product Variant'!$B:$B,MATCH($A961,'Product Variant'!$A:$A,0))</f>
        <v>PRODUCT-00181</v>
      </c>
      <c r="C961" s="18" t="str">
        <f>INDEX(Product!$B:$B,MATCH($B961,Product!$A:$A,0))</f>
        <v>[IN4 Care] Que thử axit uric (gút) cho máy 3 trong 1 - GlucoAlpha</v>
      </c>
      <c r="D961" t="s">
        <v>2471</v>
      </c>
      <c r="E961" s="18" t="str">
        <f>INDEX('Attribute Definition'!$B:$B,MATCH($D961,'Attribute Definition'!$A:$A,0))</f>
        <v>Dạng sản phẩm</v>
      </c>
      <c r="F961" s="34" t="s">
        <v>2293</v>
      </c>
    </row>
    <row r="962" spans="1:6" x14ac:dyDescent="0.25">
      <c r="A962" t="s">
        <v>1957</v>
      </c>
      <c r="B962" s="18" t="str">
        <f>INDEX('Product Variant'!$B:$B,MATCH($A962,'Product Variant'!$A:$A,0))</f>
        <v>PRODUCT-00182</v>
      </c>
      <c r="C962" s="18" t="str">
        <f>INDEX(Product!$B:$B,MATCH($B962,Product!$A:$A,0))</f>
        <v>[IN4 Care] Que thử cholesterol cho máy 3 trong 1 - GlucoAlpha</v>
      </c>
      <c r="D962" t="s">
        <v>2467</v>
      </c>
      <c r="E962" s="18" t="str">
        <f>INDEX('Attribute Definition'!$B:$B,MATCH($D962,'Attribute Definition'!$A:$A,0))</f>
        <v>Chỉ số đo</v>
      </c>
      <c r="F962" s="34" t="s">
        <v>2597</v>
      </c>
    </row>
    <row r="963" spans="1:6" x14ac:dyDescent="0.25">
      <c r="A963" t="s">
        <v>1957</v>
      </c>
      <c r="B963" s="18" t="str">
        <f>INDEX('Product Variant'!$B:$B,MATCH($A963,'Product Variant'!$A:$A,0))</f>
        <v>PRODUCT-00182</v>
      </c>
      <c r="C963" s="18" t="str">
        <f>INDEX(Product!$B:$B,MATCH($B963,Product!$A:$A,0))</f>
        <v>[IN4 Care] Que thử cholesterol cho máy 3 trong 1 - GlucoAlpha</v>
      </c>
      <c r="D963" t="s">
        <v>2471</v>
      </c>
      <c r="E963" s="18" t="str">
        <f>INDEX('Attribute Definition'!$B:$B,MATCH($D963,'Attribute Definition'!$A:$A,0))</f>
        <v>Dạng sản phẩm</v>
      </c>
      <c r="F963" s="34" t="s">
        <v>2293</v>
      </c>
    </row>
    <row r="964" spans="1:6" x14ac:dyDescent="0.25">
      <c r="A964" t="s">
        <v>1958</v>
      </c>
      <c r="B964" s="18" t="str">
        <f>INDEX('Product Variant'!$B:$B,MATCH($A964,'Product Variant'!$A:$A,0))</f>
        <v>PRODUCT-00183</v>
      </c>
      <c r="C964" s="18" t="str">
        <f>INDEX(Product!$B:$B,MATCH($B964,Product!$A:$A,0))</f>
        <v>[IN4 Care] Que thử đường huyết cho máy 3 trong 1 - GlucoAlpha</v>
      </c>
      <c r="D964" t="s">
        <v>2467</v>
      </c>
      <c r="E964" s="18" t="str">
        <f>INDEX('Attribute Definition'!$B:$B,MATCH($D964,'Attribute Definition'!$A:$A,0))</f>
        <v>Chỉ số đo</v>
      </c>
      <c r="F964" s="34" t="s">
        <v>2588</v>
      </c>
    </row>
    <row r="965" spans="1:6" x14ac:dyDescent="0.25">
      <c r="A965" t="s">
        <v>1958</v>
      </c>
      <c r="B965" s="18" t="str">
        <f>INDEX('Product Variant'!$B:$B,MATCH($A965,'Product Variant'!$A:$A,0))</f>
        <v>PRODUCT-00183</v>
      </c>
      <c r="C965" s="18" t="str">
        <f>INDEX(Product!$B:$B,MATCH($B965,Product!$A:$A,0))</f>
        <v>[IN4 Care] Que thử đường huyết cho máy 3 trong 1 - GlucoAlpha</v>
      </c>
      <c r="D965" t="s">
        <v>2471</v>
      </c>
      <c r="E965" s="18" t="str">
        <f>INDEX('Attribute Definition'!$B:$B,MATCH($D965,'Attribute Definition'!$A:$A,0))</f>
        <v>Dạng sản phẩm</v>
      </c>
      <c r="F965" s="34" t="s">
        <v>2293</v>
      </c>
    </row>
    <row r="966" spans="1:6" x14ac:dyDescent="0.25">
      <c r="A966" t="s">
        <v>1959</v>
      </c>
      <c r="B966" s="18" t="str">
        <f>INDEX('Product Variant'!$B:$B,MATCH($A966,'Product Variant'!$A:$A,0))</f>
        <v>PRODUCT-00184</v>
      </c>
      <c r="C966" s="18" t="str">
        <f>INDEX(Product!$B:$B,MATCH($B966,Product!$A:$A,0))</f>
        <v>[Jumper] Máy đo nồng độ oxy trong máu và nhịp tim SPO2 - JPD-500D</v>
      </c>
      <c r="D966" t="s">
        <v>2467</v>
      </c>
      <c r="E966" s="18" t="str">
        <f>INDEX('Attribute Definition'!$B:$B,MATCH($D966,'Attribute Definition'!$A:$A,0))</f>
        <v>Chỉ số đo</v>
      </c>
      <c r="F966" s="34" t="s">
        <v>2593</v>
      </c>
    </row>
    <row r="967" spans="1:6" x14ac:dyDescent="0.25">
      <c r="A967" t="s">
        <v>1959</v>
      </c>
      <c r="B967" s="18" t="str">
        <f>INDEX('Product Variant'!$B:$B,MATCH($A967,'Product Variant'!$A:$A,0))</f>
        <v>PRODUCT-00184</v>
      </c>
      <c r="C967" s="18" t="str">
        <f>INDEX(Product!$B:$B,MATCH($B967,Product!$A:$A,0))</f>
        <v>[Jumper] Máy đo nồng độ oxy trong máu và nhịp tim SPO2 - JPD-500D</v>
      </c>
      <c r="D967" t="s">
        <v>2471</v>
      </c>
      <c r="E967" s="18" t="str">
        <f>INDEX('Attribute Definition'!$B:$B,MATCH($D967,'Attribute Definition'!$A:$A,0))</f>
        <v>Dạng sản phẩm</v>
      </c>
      <c r="F967" s="34" t="s">
        <v>2481</v>
      </c>
    </row>
    <row r="968" spans="1:6" x14ac:dyDescent="0.25">
      <c r="A968" t="s">
        <v>1960</v>
      </c>
      <c r="B968" s="18" t="str">
        <f>INDEX('Product Variant'!$B:$B,MATCH($A968,'Product Variant'!$A:$A,0))</f>
        <v>PRODUCT-00185</v>
      </c>
      <c r="C968" s="18" t="str">
        <f>INDEX(Product!$B:$B,MATCH($B968,Product!$A:$A,0))</f>
        <v>[Jumper] Máy đo tim thai cá nhân - Cody Health JPD-100E</v>
      </c>
      <c r="D968" t="s">
        <v>2467</v>
      </c>
      <c r="E968" s="18" t="str">
        <f>INDEX('Attribute Definition'!$B:$B,MATCH($D968,'Attribute Definition'!$A:$A,0))</f>
        <v>Chỉ số đo</v>
      </c>
      <c r="F968" s="34" t="s">
        <v>2598</v>
      </c>
    </row>
    <row r="969" spans="1:6" x14ac:dyDescent="0.25">
      <c r="A969" t="s">
        <v>1960</v>
      </c>
      <c r="B969" s="18" t="str">
        <f>INDEX('Product Variant'!$B:$B,MATCH($A969,'Product Variant'!$A:$A,0))</f>
        <v>PRODUCT-00185</v>
      </c>
      <c r="C969" s="18" t="str">
        <f>INDEX(Product!$B:$B,MATCH($B969,Product!$A:$A,0))</f>
        <v>[Jumper] Máy đo tim thai cá nhân - Cody Health JPD-100E</v>
      </c>
      <c r="D969" t="s">
        <v>2471</v>
      </c>
      <c r="E969" s="18" t="str">
        <f>INDEX('Attribute Definition'!$B:$B,MATCH($D969,'Attribute Definition'!$A:$A,0))</f>
        <v>Dạng sản phẩm</v>
      </c>
      <c r="F969" s="34" t="s">
        <v>2481</v>
      </c>
    </row>
    <row r="970" spans="1:6" x14ac:dyDescent="0.25">
      <c r="A970" t="s">
        <v>1961</v>
      </c>
      <c r="B970" s="18" t="str">
        <f>INDEX('Product Variant'!$B:$B,MATCH($A970,'Product Variant'!$A:$A,0))</f>
        <v>PRODUCT-00186</v>
      </c>
      <c r="C970" s="18" t="str">
        <f>INDEX(Product!$B:$B,MATCH($B970,Product!$A:$A,0))</f>
        <v>[Medtronic] Bộ truyền tín hiệu kết nối cảm biến CGM và máy bơm insulin - Guardian™ Link 3 Transmitter (640g)</v>
      </c>
      <c r="D970" t="s">
        <v>2471</v>
      </c>
      <c r="E970" s="18" t="str">
        <f>INDEX('Attribute Definition'!$B:$B,MATCH($D970,'Attribute Definition'!$A:$A,0))</f>
        <v>Dạng sản phẩm</v>
      </c>
      <c r="F970" s="34" t="s">
        <v>2589</v>
      </c>
    </row>
    <row r="971" spans="1:6" x14ac:dyDescent="0.25">
      <c r="A971" t="s">
        <v>1962</v>
      </c>
      <c r="B971" s="18" t="str">
        <f>INDEX('Product Variant'!$B:$B,MATCH($A971,'Product Variant'!$A:$A,0))</f>
        <v>PRODUCT-00187</v>
      </c>
      <c r="C971" s="18" t="str">
        <f>INDEX(Product!$B:$B,MATCH($B971,Product!$A:$A,0))</f>
        <v>[Medtronic] Cảm biến hệ thống đo đường huyết liên tục CGM - Guardian™ Sensor 3</v>
      </c>
      <c r="D971" t="s">
        <v>2467</v>
      </c>
      <c r="E971" s="18" t="str">
        <f>INDEX('Attribute Definition'!$B:$B,MATCH($D971,'Attribute Definition'!$A:$A,0))</f>
        <v>Chỉ số đo</v>
      </c>
      <c r="F971" s="34" t="s">
        <v>2588</v>
      </c>
    </row>
    <row r="972" spans="1:6" x14ac:dyDescent="0.25">
      <c r="A972" t="s">
        <v>1962</v>
      </c>
      <c r="B972" s="18" t="str">
        <f>INDEX('Product Variant'!$B:$B,MATCH($A972,'Product Variant'!$A:$A,0))</f>
        <v>PRODUCT-00187</v>
      </c>
      <c r="C972" s="18" t="str">
        <f>INDEX(Product!$B:$B,MATCH($B972,Product!$A:$A,0))</f>
        <v>[Medtronic] Cảm biến hệ thống đo đường huyết liên tục CGM - Guardian™ Sensor 3</v>
      </c>
      <c r="D972" t="s">
        <v>2471</v>
      </c>
      <c r="E972" s="18" t="str">
        <f>INDEX('Attribute Definition'!$B:$B,MATCH($D972,'Attribute Definition'!$A:$A,0))</f>
        <v>Dạng sản phẩm</v>
      </c>
      <c r="F972" s="34" t="s">
        <v>2589</v>
      </c>
    </row>
    <row r="973" spans="1:6" x14ac:dyDescent="0.25">
      <c r="A973" t="s">
        <v>1963</v>
      </c>
      <c r="B973" s="18" t="str">
        <f>INDEX('Product Variant'!$B:$B,MATCH($A973,'Product Variant'!$A:$A,0))</f>
        <v>PRODUCT-00188</v>
      </c>
      <c r="C973" s="18" t="str">
        <f>INDEX(Product!$B:$B,MATCH($B973,Product!$A:$A,0))</f>
        <v>[Medtronic] Hệ thống đo đường huyết liên tục CGM - GUARDIAN™ CONNECT</v>
      </c>
      <c r="D973" t="s">
        <v>2467</v>
      </c>
      <c r="E973" s="18" t="str">
        <f>INDEX('Attribute Definition'!$B:$B,MATCH($D973,'Attribute Definition'!$A:$A,0))</f>
        <v>Chỉ số đo</v>
      </c>
      <c r="F973" s="34" t="s">
        <v>2588</v>
      </c>
    </row>
    <row r="974" spans="1:6" x14ac:dyDescent="0.25">
      <c r="A974" t="s">
        <v>1963</v>
      </c>
      <c r="B974" s="18" t="str">
        <f>INDEX('Product Variant'!$B:$B,MATCH($A974,'Product Variant'!$A:$A,0))</f>
        <v>PRODUCT-00188</v>
      </c>
      <c r="C974" s="18" t="str">
        <f>INDEX(Product!$B:$B,MATCH($B974,Product!$A:$A,0))</f>
        <v>[Medtronic] Hệ thống đo đường huyết liên tục CGM - GUARDIAN™ CONNECT</v>
      </c>
      <c r="D974" t="s">
        <v>2471</v>
      </c>
      <c r="E974" s="18" t="str">
        <f>INDEX('Attribute Definition'!$B:$B,MATCH($D974,'Attribute Definition'!$A:$A,0))</f>
        <v>Dạng sản phẩm</v>
      </c>
      <c r="F974" s="34" t="s">
        <v>2481</v>
      </c>
    </row>
    <row r="975" spans="1:6" x14ac:dyDescent="0.25">
      <c r="A975" t="s">
        <v>1964</v>
      </c>
      <c r="B975" s="18" t="str">
        <f>INDEX('Product Variant'!$B:$B,MATCH($A975,'Product Variant'!$A:$A,0))</f>
        <v>PRODUCT-00189</v>
      </c>
      <c r="C975" s="18" t="str">
        <f>INDEX(Product!$B:$B,MATCH($B975,Product!$A:$A,0))</f>
        <v>[Omron] Cân sức khỏe điện tử - HN-289</v>
      </c>
      <c r="D975" t="s">
        <v>2467</v>
      </c>
      <c r="E975" s="18" t="str">
        <f>INDEX('Attribute Definition'!$B:$B,MATCH($D975,'Attribute Definition'!$A:$A,0))</f>
        <v>Chỉ số đo</v>
      </c>
      <c r="F975" s="34" t="s">
        <v>2599</v>
      </c>
    </row>
    <row r="976" spans="1:6" x14ac:dyDescent="0.25">
      <c r="A976" t="s">
        <v>1964</v>
      </c>
      <c r="B976" s="18" t="str">
        <f>INDEX('Product Variant'!$B:$B,MATCH($A976,'Product Variant'!$A:$A,0))</f>
        <v>PRODUCT-00189</v>
      </c>
      <c r="C976" s="18" t="str">
        <f>INDEX(Product!$B:$B,MATCH($B976,Product!$A:$A,0))</f>
        <v>[Omron] Cân sức khỏe điện tử - HN-289</v>
      </c>
      <c r="D976" t="s">
        <v>2471</v>
      </c>
      <c r="E976" s="18" t="str">
        <f>INDEX('Attribute Definition'!$B:$B,MATCH($D976,'Attribute Definition'!$A:$A,0))</f>
        <v>Dạng sản phẩm</v>
      </c>
      <c r="F976" s="34" t="s">
        <v>2481</v>
      </c>
    </row>
    <row r="977" spans="1:6" x14ac:dyDescent="0.25">
      <c r="A977" t="s">
        <v>1965</v>
      </c>
      <c r="B977" s="18" t="str">
        <f>INDEX('Product Variant'!$B:$B,MATCH($A977,'Product Variant'!$A:$A,0))</f>
        <v>PRODUCT-00190</v>
      </c>
      <c r="C977" s="18" t="str">
        <f>INDEX(Product!$B:$B,MATCH($B977,Product!$A:$A,0))</f>
        <v>[Omron] Máy cân đo chỉ số cơ thể - BodySCAN™ HBF-224</v>
      </c>
      <c r="D977" t="s">
        <v>2467</v>
      </c>
      <c r="E977" s="18" t="str">
        <f>INDEX('Attribute Definition'!$B:$B,MATCH($D977,'Attribute Definition'!$A:$A,0))</f>
        <v>Chỉ số đo</v>
      </c>
      <c r="F977" s="34" t="s">
        <v>2600</v>
      </c>
    </row>
    <row r="978" spans="1:6" x14ac:dyDescent="0.25">
      <c r="A978" t="s">
        <v>1965</v>
      </c>
      <c r="B978" s="18" t="str">
        <f>INDEX('Product Variant'!$B:$B,MATCH($A978,'Product Variant'!$A:$A,0))</f>
        <v>PRODUCT-00190</v>
      </c>
      <c r="C978" s="18" t="str">
        <f>INDEX(Product!$B:$B,MATCH($B978,Product!$A:$A,0))</f>
        <v>[Omron] Máy cân đo chỉ số cơ thể - BodySCAN™ HBF-224</v>
      </c>
      <c r="D978" t="s">
        <v>2471</v>
      </c>
      <c r="E978" s="18" t="str">
        <f>INDEX('Attribute Definition'!$B:$B,MATCH($D978,'Attribute Definition'!$A:$A,0))</f>
        <v>Dạng sản phẩm</v>
      </c>
      <c r="F978" s="34" t="s">
        <v>2481</v>
      </c>
    </row>
    <row r="979" spans="1:6" x14ac:dyDescent="0.25">
      <c r="A979" t="s">
        <v>1966</v>
      </c>
      <c r="B979" s="18" t="str">
        <f>INDEX('Product Variant'!$B:$B,MATCH($A979,'Product Variant'!$A:$A,0))</f>
        <v>PRODUCT-00191</v>
      </c>
      <c r="C979" s="18" t="str">
        <f>INDEX(Product!$B:$B,MATCH($B979,Product!$A:$A,0))</f>
        <v>[Omron] Máy đo huyết áp bắp tay - JPN600</v>
      </c>
      <c r="D979" t="s">
        <v>2439</v>
      </c>
      <c r="E979" s="18" t="str">
        <f>INDEX('Attribute Definition'!$B:$B,MATCH($D979,'Attribute Definition'!$A:$A,0))</f>
        <v>Vị trí sử dụng trên cơ thể</v>
      </c>
      <c r="F979" s="34" t="s">
        <v>2591</v>
      </c>
    </row>
    <row r="980" spans="1:6" x14ac:dyDescent="0.25">
      <c r="A980" t="s">
        <v>1966</v>
      </c>
      <c r="B980" s="18" t="str">
        <f>INDEX('Product Variant'!$B:$B,MATCH($A980,'Product Variant'!$A:$A,0))</f>
        <v>PRODUCT-00191</v>
      </c>
      <c r="C980" s="18" t="str">
        <f>INDEX(Product!$B:$B,MATCH($B980,Product!$A:$A,0))</f>
        <v>[Omron] Máy đo huyết áp bắp tay - JPN600</v>
      </c>
      <c r="D980" t="s">
        <v>2467</v>
      </c>
      <c r="E980" s="18" t="str">
        <f>INDEX('Attribute Definition'!$B:$B,MATCH($D980,'Attribute Definition'!$A:$A,0))</f>
        <v>Chỉ số đo</v>
      </c>
      <c r="F980" s="34" t="s">
        <v>2592</v>
      </c>
    </row>
    <row r="981" spans="1:6" x14ac:dyDescent="0.25">
      <c r="A981" t="s">
        <v>1966</v>
      </c>
      <c r="B981" s="18" t="str">
        <f>INDEX('Product Variant'!$B:$B,MATCH($A981,'Product Variant'!$A:$A,0))</f>
        <v>PRODUCT-00191</v>
      </c>
      <c r="C981" s="18" t="str">
        <f>INDEX(Product!$B:$B,MATCH($B981,Product!$A:$A,0))</f>
        <v>[Omron] Máy đo huyết áp bắp tay - JPN600</v>
      </c>
      <c r="D981" t="s">
        <v>2471</v>
      </c>
      <c r="E981" s="18" t="str">
        <f>INDEX('Attribute Definition'!$B:$B,MATCH($D981,'Attribute Definition'!$A:$A,0))</f>
        <v>Dạng sản phẩm</v>
      </c>
      <c r="F981" s="34" t="s">
        <v>2481</v>
      </c>
    </row>
    <row r="982" spans="1:6" x14ac:dyDescent="0.25">
      <c r="A982" t="s">
        <v>1967</v>
      </c>
      <c r="B982" s="18" t="str">
        <f>INDEX('Product Variant'!$B:$B,MATCH($A982,'Product Variant'!$A:$A,0))</f>
        <v>PRODUCT-00192</v>
      </c>
      <c r="C982" s="18" t="str">
        <f>INDEX(Product!$B:$B,MATCH($B982,Product!$A:$A,0))</f>
        <v>[Omron] Máy đo huyết áp bắp tay - JPN750</v>
      </c>
      <c r="D982" t="s">
        <v>2439</v>
      </c>
      <c r="E982" s="18" t="str">
        <f>INDEX('Attribute Definition'!$B:$B,MATCH($D982,'Attribute Definition'!$A:$A,0))</f>
        <v>Vị trí sử dụng trên cơ thể</v>
      </c>
      <c r="F982" s="34" t="s">
        <v>2591</v>
      </c>
    </row>
    <row r="983" spans="1:6" x14ac:dyDescent="0.25">
      <c r="A983" t="s">
        <v>1967</v>
      </c>
      <c r="B983" s="18" t="str">
        <f>INDEX('Product Variant'!$B:$B,MATCH($A983,'Product Variant'!$A:$A,0))</f>
        <v>PRODUCT-00192</v>
      </c>
      <c r="C983" s="18" t="str">
        <f>INDEX(Product!$B:$B,MATCH($B983,Product!$A:$A,0))</f>
        <v>[Omron] Máy đo huyết áp bắp tay - JPN750</v>
      </c>
      <c r="D983" t="s">
        <v>2467</v>
      </c>
      <c r="E983" s="18" t="str">
        <f>INDEX('Attribute Definition'!$B:$B,MATCH($D983,'Attribute Definition'!$A:$A,0))</f>
        <v>Chỉ số đo</v>
      </c>
      <c r="F983" s="34" t="s">
        <v>2592</v>
      </c>
    </row>
    <row r="984" spans="1:6" x14ac:dyDescent="0.25">
      <c r="A984" t="s">
        <v>1967</v>
      </c>
      <c r="B984" s="18" t="str">
        <f>INDEX('Product Variant'!$B:$B,MATCH($A984,'Product Variant'!$A:$A,0))</f>
        <v>PRODUCT-00192</v>
      </c>
      <c r="C984" s="18" t="str">
        <f>INDEX(Product!$B:$B,MATCH($B984,Product!$A:$A,0))</f>
        <v>[Omron] Máy đo huyết áp bắp tay - JPN750</v>
      </c>
      <c r="D984" t="s">
        <v>2471</v>
      </c>
      <c r="E984" s="18" t="str">
        <f>INDEX('Attribute Definition'!$B:$B,MATCH($D984,'Attribute Definition'!$A:$A,0))</f>
        <v>Dạng sản phẩm</v>
      </c>
      <c r="F984" s="34" t="s">
        <v>2481</v>
      </c>
    </row>
    <row r="985" spans="1:6" x14ac:dyDescent="0.25">
      <c r="A985" t="s">
        <v>1968</v>
      </c>
      <c r="B985" s="18" t="str">
        <f>INDEX('Product Variant'!$B:$B,MATCH($A985,'Product Variant'!$A:$A,0))</f>
        <v>PRODUCT-00193</v>
      </c>
      <c r="C985" s="18" t="str">
        <f>INDEX(Product!$B:$B,MATCH($B985,Product!$A:$A,0))</f>
        <v>[Omron] Máy đo huyết áp bắp tay kết nối Bluetooth - HEM-7156T</v>
      </c>
      <c r="D985" t="s">
        <v>2429</v>
      </c>
      <c r="E985" s="18" t="str">
        <f>INDEX('Attribute Definition'!$B:$B,MATCH($D985,'Attribute Definition'!$A:$A,0))</f>
        <v>Kết nối</v>
      </c>
      <c r="F985" s="34" t="s">
        <v>2590</v>
      </c>
    </row>
    <row r="986" spans="1:6" x14ac:dyDescent="0.25">
      <c r="A986" t="s">
        <v>1968</v>
      </c>
      <c r="B986" s="18" t="str">
        <f>INDEX('Product Variant'!$B:$B,MATCH($A986,'Product Variant'!$A:$A,0))</f>
        <v>PRODUCT-00193</v>
      </c>
      <c r="C986" s="18" t="str">
        <f>INDEX(Product!$B:$B,MATCH($B986,Product!$A:$A,0))</f>
        <v>[Omron] Máy đo huyết áp bắp tay kết nối Bluetooth - HEM-7156T</v>
      </c>
      <c r="D986" t="s">
        <v>2439</v>
      </c>
      <c r="E986" s="18" t="str">
        <f>INDEX('Attribute Definition'!$B:$B,MATCH($D986,'Attribute Definition'!$A:$A,0))</f>
        <v>Vị trí sử dụng trên cơ thể</v>
      </c>
      <c r="F986" s="34" t="s">
        <v>2591</v>
      </c>
    </row>
    <row r="987" spans="1:6" x14ac:dyDescent="0.25">
      <c r="A987" t="s">
        <v>1968</v>
      </c>
      <c r="B987" s="18" t="str">
        <f>INDEX('Product Variant'!$B:$B,MATCH($A987,'Product Variant'!$A:$A,0))</f>
        <v>PRODUCT-00193</v>
      </c>
      <c r="C987" s="18" t="str">
        <f>INDEX(Product!$B:$B,MATCH($B987,Product!$A:$A,0))</f>
        <v>[Omron] Máy đo huyết áp bắp tay kết nối Bluetooth - HEM-7156T</v>
      </c>
      <c r="D987" t="s">
        <v>2467</v>
      </c>
      <c r="E987" s="18" t="str">
        <f>INDEX('Attribute Definition'!$B:$B,MATCH($D987,'Attribute Definition'!$A:$A,0))</f>
        <v>Chỉ số đo</v>
      </c>
      <c r="F987" s="34" t="s">
        <v>2592</v>
      </c>
    </row>
    <row r="988" spans="1:6" x14ac:dyDescent="0.25">
      <c r="A988" t="s">
        <v>1968</v>
      </c>
      <c r="B988" s="18" t="str">
        <f>INDEX('Product Variant'!$B:$B,MATCH($A988,'Product Variant'!$A:$A,0))</f>
        <v>PRODUCT-00193</v>
      </c>
      <c r="C988" s="18" t="str">
        <f>INDEX(Product!$B:$B,MATCH($B988,Product!$A:$A,0))</f>
        <v>[Omron] Máy đo huyết áp bắp tay kết nối Bluetooth - HEM-7156T</v>
      </c>
      <c r="D988" t="s">
        <v>2471</v>
      </c>
      <c r="E988" s="18" t="str">
        <f>INDEX('Attribute Definition'!$B:$B,MATCH($D988,'Attribute Definition'!$A:$A,0))</f>
        <v>Dạng sản phẩm</v>
      </c>
      <c r="F988" s="34" t="s">
        <v>2481</v>
      </c>
    </row>
    <row r="989" spans="1:6" x14ac:dyDescent="0.25">
      <c r="A989" t="s">
        <v>1969</v>
      </c>
      <c r="B989" s="18" t="str">
        <f>INDEX('Product Variant'!$B:$B,MATCH($A989,'Product Variant'!$A:$A,0))</f>
        <v>PRODUCT-00194</v>
      </c>
      <c r="C989" s="18" t="str">
        <f>INDEX(Product!$B:$B,MATCH($B989,Product!$A:$A,0))</f>
        <v>[Omron] Máy đo huyết áp bắp tay tự động - HEM-7156</v>
      </c>
      <c r="D989" t="s">
        <v>2439</v>
      </c>
      <c r="E989" s="18" t="str">
        <f>INDEX('Attribute Definition'!$B:$B,MATCH($D989,'Attribute Definition'!$A:$A,0))</f>
        <v>Vị trí sử dụng trên cơ thể</v>
      </c>
      <c r="F989" s="34" t="s">
        <v>2591</v>
      </c>
    </row>
    <row r="990" spans="1:6" x14ac:dyDescent="0.25">
      <c r="A990" t="s">
        <v>1969</v>
      </c>
      <c r="B990" s="18" t="str">
        <f>INDEX('Product Variant'!$B:$B,MATCH($A990,'Product Variant'!$A:$A,0))</f>
        <v>PRODUCT-00194</v>
      </c>
      <c r="C990" s="18" t="str">
        <f>INDEX(Product!$B:$B,MATCH($B990,Product!$A:$A,0))</f>
        <v>[Omron] Máy đo huyết áp bắp tay tự động - HEM-7156</v>
      </c>
      <c r="D990" t="s">
        <v>2467</v>
      </c>
      <c r="E990" s="18" t="str">
        <f>INDEX('Attribute Definition'!$B:$B,MATCH($D990,'Attribute Definition'!$A:$A,0))</f>
        <v>Chỉ số đo</v>
      </c>
      <c r="F990" s="34" t="s">
        <v>2592</v>
      </c>
    </row>
    <row r="991" spans="1:6" x14ac:dyDescent="0.25">
      <c r="A991" t="s">
        <v>1969</v>
      </c>
      <c r="B991" s="18" t="str">
        <f>INDEX('Product Variant'!$B:$B,MATCH($A991,'Product Variant'!$A:$A,0))</f>
        <v>PRODUCT-00194</v>
      </c>
      <c r="C991" s="18" t="str">
        <f>INDEX(Product!$B:$B,MATCH($B991,Product!$A:$A,0))</f>
        <v>[Omron] Máy đo huyết áp bắp tay tự động - HEM-7156</v>
      </c>
      <c r="D991" t="s">
        <v>2471</v>
      </c>
      <c r="E991" s="18" t="str">
        <f>INDEX('Attribute Definition'!$B:$B,MATCH($D991,'Attribute Definition'!$A:$A,0))</f>
        <v>Dạng sản phẩm</v>
      </c>
      <c r="F991" s="34" t="s">
        <v>2481</v>
      </c>
    </row>
    <row r="992" spans="1:6" x14ac:dyDescent="0.25">
      <c r="A992" t="s">
        <v>1970</v>
      </c>
      <c r="B992" s="18" t="str">
        <f>INDEX('Product Variant'!$B:$B,MATCH($A992,'Product Variant'!$A:$A,0))</f>
        <v>PRODUCT-00195</v>
      </c>
      <c r="C992" s="18" t="str">
        <f>INDEX(Product!$B:$B,MATCH($B992,Product!$A:$A,0))</f>
        <v>[Omron] Máy đo huyết áp tự động - HEM-7180 (EZ Lite)</v>
      </c>
      <c r="D992" t="s">
        <v>2467</v>
      </c>
      <c r="E992" s="18" t="str">
        <f>INDEX('Attribute Definition'!$B:$B,MATCH($D992,'Attribute Definition'!$A:$A,0))</f>
        <v>Chỉ số đo</v>
      </c>
      <c r="F992" s="34" t="s">
        <v>2592</v>
      </c>
    </row>
    <row r="993" spans="1:6" x14ac:dyDescent="0.25">
      <c r="A993" t="s">
        <v>1970</v>
      </c>
      <c r="B993" s="18" t="str">
        <f>INDEX('Product Variant'!$B:$B,MATCH($A993,'Product Variant'!$A:$A,0))</f>
        <v>PRODUCT-00195</v>
      </c>
      <c r="C993" s="18" t="str">
        <f>INDEX(Product!$B:$B,MATCH($B993,Product!$A:$A,0))</f>
        <v>[Omron] Máy đo huyết áp tự động - HEM-7180 (EZ Lite)</v>
      </c>
      <c r="D993" t="s">
        <v>2471</v>
      </c>
      <c r="E993" s="18" t="str">
        <f>INDEX('Attribute Definition'!$B:$B,MATCH($D993,'Attribute Definition'!$A:$A,0))</f>
        <v>Dạng sản phẩm</v>
      </c>
      <c r="F993" s="34" t="s">
        <v>2481</v>
      </c>
    </row>
    <row r="994" spans="1:6" x14ac:dyDescent="0.25">
      <c r="A994" t="s">
        <v>1971</v>
      </c>
      <c r="B994" s="18" t="str">
        <f>INDEX('Product Variant'!$B:$B,MATCH($A994,'Product Variant'!$A:$A,0))</f>
        <v>PRODUCT-00196</v>
      </c>
      <c r="C994" s="18" t="str">
        <f>INDEX(Product!$B:$B,MATCH($B994,Product!$A:$A,0))</f>
        <v>[Omron] Máy đo huyết áp tự động kết nối Bluetooth - HEM-7142T1</v>
      </c>
      <c r="D994" t="s">
        <v>2429</v>
      </c>
      <c r="E994" s="18" t="str">
        <f>INDEX('Attribute Definition'!$B:$B,MATCH($D994,'Attribute Definition'!$A:$A,0))</f>
        <v>Kết nối</v>
      </c>
      <c r="F994" s="34" t="s">
        <v>2590</v>
      </c>
    </row>
    <row r="995" spans="1:6" x14ac:dyDescent="0.25">
      <c r="A995" t="s">
        <v>1971</v>
      </c>
      <c r="B995" s="18" t="str">
        <f>INDEX('Product Variant'!$B:$B,MATCH($A995,'Product Variant'!$A:$A,0))</f>
        <v>PRODUCT-00196</v>
      </c>
      <c r="C995" s="18" t="str">
        <f>INDEX(Product!$B:$B,MATCH($B995,Product!$A:$A,0))</f>
        <v>[Omron] Máy đo huyết áp tự động kết nối Bluetooth - HEM-7142T1</v>
      </c>
      <c r="D995" t="s">
        <v>2467</v>
      </c>
      <c r="E995" s="18" t="str">
        <f>INDEX('Attribute Definition'!$B:$B,MATCH($D995,'Attribute Definition'!$A:$A,0))</f>
        <v>Chỉ số đo</v>
      </c>
      <c r="F995" s="34" t="s">
        <v>2592</v>
      </c>
    </row>
    <row r="996" spans="1:6" x14ac:dyDescent="0.25">
      <c r="A996" t="s">
        <v>1971</v>
      </c>
      <c r="B996" s="18" t="str">
        <f>INDEX('Product Variant'!$B:$B,MATCH($A996,'Product Variant'!$A:$A,0))</f>
        <v>PRODUCT-00196</v>
      </c>
      <c r="C996" s="18" t="str">
        <f>INDEX(Product!$B:$B,MATCH($B996,Product!$A:$A,0))</f>
        <v>[Omron] Máy đo huyết áp tự động kết nối Bluetooth - HEM-7142T1</v>
      </c>
      <c r="D996" t="s">
        <v>2471</v>
      </c>
      <c r="E996" s="18" t="str">
        <f>INDEX('Attribute Definition'!$B:$B,MATCH($D996,'Attribute Definition'!$A:$A,0))</f>
        <v>Dạng sản phẩm</v>
      </c>
      <c r="F996" s="34" t="s">
        <v>2481</v>
      </c>
    </row>
    <row r="997" spans="1:6" x14ac:dyDescent="0.25">
      <c r="A997" t="s">
        <v>1972</v>
      </c>
      <c r="B997" s="18" t="str">
        <f>INDEX('Product Variant'!$B:$B,MATCH($A997,'Product Variant'!$A:$A,0))</f>
        <v>PRODUCT-00197</v>
      </c>
      <c r="C997" s="18" t="str">
        <f>INDEX(Product!$B:$B,MATCH($B997,Product!$A:$A,0))</f>
        <v>[Omron] Máy đo huyết áp tự động kết nối Bluetooth - HEM-7142T2</v>
      </c>
      <c r="D997" t="s">
        <v>2429</v>
      </c>
      <c r="E997" s="18" t="str">
        <f>INDEX('Attribute Definition'!$B:$B,MATCH($D997,'Attribute Definition'!$A:$A,0))</f>
        <v>Kết nối</v>
      </c>
      <c r="F997" s="34" t="s">
        <v>2590</v>
      </c>
    </row>
    <row r="998" spans="1:6" x14ac:dyDescent="0.25">
      <c r="A998" t="s">
        <v>1972</v>
      </c>
      <c r="B998" s="18" t="str">
        <f>INDEX('Product Variant'!$B:$B,MATCH($A998,'Product Variant'!$A:$A,0))</f>
        <v>PRODUCT-00197</v>
      </c>
      <c r="C998" s="18" t="str">
        <f>INDEX(Product!$B:$B,MATCH($B998,Product!$A:$A,0))</f>
        <v>[Omron] Máy đo huyết áp tự động kết nối Bluetooth - HEM-7142T2</v>
      </c>
      <c r="D998" t="s">
        <v>2467</v>
      </c>
      <c r="E998" s="18" t="str">
        <f>INDEX('Attribute Definition'!$B:$B,MATCH($D998,'Attribute Definition'!$A:$A,0))</f>
        <v>Chỉ số đo</v>
      </c>
      <c r="F998" s="34" t="s">
        <v>2592</v>
      </c>
    </row>
    <row r="999" spans="1:6" x14ac:dyDescent="0.25">
      <c r="A999" t="s">
        <v>1972</v>
      </c>
      <c r="B999" s="18" t="str">
        <f>INDEX('Product Variant'!$B:$B,MATCH($A999,'Product Variant'!$A:$A,0))</f>
        <v>PRODUCT-00197</v>
      </c>
      <c r="C999" s="18" t="str">
        <f>INDEX(Product!$B:$B,MATCH($B999,Product!$A:$A,0))</f>
        <v>[Omron] Máy đo huyết áp tự động kết nối Bluetooth - HEM-7142T2</v>
      </c>
      <c r="D999" t="s">
        <v>2471</v>
      </c>
      <c r="E999" s="18" t="str">
        <f>INDEX('Attribute Definition'!$B:$B,MATCH($D999,'Attribute Definition'!$A:$A,0))</f>
        <v>Dạng sản phẩm</v>
      </c>
      <c r="F999" s="34" t="s">
        <v>2481</v>
      </c>
    </row>
    <row r="1000" spans="1:6" x14ac:dyDescent="0.25">
      <c r="A1000" t="s">
        <v>1973</v>
      </c>
      <c r="B1000" s="18" t="str">
        <f>INDEX('Product Variant'!$B:$B,MATCH($A1000,'Product Variant'!$A:$A,0))</f>
        <v>PRODUCT-00198</v>
      </c>
      <c r="C1000" s="18" t="str">
        <f>INDEX(Product!$B:$B,MATCH($B1000,Product!$A:$A,0))</f>
        <v>[Omron] Máy đo huyết áp tự động kết nối Bluetooth - HEM-7143T1</v>
      </c>
      <c r="D1000" t="s">
        <v>2429</v>
      </c>
      <c r="E1000" s="18" t="str">
        <f>INDEX('Attribute Definition'!$B:$B,MATCH($D1000,'Attribute Definition'!$A:$A,0))</f>
        <v>Kết nối</v>
      </c>
      <c r="F1000" s="34" t="s">
        <v>2590</v>
      </c>
    </row>
    <row r="1001" spans="1:6" x14ac:dyDescent="0.25">
      <c r="A1001" t="s">
        <v>1973</v>
      </c>
      <c r="B1001" s="18" t="str">
        <f>INDEX('Product Variant'!$B:$B,MATCH($A1001,'Product Variant'!$A:$A,0))</f>
        <v>PRODUCT-00198</v>
      </c>
      <c r="C1001" s="18" t="str">
        <f>INDEX(Product!$B:$B,MATCH($B1001,Product!$A:$A,0))</f>
        <v>[Omron] Máy đo huyết áp tự động kết nối Bluetooth - HEM-7143T1</v>
      </c>
      <c r="D1001" t="s">
        <v>2467</v>
      </c>
      <c r="E1001" s="18" t="str">
        <f>INDEX('Attribute Definition'!$B:$B,MATCH($D1001,'Attribute Definition'!$A:$A,0))</f>
        <v>Chỉ số đo</v>
      </c>
      <c r="F1001" s="34" t="s">
        <v>2592</v>
      </c>
    </row>
    <row r="1002" spans="1:6" x14ac:dyDescent="0.25">
      <c r="A1002" t="s">
        <v>1973</v>
      </c>
      <c r="B1002" s="18" t="str">
        <f>INDEX('Product Variant'!$B:$B,MATCH($A1002,'Product Variant'!$A:$A,0))</f>
        <v>PRODUCT-00198</v>
      </c>
      <c r="C1002" s="18" t="str">
        <f>INDEX(Product!$B:$B,MATCH($B1002,Product!$A:$A,0))</f>
        <v>[Omron] Máy đo huyết áp tự động kết nối Bluetooth - HEM-7143T1</v>
      </c>
      <c r="D1002" t="s">
        <v>2471</v>
      </c>
      <c r="E1002" s="18" t="str">
        <f>INDEX('Attribute Definition'!$B:$B,MATCH($D1002,'Attribute Definition'!$A:$A,0))</f>
        <v>Dạng sản phẩm</v>
      </c>
      <c r="F1002" s="34" t="s">
        <v>2481</v>
      </c>
    </row>
    <row r="1003" spans="1:6" x14ac:dyDescent="0.25">
      <c r="A1003" t="s">
        <v>1974</v>
      </c>
      <c r="B1003" s="18" t="str">
        <f>INDEX('Product Variant'!$B:$B,MATCH($A1003,'Product Variant'!$A:$A,0))</f>
        <v>PRODUCT-00199</v>
      </c>
      <c r="C1003" s="18" t="str">
        <f>INDEX(Product!$B:$B,MATCH($B1003,Product!$A:$A,0))</f>
        <v>[Omron] Máy đo thành phần cơ thể - HBF-375</v>
      </c>
      <c r="D1003" t="s">
        <v>2467</v>
      </c>
      <c r="E1003" s="18" t="str">
        <f>INDEX('Attribute Definition'!$B:$B,MATCH($D1003,'Attribute Definition'!$A:$A,0))</f>
        <v>Chỉ số đo</v>
      </c>
      <c r="F1003" s="34" t="s">
        <v>2600</v>
      </c>
    </row>
    <row r="1004" spans="1:6" x14ac:dyDescent="0.25">
      <c r="A1004" t="s">
        <v>1974</v>
      </c>
      <c r="B1004" s="18" t="str">
        <f>INDEX('Product Variant'!$B:$B,MATCH($A1004,'Product Variant'!$A:$A,0))</f>
        <v>PRODUCT-00199</v>
      </c>
      <c r="C1004" s="18" t="str">
        <f>INDEX(Product!$B:$B,MATCH($B1004,Product!$A:$A,0))</f>
        <v>[Omron] Máy đo thành phần cơ thể - HBF-375</v>
      </c>
      <c r="D1004" t="s">
        <v>2471</v>
      </c>
      <c r="E1004" s="18" t="str">
        <f>INDEX('Attribute Definition'!$B:$B,MATCH($D1004,'Attribute Definition'!$A:$A,0))</f>
        <v>Dạng sản phẩm</v>
      </c>
      <c r="F1004" s="34" t="s">
        <v>2481</v>
      </c>
    </row>
    <row r="1005" spans="1:6" x14ac:dyDescent="0.25">
      <c r="A1005" t="s">
        <v>1975</v>
      </c>
      <c r="B1005" s="18" t="str">
        <f>INDEX('Product Variant'!$B:$B,MATCH($A1005,'Product Variant'!$A:$A,0))</f>
        <v>PRODUCT-00200</v>
      </c>
      <c r="C1005" s="18" t="str">
        <f>INDEX(Product!$B:$B,MATCH($B1005,Product!$A:$A,0))</f>
        <v>[Omron] Nhiệt kế điện tử - MC-246</v>
      </c>
      <c r="D1005" t="s">
        <v>2467</v>
      </c>
      <c r="E1005" s="18" t="str">
        <f>INDEX('Attribute Definition'!$B:$B,MATCH($D1005,'Attribute Definition'!$A:$A,0))</f>
        <v>Chỉ số đo</v>
      </c>
      <c r="F1005" s="34" t="s">
        <v>2594</v>
      </c>
    </row>
    <row r="1006" spans="1:6" x14ac:dyDescent="0.25">
      <c r="A1006" t="s">
        <v>1975</v>
      </c>
      <c r="B1006" s="18" t="str">
        <f>INDEX('Product Variant'!$B:$B,MATCH($A1006,'Product Variant'!$A:$A,0))</f>
        <v>PRODUCT-00200</v>
      </c>
      <c r="C1006" s="18" t="str">
        <f>INDEX(Product!$B:$B,MATCH($B1006,Product!$A:$A,0))</f>
        <v>[Omron] Nhiệt kế điện tử - MC-246</v>
      </c>
      <c r="D1006" t="s">
        <v>2471</v>
      </c>
      <c r="E1006" s="18" t="str">
        <f>INDEX('Attribute Definition'!$B:$B,MATCH($D1006,'Attribute Definition'!$A:$A,0))</f>
        <v>Dạng sản phẩm</v>
      </c>
      <c r="F1006" s="34" t="s">
        <v>2481</v>
      </c>
    </row>
    <row r="1007" spans="1:6" x14ac:dyDescent="0.25">
      <c r="A1007" t="s">
        <v>1976</v>
      </c>
      <c r="B1007" s="18" t="str">
        <f>INDEX('Product Variant'!$B:$B,MATCH($A1007,'Product Variant'!$A:$A,0))</f>
        <v>PRODUCT-00201</v>
      </c>
      <c r="C1007" s="18" t="str">
        <f>INDEX(Product!$B:$B,MATCH($B1007,Product!$A:$A,0))</f>
        <v>[Omron] Nhiệt kế điện tử đo trán - MC-720</v>
      </c>
      <c r="D1007" t="s">
        <v>2439</v>
      </c>
      <c r="E1007" s="18" t="str">
        <f>INDEX('Attribute Definition'!$B:$B,MATCH($D1007,'Attribute Definition'!$A:$A,0))</f>
        <v>Vị trí sử dụng trên cơ thể</v>
      </c>
      <c r="F1007" s="34" t="s">
        <v>2601</v>
      </c>
    </row>
    <row r="1008" spans="1:6" x14ac:dyDescent="0.25">
      <c r="A1008" t="s">
        <v>1976</v>
      </c>
      <c r="B1008" s="18" t="str">
        <f>INDEX('Product Variant'!$B:$B,MATCH($A1008,'Product Variant'!$A:$A,0))</f>
        <v>PRODUCT-00201</v>
      </c>
      <c r="C1008" s="18" t="str">
        <f>INDEX(Product!$B:$B,MATCH($B1008,Product!$A:$A,0))</f>
        <v>[Omron] Nhiệt kế điện tử đo trán - MC-720</v>
      </c>
      <c r="D1008" t="s">
        <v>2467</v>
      </c>
      <c r="E1008" s="18" t="str">
        <f>INDEX('Attribute Definition'!$B:$B,MATCH($D1008,'Attribute Definition'!$A:$A,0))</f>
        <v>Chỉ số đo</v>
      </c>
      <c r="F1008" s="34" t="s">
        <v>2594</v>
      </c>
    </row>
    <row r="1009" spans="1:6" x14ac:dyDescent="0.25">
      <c r="A1009" t="s">
        <v>1976</v>
      </c>
      <c r="B1009" s="18" t="str">
        <f>INDEX('Product Variant'!$B:$B,MATCH($A1009,'Product Variant'!$A:$A,0))</f>
        <v>PRODUCT-00201</v>
      </c>
      <c r="C1009" s="18" t="str">
        <f>INDEX(Product!$B:$B,MATCH($B1009,Product!$A:$A,0))</f>
        <v>[Omron] Nhiệt kế điện tử đo trán - MC-720</v>
      </c>
      <c r="D1009" t="s">
        <v>2471</v>
      </c>
      <c r="E1009" s="18" t="str">
        <f>INDEX('Attribute Definition'!$B:$B,MATCH($D1009,'Attribute Definition'!$A:$A,0))</f>
        <v>Dạng sản phẩm</v>
      </c>
      <c r="F1009" s="34" t="s">
        <v>2481</v>
      </c>
    </row>
    <row r="1010" spans="1:6" x14ac:dyDescent="0.25">
      <c r="A1010" t="s">
        <v>1977</v>
      </c>
      <c r="B1010" s="18" t="str">
        <f>INDEX('Product Variant'!$B:$B,MATCH($A1010,'Product Variant'!$A:$A,0))</f>
        <v>PRODUCT-00202</v>
      </c>
      <c r="C1010" s="18" t="str">
        <f>INDEX(Product!$B:$B,MATCH($B1010,Product!$A:$A,0))</f>
        <v>[Roche] Máy đo đường huyết - Accu-Chek Instant</v>
      </c>
      <c r="D1010" t="s">
        <v>2467</v>
      </c>
      <c r="E1010" s="18" t="str">
        <f>INDEX('Attribute Definition'!$B:$B,MATCH($D1010,'Attribute Definition'!$A:$A,0))</f>
        <v>Chỉ số đo</v>
      </c>
      <c r="F1010" s="34" t="s">
        <v>2588</v>
      </c>
    </row>
    <row r="1011" spans="1:6" x14ac:dyDescent="0.25">
      <c r="A1011" t="s">
        <v>1977</v>
      </c>
      <c r="B1011" s="18" t="str">
        <f>INDEX('Product Variant'!$B:$B,MATCH($A1011,'Product Variant'!$A:$A,0))</f>
        <v>PRODUCT-00202</v>
      </c>
      <c r="C1011" s="18" t="str">
        <f>INDEX(Product!$B:$B,MATCH($B1011,Product!$A:$A,0))</f>
        <v>[Roche] Máy đo đường huyết - Accu-Chek Instant</v>
      </c>
      <c r="D1011" t="s">
        <v>2471</v>
      </c>
      <c r="E1011" s="18" t="str">
        <f>INDEX('Attribute Definition'!$B:$B,MATCH($D1011,'Attribute Definition'!$A:$A,0))</f>
        <v>Dạng sản phẩm</v>
      </c>
      <c r="F1011" s="34" t="s">
        <v>2481</v>
      </c>
    </row>
    <row r="1012" spans="1:6" x14ac:dyDescent="0.25">
      <c r="A1012" t="s">
        <v>1978</v>
      </c>
      <c r="B1012" s="18" t="str">
        <f>INDEX('Product Variant'!$B:$B,MATCH($A1012,'Product Variant'!$A:$A,0))</f>
        <v>PRODUCT-00203</v>
      </c>
      <c r="C1012" s="18" t="str">
        <f>INDEX(Product!$B:$B,MATCH($B1012,Product!$A:$A,0))</f>
        <v>[Roche] Que thử đường huyết - Accu-Chek Instant</v>
      </c>
      <c r="D1012" t="s">
        <v>2467</v>
      </c>
      <c r="E1012" s="18" t="str">
        <f>INDEX('Attribute Definition'!$B:$B,MATCH($D1012,'Attribute Definition'!$A:$A,0))</f>
        <v>Chỉ số đo</v>
      </c>
      <c r="F1012" s="34" t="s">
        <v>2588</v>
      </c>
    </row>
    <row r="1013" spans="1:6" x14ac:dyDescent="0.25">
      <c r="A1013" t="s">
        <v>1978</v>
      </c>
      <c r="B1013" s="18" t="str">
        <f>INDEX('Product Variant'!$B:$B,MATCH($A1013,'Product Variant'!$A:$A,0))</f>
        <v>PRODUCT-00203</v>
      </c>
      <c r="C1013" s="18" t="str">
        <f>INDEX(Product!$B:$B,MATCH($B1013,Product!$A:$A,0))</f>
        <v>[Roche] Que thử đường huyết - Accu-Chek Instant</v>
      </c>
      <c r="D1013" t="s">
        <v>2471</v>
      </c>
      <c r="E1013" s="18" t="str">
        <f>INDEX('Attribute Definition'!$B:$B,MATCH($D1013,'Attribute Definition'!$A:$A,0))</f>
        <v>Dạng sản phẩm</v>
      </c>
      <c r="F1013" s="34" t="s">
        <v>2293</v>
      </c>
    </row>
    <row r="1014" spans="1:6" x14ac:dyDescent="0.25">
      <c r="A1014" t="s">
        <v>1979</v>
      </c>
      <c r="B1014" s="18" t="str">
        <f>INDEX('Product Variant'!$B:$B,MATCH($A1014,'Product Variant'!$A:$A,0))</f>
        <v>PRODUCT-00204</v>
      </c>
      <c r="C1014" s="18" t="str">
        <f>INDEX(Product!$B:$B,MATCH($B1014,Product!$A:$A,0))</f>
        <v>[Sinocare] Hệ thống đo đường huyết liên tục CGM - iCan i3</v>
      </c>
      <c r="D1014" t="s">
        <v>2467</v>
      </c>
      <c r="E1014" s="18" t="str">
        <f>INDEX('Attribute Definition'!$B:$B,MATCH($D1014,'Attribute Definition'!$A:$A,0))</f>
        <v>Chỉ số đo</v>
      </c>
      <c r="F1014" s="34" t="s">
        <v>2588</v>
      </c>
    </row>
    <row r="1015" spans="1:6" x14ac:dyDescent="0.25">
      <c r="A1015" t="s">
        <v>1979</v>
      </c>
      <c r="B1015" s="18" t="str">
        <f>INDEX('Product Variant'!$B:$B,MATCH($A1015,'Product Variant'!$A:$A,0))</f>
        <v>PRODUCT-00204</v>
      </c>
      <c r="C1015" s="18" t="str">
        <f>INDEX(Product!$B:$B,MATCH($B1015,Product!$A:$A,0))</f>
        <v>[Sinocare] Hệ thống đo đường huyết liên tục CGM - iCan i3</v>
      </c>
      <c r="D1015" t="s">
        <v>2471</v>
      </c>
      <c r="E1015" s="18" t="str">
        <f>INDEX('Attribute Definition'!$B:$B,MATCH($D1015,'Attribute Definition'!$A:$A,0))</f>
        <v>Dạng sản phẩm</v>
      </c>
      <c r="F1015" s="34" t="s">
        <v>2481</v>
      </c>
    </row>
    <row r="1016" spans="1:6" x14ac:dyDescent="0.25">
      <c r="A1016" t="s">
        <v>1980</v>
      </c>
      <c r="B1016" s="18" t="str">
        <f>INDEX('Product Variant'!$B:$B,MATCH($A1016,'Product Variant'!$A:$A,0))</f>
        <v>PRODUCT-00205</v>
      </c>
      <c r="C1016" s="18" t="str">
        <f>INDEX(Product!$B:$B,MATCH($B1016,Product!$A:$A,0))</f>
        <v>[Sinocare] Máy đo đường huyết - Safe-Accu</v>
      </c>
      <c r="D1016" t="s">
        <v>2467</v>
      </c>
      <c r="E1016" s="18" t="str">
        <f>INDEX('Attribute Definition'!$B:$B,MATCH($D1016,'Attribute Definition'!$A:$A,0))</f>
        <v>Chỉ số đo</v>
      </c>
      <c r="F1016" s="34" t="s">
        <v>2588</v>
      </c>
    </row>
    <row r="1017" spans="1:6" x14ac:dyDescent="0.25">
      <c r="A1017" t="s">
        <v>1980</v>
      </c>
      <c r="B1017" s="18" t="str">
        <f>INDEX('Product Variant'!$B:$B,MATCH($A1017,'Product Variant'!$A:$A,0))</f>
        <v>PRODUCT-00205</v>
      </c>
      <c r="C1017" s="18" t="str">
        <f>INDEX(Product!$B:$B,MATCH($B1017,Product!$A:$A,0))</f>
        <v>[Sinocare] Máy đo đường huyết - Safe-Accu</v>
      </c>
      <c r="D1017" t="s">
        <v>2471</v>
      </c>
      <c r="E1017" s="18" t="str">
        <f>INDEX('Attribute Definition'!$B:$B,MATCH($D1017,'Attribute Definition'!$A:$A,0))</f>
        <v>Dạng sản phẩm</v>
      </c>
      <c r="F1017" s="34" t="s">
        <v>2481</v>
      </c>
    </row>
    <row r="1018" spans="1:6" x14ac:dyDescent="0.25">
      <c r="A1018" t="s">
        <v>1981</v>
      </c>
      <c r="B1018" s="18" t="str">
        <f>INDEX('Product Variant'!$B:$B,MATCH($A1018,'Product Variant'!$A:$A,0))</f>
        <v>PRODUCT-00206</v>
      </c>
      <c r="C1018" s="18" t="str">
        <f>INDEX(Product!$B:$B,MATCH($B1018,Product!$A:$A,0))</f>
        <v>[Sinocare] Que thử đường huyết - Safe-Accu</v>
      </c>
      <c r="D1018" t="s">
        <v>2467</v>
      </c>
      <c r="E1018" s="18" t="str">
        <f>INDEX('Attribute Definition'!$B:$B,MATCH($D1018,'Attribute Definition'!$A:$A,0))</f>
        <v>Chỉ số đo</v>
      </c>
      <c r="F1018" s="34" t="s">
        <v>2588</v>
      </c>
    </row>
    <row r="1019" spans="1:6" x14ac:dyDescent="0.25">
      <c r="A1019" t="s">
        <v>1981</v>
      </c>
      <c r="B1019" s="18" t="str">
        <f>INDEX('Product Variant'!$B:$B,MATCH($A1019,'Product Variant'!$A:$A,0))</f>
        <v>PRODUCT-00206</v>
      </c>
      <c r="C1019" s="18" t="str">
        <f>INDEX(Product!$B:$B,MATCH($B1019,Product!$A:$A,0))</f>
        <v>[Sinocare] Que thử đường huyết - Safe-Accu</v>
      </c>
      <c r="D1019" t="s">
        <v>2471</v>
      </c>
      <c r="E1019" s="18" t="str">
        <f>INDEX('Attribute Definition'!$B:$B,MATCH($D1019,'Attribute Definition'!$A:$A,0))</f>
        <v>Dạng sản phẩm</v>
      </c>
      <c r="F1019" s="34" t="s">
        <v>2293</v>
      </c>
    </row>
    <row r="1020" spans="1:6" x14ac:dyDescent="0.25">
      <c r="A1020" t="s">
        <v>1982</v>
      </c>
      <c r="B1020" s="18" t="str">
        <f>INDEX('Product Variant'!$B:$B,MATCH($A1020,'Product Variant'!$A:$A,0))</f>
        <v>PRODUCT-00207</v>
      </c>
      <c r="C1020" s="18" t="str">
        <f>INDEX(Product!$B:$B,MATCH($B1020,Product!$A:$A,0))</f>
        <v>[Create Medic] Bộ ống thông tiểu ngắt quãng silicon - Cliny</v>
      </c>
      <c r="D1020" t="s">
        <v>2367</v>
      </c>
      <c r="E1020" s="18" t="str">
        <f>INDEX('Attribute Definition'!$B:$B,MATCH($D1020,'Attribute Definition'!$A:$A,0))</f>
        <v>Chất liệu</v>
      </c>
      <c r="F1020" s="34" t="s">
        <v>2516</v>
      </c>
    </row>
    <row r="1021" spans="1:6" x14ac:dyDescent="0.25">
      <c r="A1021" t="s">
        <v>1982</v>
      </c>
      <c r="B1021" s="18" t="str">
        <f>INDEX('Product Variant'!$B:$B,MATCH($A1021,'Product Variant'!$A:$A,0))</f>
        <v>PRODUCT-00207</v>
      </c>
      <c r="C1021" s="18" t="str">
        <f>INDEX(Product!$B:$B,MATCH($B1021,Product!$A:$A,0))</f>
        <v>[Create Medic] Bộ ống thông tiểu ngắt quãng silicon - Cliny</v>
      </c>
      <c r="D1021" t="s">
        <v>2471</v>
      </c>
      <c r="E1021" s="18" t="str">
        <f>INDEX('Attribute Definition'!$B:$B,MATCH($D1021,'Attribute Definition'!$A:$A,0))</f>
        <v>Dạng sản phẩm</v>
      </c>
      <c r="F1021" s="34" t="s">
        <v>2490</v>
      </c>
    </row>
    <row r="1022" spans="1:6" x14ac:dyDescent="0.25">
      <c r="A1022" t="s">
        <v>1982</v>
      </c>
      <c r="B1022" s="18" t="str">
        <f>INDEX('Product Variant'!$B:$B,MATCH($A1022,'Product Variant'!$A:$A,0))</f>
        <v>PRODUCT-00207</v>
      </c>
      <c r="C1022" s="18" t="str">
        <f>INDEX(Product!$B:$B,MATCH($B1022,Product!$A:$A,0))</f>
        <v>[Create Medic] Bộ ống thông tiểu ngắt quãng silicon - Cliny</v>
      </c>
      <c r="D1022" t="s">
        <v>2656</v>
      </c>
      <c r="E1022" s="18" t="str">
        <f>INDEX('Attribute Definition'!$B:$B,MATCH($D1022,'Attribute Definition'!$A:$A,0))</f>
        <v>Kích cỡ</v>
      </c>
      <c r="F1022" s="34" t="s">
        <v>1166</v>
      </c>
    </row>
    <row r="1023" spans="1:6" x14ac:dyDescent="0.25">
      <c r="A1023" t="s">
        <v>1983</v>
      </c>
      <c r="B1023" s="18" t="str">
        <f>INDEX('Product Variant'!$B:$B,MATCH($A1023,'Product Variant'!$A:$A,0))</f>
        <v>PRODUCT-00207</v>
      </c>
      <c r="C1023" s="18" t="str">
        <f>INDEX(Product!$B:$B,MATCH($B1023,Product!$A:$A,0))</f>
        <v>[Create Medic] Bộ ống thông tiểu ngắt quãng silicon - Cliny</v>
      </c>
      <c r="D1023" t="s">
        <v>2367</v>
      </c>
      <c r="E1023" s="18" t="str">
        <f>INDEX('Attribute Definition'!$B:$B,MATCH($D1023,'Attribute Definition'!$A:$A,0))</f>
        <v>Chất liệu</v>
      </c>
      <c r="F1023" s="34" t="s">
        <v>2516</v>
      </c>
    </row>
    <row r="1024" spans="1:6" x14ac:dyDescent="0.25">
      <c r="A1024" t="s">
        <v>1983</v>
      </c>
      <c r="B1024" s="18" t="str">
        <f>INDEX('Product Variant'!$B:$B,MATCH($A1024,'Product Variant'!$A:$A,0))</f>
        <v>PRODUCT-00207</v>
      </c>
      <c r="C1024" s="18" t="str">
        <f>INDEX(Product!$B:$B,MATCH($B1024,Product!$A:$A,0))</f>
        <v>[Create Medic] Bộ ống thông tiểu ngắt quãng silicon - Cliny</v>
      </c>
      <c r="D1024" t="s">
        <v>2471</v>
      </c>
      <c r="E1024" s="18" t="str">
        <f>INDEX('Attribute Definition'!$B:$B,MATCH($D1024,'Attribute Definition'!$A:$A,0))</f>
        <v>Dạng sản phẩm</v>
      </c>
      <c r="F1024" s="34" t="s">
        <v>2490</v>
      </c>
    </row>
    <row r="1025" spans="1:6" x14ac:dyDescent="0.25">
      <c r="A1025" t="s">
        <v>1983</v>
      </c>
      <c r="B1025" s="18" t="str">
        <f>INDEX('Product Variant'!$B:$B,MATCH($A1025,'Product Variant'!$A:$A,0))</f>
        <v>PRODUCT-00207</v>
      </c>
      <c r="C1025" s="18" t="str">
        <f>INDEX(Product!$B:$B,MATCH($B1025,Product!$A:$A,0))</f>
        <v>[Create Medic] Bộ ống thông tiểu ngắt quãng silicon - Cliny</v>
      </c>
      <c r="D1025" t="s">
        <v>2656</v>
      </c>
      <c r="E1025" s="18" t="str">
        <f>INDEX('Attribute Definition'!$B:$B,MATCH($D1025,'Attribute Definition'!$A:$A,0))</f>
        <v>Kích cỡ</v>
      </c>
      <c r="F1025" s="34" t="s">
        <v>1167</v>
      </c>
    </row>
    <row r="1026" spans="1:6" x14ac:dyDescent="0.25">
      <c r="A1026" t="s">
        <v>1984</v>
      </c>
      <c r="B1026" s="18" t="str">
        <f>INDEX('Product Variant'!$B:$B,MATCH($A1026,'Product Variant'!$A:$A,0))</f>
        <v>PRODUCT-00208</v>
      </c>
      <c r="C1026" s="18" t="str">
        <f>INDEX(Product!$B:$B,MATCH($B1026,Product!$A:$A,0))</f>
        <v>[Fuji System] Ống thông tiểu ngắt quãng silicone - Selfcath</v>
      </c>
      <c r="D1026" t="s">
        <v>2367</v>
      </c>
      <c r="E1026" s="18" t="str">
        <f>INDEX('Attribute Definition'!$B:$B,MATCH($D1026,'Attribute Definition'!$A:$A,0))</f>
        <v>Chất liệu</v>
      </c>
      <c r="F1026" s="34" t="s">
        <v>2516</v>
      </c>
    </row>
    <row r="1027" spans="1:6" x14ac:dyDescent="0.25">
      <c r="A1027" t="s">
        <v>1984</v>
      </c>
      <c r="B1027" s="18" t="str">
        <f>INDEX('Product Variant'!$B:$B,MATCH($A1027,'Product Variant'!$A:$A,0))</f>
        <v>PRODUCT-00208</v>
      </c>
      <c r="C1027" s="18" t="str">
        <f>INDEX(Product!$B:$B,MATCH($B1027,Product!$A:$A,0))</f>
        <v>[Fuji System] Ống thông tiểu ngắt quãng silicone - Selfcath</v>
      </c>
      <c r="D1027" t="s">
        <v>2471</v>
      </c>
      <c r="E1027" s="18" t="str">
        <f>INDEX('Attribute Definition'!$B:$B,MATCH($D1027,'Attribute Definition'!$A:$A,0))</f>
        <v>Dạng sản phẩm</v>
      </c>
      <c r="F1027" s="34" t="s">
        <v>2574</v>
      </c>
    </row>
    <row r="1028" spans="1:6" x14ac:dyDescent="0.25">
      <c r="A1028" t="s">
        <v>1985</v>
      </c>
      <c r="B1028" s="18" t="str">
        <f>INDEX('Product Variant'!$B:$B,MATCH($A1028,'Product Variant'!$A:$A,0))</f>
        <v>PRODUCT-00209</v>
      </c>
      <c r="C1028" s="18" t="str">
        <f>INDEX(Product!$B:$B,MATCH($B1028,Product!$A:$A,0))</f>
        <v>[Idealcare] Ống thông tiểu Foley silicon 2 nhánh dài ngày</v>
      </c>
      <c r="D1028" t="s">
        <v>2367</v>
      </c>
      <c r="E1028" s="18" t="str">
        <f>INDEX('Attribute Definition'!$B:$B,MATCH($D1028,'Attribute Definition'!$A:$A,0))</f>
        <v>Chất liệu</v>
      </c>
      <c r="F1028" s="34" t="s">
        <v>2516</v>
      </c>
    </row>
    <row r="1029" spans="1:6" x14ac:dyDescent="0.25">
      <c r="A1029" t="s">
        <v>1985</v>
      </c>
      <c r="B1029" s="18" t="str">
        <f>INDEX('Product Variant'!$B:$B,MATCH($A1029,'Product Variant'!$A:$A,0))</f>
        <v>PRODUCT-00209</v>
      </c>
      <c r="C1029" s="18" t="str">
        <f>INDEX(Product!$B:$B,MATCH($B1029,Product!$A:$A,0))</f>
        <v>[Idealcare] Ống thông tiểu Foley silicon 2 nhánh dài ngày</v>
      </c>
      <c r="D1029" t="s">
        <v>2411</v>
      </c>
      <c r="E1029" s="18" t="str">
        <f>INDEX('Attribute Definition'!$B:$B,MATCH($D1029,'Attribute Definition'!$A:$A,0))</f>
        <v>Số nòng / nhánh</v>
      </c>
      <c r="F1029" s="34" t="s">
        <v>2573</v>
      </c>
    </row>
    <row r="1030" spans="1:6" x14ac:dyDescent="0.25">
      <c r="A1030" t="s">
        <v>1985</v>
      </c>
      <c r="B1030" s="18" t="str">
        <f>INDEX('Product Variant'!$B:$B,MATCH($A1030,'Product Variant'!$A:$A,0))</f>
        <v>PRODUCT-00209</v>
      </c>
      <c r="C1030" s="18" t="str">
        <f>INDEX(Product!$B:$B,MATCH($B1030,Product!$A:$A,0))</f>
        <v>[Idealcare] Ống thông tiểu Foley silicon 2 nhánh dài ngày</v>
      </c>
      <c r="D1030" t="s">
        <v>2454</v>
      </c>
      <c r="E1030" s="18" t="str">
        <f>INDEX('Attribute Definition'!$B:$B,MATCH($D1030,'Attribute Definition'!$A:$A,0))</f>
        <v>Thời gian sử dụng</v>
      </c>
      <c r="F1030" s="34" t="s">
        <v>2602</v>
      </c>
    </row>
    <row r="1031" spans="1:6" x14ac:dyDescent="0.25">
      <c r="A1031" t="s">
        <v>1985</v>
      </c>
      <c r="B1031" s="18" t="str">
        <f>INDEX('Product Variant'!$B:$B,MATCH($A1031,'Product Variant'!$A:$A,0))</f>
        <v>PRODUCT-00209</v>
      </c>
      <c r="C1031" s="18" t="str">
        <f>INDEX(Product!$B:$B,MATCH($B1031,Product!$A:$A,0))</f>
        <v>[Idealcare] Ống thông tiểu Foley silicon 2 nhánh dài ngày</v>
      </c>
      <c r="D1031" t="s">
        <v>2471</v>
      </c>
      <c r="E1031" s="18" t="str">
        <f>INDEX('Attribute Definition'!$B:$B,MATCH($D1031,'Attribute Definition'!$A:$A,0))</f>
        <v>Dạng sản phẩm</v>
      </c>
      <c r="F1031" s="34" t="s">
        <v>2574</v>
      </c>
    </row>
    <row r="1032" spans="1:6" x14ac:dyDescent="0.25">
      <c r="A1032" t="s">
        <v>1985</v>
      </c>
      <c r="B1032" s="18" t="str">
        <f>INDEX('Product Variant'!$B:$B,MATCH($A1032,'Product Variant'!$A:$A,0))</f>
        <v>PRODUCT-00209</v>
      </c>
      <c r="C1032" s="18" t="str">
        <f>INDEX(Product!$B:$B,MATCH($B1032,Product!$A:$A,0))</f>
        <v>[Idealcare] Ống thông tiểu Foley silicon 2 nhánh dài ngày</v>
      </c>
      <c r="D1032" t="s">
        <v>2656</v>
      </c>
      <c r="E1032" s="18" t="str">
        <f>INDEX('Attribute Definition'!$B:$B,MATCH($D1032,'Attribute Definition'!$A:$A,0))</f>
        <v>Kích cỡ</v>
      </c>
      <c r="F1032" s="34" t="s">
        <v>1180</v>
      </c>
    </row>
    <row r="1033" spans="1:6" x14ac:dyDescent="0.25">
      <c r="A1033" t="s">
        <v>1986</v>
      </c>
      <c r="B1033" s="18" t="str">
        <f>INDEX('Product Variant'!$B:$B,MATCH($A1033,'Product Variant'!$A:$A,0))</f>
        <v>PRODUCT-00209</v>
      </c>
      <c r="C1033" s="18" t="str">
        <f>INDEX(Product!$B:$B,MATCH($B1033,Product!$A:$A,0))</f>
        <v>[Idealcare] Ống thông tiểu Foley silicon 2 nhánh dài ngày</v>
      </c>
      <c r="D1033" t="s">
        <v>2367</v>
      </c>
      <c r="E1033" s="18" t="str">
        <f>INDEX('Attribute Definition'!$B:$B,MATCH($D1033,'Attribute Definition'!$A:$A,0))</f>
        <v>Chất liệu</v>
      </c>
      <c r="F1033" s="34" t="s">
        <v>2516</v>
      </c>
    </row>
    <row r="1034" spans="1:6" x14ac:dyDescent="0.25">
      <c r="A1034" t="s">
        <v>1986</v>
      </c>
      <c r="B1034" s="18" t="str">
        <f>INDEX('Product Variant'!$B:$B,MATCH($A1034,'Product Variant'!$A:$A,0))</f>
        <v>PRODUCT-00209</v>
      </c>
      <c r="C1034" s="18" t="str">
        <f>INDEX(Product!$B:$B,MATCH($B1034,Product!$A:$A,0))</f>
        <v>[Idealcare] Ống thông tiểu Foley silicon 2 nhánh dài ngày</v>
      </c>
      <c r="D1034" t="s">
        <v>2411</v>
      </c>
      <c r="E1034" s="18" t="str">
        <f>INDEX('Attribute Definition'!$B:$B,MATCH($D1034,'Attribute Definition'!$A:$A,0))</f>
        <v>Số nòng / nhánh</v>
      </c>
      <c r="F1034" s="34" t="s">
        <v>2573</v>
      </c>
    </row>
    <row r="1035" spans="1:6" x14ac:dyDescent="0.25">
      <c r="A1035" t="s">
        <v>1986</v>
      </c>
      <c r="B1035" s="18" t="str">
        <f>INDEX('Product Variant'!$B:$B,MATCH($A1035,'Product Variant'!$A:$A,0))</f>
        <v>PRODUCT-00209</v>
      </c>
      <c r="C1035" s="18" t="str">
        <f>INDEX(Product!$B:$B,MATCH($B1035,Product!$A:$A,0))</f>
        <v>[Idealcare] Ống thông tiểu Foley silicon 2 nhánh dài ngày</v>
      </c>
      <c r="D1035" t="s">
        <v>2454</v>
      </c>
      <c r="E1035" s="18" t="str">
        <f>INDEX('Attribute Definition'!$B:$B,MATCH($D1035,'Attribute Definition'!$A:$A,0))</f>
        <v>Thời gian sử dụng</v>
      </c>
      <c r="F1035" s="34" t="s">
        <v>2602</v>
      </c>
    </row>
    <row r="1036" spans="1:6" x14ac:dyDescent="0.25">
      <c r="A1036" t="s">
        <v>1986</v>
      </c>
      <c r="B1036" s="18" t="str">
        <f>INDEX('Product Variant'!$B:$B,MATCH($A1036,'Product Variant'!$A:$A,0))</f>
        <v>PRODUCT-00209</v>
      </c>
      <c r="C1036" s="18" t="str">
        <f>INDEX(Product!$B:$B,MATCH($B1036,Product!$A:$A,0))</f>
        <v>[Idealcare] Ống thông tiểu Foley silicon 2 nhánh dài ngày</v>
      </c>
      <c r="D1036" t="s">
        <v>2471</v>
      </c>
      <c r="E1036" s="18" t="str">
        <f>INDEX('Attribute Definition'!$B:$B,MATCH($D1036,'Attribute Definition'!$A:$A,0))</f>
        <v>Dạng sản phẩm</v>
      </c>
      <c r="F1036" s="34" t="s">
        <v>2574</v>
      </c>
    </row>
    <row r="1037" spans="1:6" x14ac:dyDescent="0.25">
      <c r="A1037" t="s">
        <v>1986</v>
      </c>
      <c r="B1037" s="18" t="str">
        <f>INDEX('Product Variant'!$B:$B,MATCH($A1037,'Product Variant'!$A:$A,0))</f>
        <v>PRODUCT-00209</v>
      </c>
      <c r="C1037" s="18" t="str">
        <f>INDEX(Product!$B:$B,MATCH($B1037,Product!$A:$A,0))</f>
        <v>[Idealcare] Ống thông tiểu Foley silicon 2 nhánh dài ngày</v>
      </c>
      <c r="D1037" t="s">
        <v>2656</v>
      </c>
      <c r="E1037" s="18" t="str">
        <f>INDEX('Attribute Definition'!$B:$B,MATCH($D1037,'Attribute Definition'!$A:$A,0))</f>
        <v>Kích cỡ</v>
      </c>
      <c r="F1037" s="34" t="s">
        <v>1181</v>
      </c>
    </row>
    <row r="1038" spans="1:6" x14ac:dyDescent="0.25">
      <c r="A1038" t="s">
        <v>1987</v>
      </c>
      <c r="B1038" s="18" t="str">
        <f>INDEX('Product Variant'!$B:$B,MATCH($A1038,'Product Variant'!$A:$A,0))</f>
        <v>PRODUCT-00209</v>
      </c>
      <c r="C1038" s="18" t="str">
        <f>INDEX(Product!$B:$B,MATCH($B1038,Product!$A:$A,0))</f>
        <v>[Idealcare] Ống thông tiểu Foley silicon 2 nhánh dài ngày</v>
      </c>
      <c r="D1038" t="s">
        <v>2367</v>
      </c>
      <c r="E1038" s="18" t="str">
        <f>INDEX('Attribute Definition'!$B:$B,MATCH($D1038,'Attribute Definition'!$A:$A,0))</f>
        <v>Chất liệu</v>
      </c>
      <c r="F1038" s="34" t="s">
        <v>2516</v>
      </c>
    </row>
    <row r="1039" spans="1:6" x14ac:dyDescent="0.25">
      <c r="A1039" t="s">
        <v>1987</v>
      </c>
      <c r="B1039" s="18" t="str">
        <f>INDEX('Product Variant'!$B:$B,MATCH($A1039,'Product Variant'!$A:$A,0))</f>
        <v>PRODUCT-00209</v>
      </c>
      <c r="C1039" s="18" t="str">
        <f>INDEX(Product!$B:$B,MATCH($B1039,Product!$A:$A,0))</f>
        <v>[Idealcare] Ống thông tiểu Foley silicon 2 nhánh dài ngày</v>
      </c>
      <c r="D1039" t="s">
        <v>2411</v>
      </c>
      <c r="E1039" s="18" t="str">
        <f>INDEX('Attribute Definition'!$B:$B,MATCH($D1039,'Attribute Definition'!$A:$A,0))</f>
        <v>Số nòng / nhánh</v>
      </c>
      <c r="F1039" s="34" t="s">
        <v>2573</v>
      </c>
    </row>
    <row r="1040" spans="1:6" x14ac:dyDescent="0.25">
      <c r="A1040" t="s">
        <v>1987</v>
      </c>
      <c r="B1040" s="18" t="str">
        <f>INDEX('Product Variant'!$B:$B,MATCH($A1040,'Product Variant'!$A:$A,0))</f>
        <v>PRODUCT-00209</v>
      </c>
      <c r="C1040" s="18" t="str">
        <f>INDEX(Product!$B:$B,MATCH($B1040,Product!$A:$A,0))</f>
        <v>[Idealcare] Ống thông tiểu Foley silicon 2 nhánh dài ngày</v>
      </c>
      <c r="D1040" t="s">
        <v>2454</v>
      </c>
      <c r="E1040" s="18" t="str">
        <f>INDEX('Attribute Definition'!$B:$B,MATCH($D1040,'Attribute Definition'!$A:$A,0))</f>
        <v>Thời gian sử dụng</v>
      </c>
      <c r="F1040" s="34" t="s">
        <v>2602</v>
      </c>
    </row>
    <row r="1041" spans="1:6" x14ac:dyDescent="0.25">
      <c r="A1041" t="s">
        <v>1987</v>
      </c>
      <c r="B1041" s="18" t="str">
        <f>INDEX('Product Variant'!$B:$B,MATCH($A1041,'Product Variant'!$A:$A,0))</f>
        <v>PRODUCT-00209</v>
      </c>
      <c r="C1041" s="18" t="str">
        <f>INDEX(Product!$B:$B,MATCH($B1041,Product!$A:$A,0))</f>
        <v>[Idealcare] Ống thông tiểu Foley silicon 2 nhánh dài ngày</v>
      </c>
      <c r="D1041" t="s">
        <v>2471</v>
      </c>
      <c r="E1041" s="18" t="str">
        <f>INDEX('Attribute Definition'!$B:$B,MATCH($D1041,'Attribute Definition'!$A:$A,0))</f>
        <v>Dạng sản phẩm</v>
      </c>
      <c r="F1041" s="34" t="s">
        <v>2574</v>
      </c>
    </row>
    <row r="1042" spans="1:6" x14ac:dyDescent="0.25">
      <c r="A1042" t="s">
        <v>1987</v>
      </c>
      <c r="B1042" s="18" t="str">
        <f>INDEX('Product Variant'!$B:$B,MATCH($A1042,'Product Variant'!$A:$A,0))</f>
        <v>PRODUCT-00209</v>
      </c>
      <c r="C1042" s="18" t="str">
        <f>INDEX(Product!$B:$B,MATCH($B1042,Product!$A:$A,0))</f>
        <v>[Idealcare] Ống thông tiểu Foley silicon 2 nhánh dài ngày</v>
      </c>
      <c r="D1042" t="s">
        <v>2656</v>
      </c>
      <c r="E1042" s="18" t="str">
        <f>INDEX('Attribute Definition'!$B:$B,MATCH($D1042,'Attribute Definition'!$A:$A,0))</f>
        <v>Kích cỡ</v>
      </c>
      <c r="F1042" s="34" t="s">
        <v>1182</v>
      </c>
    </row>
    <row r="1043" spans="1:6" x14ac:dyDescent="0.25">
      <c r="A1043" t="s">
        <v>1988</v>
      </c>
      <c r="B1043" s="18" t="str">
        <f>INDEX('Product Variant'!$B:$B,MATCH($A1043,'Product Variant'!$A:$A,0))</f>
        <v>PRODUCT-00209</v>
      </c>
      <c r="C1043" s="18" t="str">
        <f>INDEX(Product!$B:$B,MATCH($B1043,Product!$A:$A,0))</f>
        <v>[Idealcare] Ống thông tiểu Foley silicon 2 nhánh dài ngày</v>
      </c>
      <c r="D1043" t="s">
        <v>2367</v>
      </c>
      <c r="E1043" s="18" t="str">
        <f>INDEX('Attribute Definition'!$B:$B,MATCH($D1043,'Attribute Definition'!$A:$A,0))</f>
        <v>Chất liệu</v>
      </c>
      <c r="F1043" s="34" t="s">
        <v>2516</v>
      </c>
    </row>
    <row r="1044" spans="1:6" x14ac:dyDescent="0.25">
      <c r="A1044" t="s">
        <v>1988</v>
      </c>
      <c r="B1044" s="18" t="str">
        <f>INDEX('Product Variant'!$B:$B,MATCH($A1044,'Product Variant'!$A:$A,0))</f>
        <v>PRODUCT-00209</v>
      </c>
      <c r="C1044" s="18" t="str">
        <f>INDEX(Product!$B:$B,MATCH($B1044,Product!$A:$A,0))</f>
        <v>[Idealcare] Ống thông tiểu Foley silicon 2 nhánh dài ngày</v>
      </c>
      <c r="D1044" t="s">
        <v>2411</v>
      </c>
      <c r="E1044" s="18" t="str">
        <f>INDEX('Attribute Definition'!$B:$B,MATCH($D1044,'Attribute Definition'!$A:$A,0))</f>
        <v>Số nòng / nhánh</v>
      </c>
      <c r="F1044" s="34" t="s">
        <v>2573</v>
      </c>
    </row>
    <row r="1045" spans="1:6" x14ac:dyDescent="0.25">
      <c r="A1045" t="s">
        <v>1988</v>
      </c>
      <c r="B1045" s="18" t="str">
        <f>INDEX('Product Variant'!$B:$B,MATCH($A1045,'Product Variant'!$A:$A,0))</f>
        <v>PRODUCT-00209</v>
      </c>
      <c r="C1045" s="18" t="str">
        <f>INDEX(Product!$B:$B,MATCH($B1045,Product!$A:$A,0))</f>
        <v>[Idealcare] Ống thông tiểu Foley silicon 2 nhánh dài ngày</v>
      </c>
      <c r="D1045" t="s">
        <v>2454</v>
      </c>
      <c r="E1045" s="18" t="str">
        <f>INDEX('Attribute Definition'!$B:$B,MATCH($D1045,'Attribute Definition'!$A:$A,0))</f>
        <v>Thời gian sử dụng</v>
      </c>
      <c r="F1045" s="34" t="s">
        <v>2602</v>
      </c>
    </row>
    <row r="1046" spans="1:6" x14ac:dyDescent="0.25">
      <c r="A1046" t="s">
        <v>1988</v>
      </c>
      <c r="B1046" s="18" t="str">
        <f>INDEX('Product Variant'!$B:$B,MATCH($A1046,'Product Variant'!$A:$A,0))</f>
        <v>PRODUCT-00209</v>
      </c>
      <c r="C1046" s="18" t="str">
        <f>INDEX(Product!$B:$B,MATCH($B1046,Product!$A:$A,0))</f>
        <v>[Idealcare] Ống thông tiểu Foley silicon 2 nhánh dài ngày</v>
      </c>
      <c r="D1046" t="s">
        <v>2471</v>
      </c>
      <c r="E1046" s="18" t="str">
        <f>INDEX('Attribute Definition'!$B:$B,MATCH($D1046,'Attribute Definition'!$A:$A,0))</f>
        <v>Dạng sản phẩm</v>
      </c>
      <c r="F1046" s="34" t="s">
        <v>2574</v>
      </c>
    </row>
    <row r="1047" spans="1:6" x14ac:dyDescent="0.25">
      <c r="A1047" t="s">
        <v>1988</v>
      </c>
      <c r="B1047" s="18" t="str">
        <f>INDEX('Product Variant'!$B:$B,MATCH($A1047,'Product Variant'!$A:$A,0))</f>
        <v>PRODUCT-00209</v>
      </c>
      <c r="C1047" s="18" t="str">
        <f>INDEX(Product!$B:$B,MATCH($B1047,Product!$A:$A,0))</f>
        <v>[Idealcare] Ống thông tiểu Foley silicon 2 nhánh dài ngày</v>
      </c>
      <c r="D1047" t="s">
        <v>2656</v>
      </c>
      <c r="E1047" s="18" t="str">
        <f>INDEX('Attribute Definition'!$B:$B,MATCH($D1047,'Attribute Definition'!$A:$A,0))</f>
        <v>Kích cỡ</v>
      </c>
      <c r="F1047" s="34" t="s">
        <v>1184</v>
      </c>
    </row>
    <row r="1048" spans="1:6" x14ac:dyDescent="0.25">
      <c r="A1048" t="s">
        <v>1989</v>
      </c>
      <c r="B1048" s="18" t="str">
        <f>INDEX('Product Variant'!$B:$B,MATCH($A1048,'Product Variant'!$A:$A,0))</f>
        <v>PRODUCT-00210</v>
      </c>
      <c r="C1048" s="18" t="str">
        <f>INDEX(Product!$B:$B,MATCH($B1048,Product!$A:$A,0))</f>
        <v>[Idealcare] Ống thông tiểu Foley silicon 3 nhánh dài ngày</v>
      </c>
      <c r="D1048" t="s">
        <v>2367</v>
      </c>
      <c r="E1048" s="18" t="str">
        <f>INDEX('Attribute Definition'!$B:$B,MATCH($D1048,'Attribute Definition'!$A:$A,0))</f>
        <v>Chất liệu</v>
      </c>
      <c r="F1048" s="34" t="s">
        <v>2516</v>
      </c>
    </row>
    <row r="1049" spans="1:6" x14ac:dyDescent="0.25">
      <c r="A1049" t="s">
        <v>1989</v>
      </c>
      <c r="B1049" s="18" t="str">
        <f>INDEX('Product Variant'!$B:$B,MATCH($A1049,'Product Variant'!$A:$A,0))</f>
        <v>PRODUCT-00210</v>
      </c>
      <c r="C1049" s="18" t="str">
        <f>INDEX(Product!$B:$B,MATCH($B1049,Product!$A:$A,0))</f>
        <v>[Idealcare] Ống thông tiểu Foley silicon 3 nhánh dài ngày</v>
      </c>
      <c r="D1049" t="s">
        <v>2411</v>
      </c>
      <c r="E1049" s="18" t="str">
        <f>INDEX('Attribute Definition'!$B:$B,MATCH($D1049,'Attribute Definition'!$A:$A,0))</f>
        <v>Số nòng / nhánh</v>
      </c>
      <c r="F1049" s="34" t="s">
        <v>2603</v>
      </c>
    </row>
    <row r="1050" spans="1:6" x14ac:dyDescent="0.25">
      <c r="A1050" t="s">
        <v>1989</v>
      </c>
      <c r="B1050" s="18" t="str">
        <f>INDEX('Product Variant'!$B:$B,MATCH($A1050,'Product Variant'!$A:$A,0))</f>
        <v>PRODUCT-00210</v>
      </c>
      <c r="C1050" s="18" t="str">
        <f>INDEX(Product!$B:$B,MATCH($B1050,Product!$A:$A,0))</f>
        <v>[Idealcare] Ống thông tiểu Foley silicon 3 nhánh dài ngày</v>
      </c>
      <c r="D1050" t="s">
        <v>2454</v>
      </c>
      <c r="E1050" s="18" t="str">
        <f>INDEX('Attribute Definition'!$B:$B,MATCH($D1050,'Attribute Definition'!$A:$A,0))</f>
        <v>Thời gian sử dụng</v>
      </c>
      <c r="F1050" s="34" t="s">
        <v>2602</v>
      </c>
    </row>
    <row r="1051" spans="1:6" x14ac:dyDescent="0.25">
      <c r="A1051" t="s">
        <v>1989</v>
      </c>
      <c r="B1051" s="18" t="str">
        <f>INDEX('Product Variant'!$B:$B,MATCH($A1051,'Product Variant'!$A:$A,0))</f>
        <v>PRODUCT-00210</v>
      </c>
      <c r="C1051" s="18" t="str">
        <f>INDEX(Product!$B:$B,MATCH($B1051,Product!$A:$A,0))</f>
        <v>[Idealcare] Ống thông tiểu Foley silicon 3 nhánh dài ngày</v>
      </c>
      <c r="D1051" t="s">
        <v>2471</v>
      </c>
      <c r="E1051" s="18" t="str">
        <f>INDEX('Attribute Definition'!$B:$B,MATCH($D1051,'Attribute Definition'!$A:$A,0))</f>
        <v>Dạng sản phẩm</v>
      </c>
      <c r="F1051" s="34" t="s">
        <v>2574</v>
      </c>
    </row>
    <row r="1052" spans="1:6" x14ac:dyDescent="0.25">
      <c r="A1052" t="s">
        <v>1989</v>
      </c>
      <c r="B1052" s="18" t="str">
        <f>INDEX('Product Variant'!$B:$B,MATCH($A1052,'Product Variant'!$A:$A,0))</f>
        <v>PRODUCT-00210</v>
      </c>
      <c r="C1052" s="18" t="str">
        <f>INDEX(Product!$B:$B,MATCH($B1052,Product!$A:$A,0))</f>
        <v>[Idealcare] Ống thông tiểu Foley silicon 3 nhánh dài ngày</v>
      </c>
      <c r="D1052" t="s">
        <v>2656</v>
      </c>
      <c r="E1052" s="18" t="str">
        <f>INDEX('Attribute Definition'!$B:$B,MATCH($D1052,'Attribute Definition'!$A:$A,0))</f>
        <v>Kích cỡ</v>
      </c>
      <c r="F1052" s="34" t="s">
        <v>1182</v>
      </c>
    </row>
    <row r="1053" spans="1:6" x14ac:dyDescent="0.25">
      <c r="A1053" t="s">
        <v>1990</v>
      </c>
      <c r="B1053" s="18" t="str">
        <f>INDEX('Product Variant'!$B:$B,MATCH($A1053,'Product Variant'!$A:$A,0))</f>
        <v>PRODUCT-00210</v>
      </c>
      <c r="C1053" s="18" t="str">
        <f>INDEX(Product!$B:$B,MATCH($B1053,Product!$A:$A,0))</f>
        <v>[Idealcare] Ống thông tiểu Foley silicon 3 nhánh dài ngày</v>
      </c>
      <c r="D1053" t="s">
        <v>2367</v>
      </c>
      <c r="E1053" s="18" t="str">
        <f>INDEX('Attribute Definition'!$B:$B,MATCH($D1053,'Attribute Definition'!$A:$A,0))</f>
        <v>Chất liệu</v>
      </c>
      <c r="F1053" s="34" t="s">
        <v>2516</v>
      </c>
    </row>
    <row r="1054" spans="1:6" x14ac:dyDescent="0.25">
      <c r="A1054" t="s">
        <v>1990</v>
      </c>
      <c r="B1054" s="18" t="str">
        <f>INDEX('Product Variant'!$B:$B,MATCH($A1054,'Product Variant'!$A:$A,0))</f>
        <v>PRODUCT-00210</v>
      </c>
      <c r="C1054" s="18" t="str">
        <f>INDEX(Product!$B:$B,MATCH($B1054,Product!$A:$A,0))</f>
        <v>[Idealcare] Ống thông tiểu Foley silicon 3 nhánh dài ngày</v>
      </c>
      <c r="D1054" t="s">
        <v>2411</v>
      </c>
      <c r="E1054" s="18" t="str">
        <f>INDEX('Attribute Definition'!$B:$B,MATCH($D1054,'Attribute Definition'!$A:$A,0))</f>
        <v>Số nòng / nhánh</v>
      </c>
      <c r="F1054" s="34" t="s">
        <v>2603</v>
      </c>
    </row>
    <row r="1055" spans="1:6" x14ac:dyDescent="0.25">
      <c r="A1055" t="s">
        <v>1990</v>
      </c>
      <c r="B1055" s="18" t="str">
        <f>INDEX('Product Variant'!$B:$B,MATCH($A1055,'Product Variant'!$A:$A,0))</f>
        <v>PRODUCT-00210</v>
      </c>
      <c r="C1055" s="18" t="str">
        <f>INDEX(Product!$B:$B,MATCH($B1055,Product!$A:$A,0))</f>
        <v>[Idealcare] Ống thông tiểu Foley silicon 3 nhánh dài ngày</v>
      </c>
      <c r="D1055" t="s">
        <v>2454</v>
      </c>
      <c r="E1055" s="18" t="str">
        <f>INDEX('Attribute Definition'!$B:$B,MATCH($D1055,'Attribute Definition'!$A:$A,0))</f>
        <v>Thời gian sử dụng</v>
      </c>
      <c r="F1055" s="34" t="s">
        <v>2602</v>
      </c>
    </row>
    <row r="1056" spans="1:6" x14ac:dyDescent="0.25">
      <c r="A1056" t="s">
        <v>1990</v>
      </c>
      <c r="B1056" s="18" t="str">
        <f>INDEX('Product Variant'!$B:$B,MATCH($A1056,'Product Variant'!$A:$A,0))</f>
        <v>PRODUCT-00210</v>
      </c>
      <c r="C1056" s="18" t="str">
        <f>INDEX(Product!$B:$B,MATCH($B1056,Product!$A:$A,0))</f>
        <v>[Idealcare] Ống thông tiểu Foley silicon 3 nhánh dài ngày</v>
      </c>
      <c r="D1056" t="s">
        <v>2471</v>
      </c>
      <c r="E1056" s="18" t="str">
        <f>INDEX('Attribute Definition'!$B:$B,MATCH($D1056,'Attribute Definition'!$A:$A,0))</f>
        <v>Dạng sản phẩm</v>
      </c>
      <c r="F1056" s="34" t="s">
        <v>2574</v>
      </c>
    </row>
    <row r="1057" spans="1:6" x14ac:dyDescent="0.25">
      <c r="A1057" t="s">
        <v>1990</v>
      </c>
      <c r="B1057" s="18" t="str">
        <f>INDEX('Product Variant'!$B:$B,MATCH($A1057,'Product Variant'!$A:$A,0))</f>
        <v>PRODUCT-00210</v>
      </c>
      <c r="C1057" s="18" t="str">
        <f>INDEX(Product!$B:$B,MATCH($B1057,Product!$A:$A,0))</f>
        <v>[Idealcare] Ống thông tiểu Foley silicon 3 nhánh dài ngày</v>
      </c>
      <c r="D1057" t="s">
        <v>2656</v>
      </c>
      <c r="E1057" s="18" t="str">
        <f>INDEX('Attribute Definition'!$B:$B,MATCH($D1057,'Attribute Definition'!$A:$A,0))</f>
        <v>Kích cỡ</v>
      </c>
      <c r="F1057" s="34" t="s">
        <v>1184</v>
      </c>
    </row>
    <row r="1058" spans="1:6" x14ac:dyDescent="0.25">
      <c r="A1058" t="s">
        <v>1991</v>
      </c>
      <c r="B1058" s="18" t="str">
        <f>INDEX('Product Variant'!$B:$B,MATCH($A1058,'Product Variant'!$A:$A,0))</f>
        <v>PRODUCT-00211</v>
      </c>
      <c r="C1058" s="18" t="str">
        <f>INDEX(Product!$B:$B,MATCH($B1058,Product!$A:$A,0))</f>
        <v>[Mepro] Ống thông tiểu Foley silicon 2 nhánh dài ngày</v>
      </c>
      <c r="D1058" t="s">
        <v>2367</v>
      </c>
      <c r="E1058" s="18" t="str">
        <f>INDEX('Attribute Definition'!$B:$B,MATCH($D1058,'Attribute Definition'!$A:$A,0))</f>
        <v>Chất liệu</v>
      </c>
      <c r="F1058" s="34" t="s">
        <v>2516</v>
      </c>
    </row>
    <row r="1059" spans="1:6" x14ac:dyDescent="0.25">
      <c r="A1059" t="s">
        <v>1991</v>
      </c>
      <c r="B1059" s="18" t="str">
        <f>INDEX('Product Variant'!$B:$B,MATCH($A1059,'Product Variant'!$A:$A,0))</f>
        <v>PRODUCT-00211</v>
      </c>
      <c r="C1059" s="18" t="str">
        <f>INDEX(Product!$B:$B,MATCH($B1059,Product!$A:$A,0))</f>
        <v>[Mepro] Ống thông tiểu Foley silicon 2 nhánh dài ngày</v>
      </c>
      <c r="D1059" t="s">
        <v>2411</v>
      </c>
      <c r="E1059" s="18" t="str">
        <f>INDEX('Attribute Definition'!$B:$B,MATCH($D1059,'Attribute Definition'!$A:$A,0))</f>
        <v>Số nòng / nhánh</v>
      </c>
      <c r="F1059" s="34" t="s">
        <v>2573</v>
      </c>
    </row>
    <row r="1060" spans="1:6" x14ac:dyDescent="0.25">
      <c r="A1060" t="s">
        <v>1991</v>
      </c>
      <c r="B1060" s="18" t="str">
        <f>INDEX('Product Variant'!$B:$B,MATCH($A1060,'Product Variant'!$A:$A,0))</f>
        <v>PRODUCT-00211</v>
      </c>
      <c r="C1060" s="18" t="str">
        <f>INDEX(Product!$B:$B,MATCH($B1060,Product!$A:$A,0))</f>
        <v>[Mepro] Ống thông tiểu Foley silicon 2 nhánh dài ngày</v>
      </c>
      <c r="D1060" t="s">
        <v>2454</v>
      </c>
      <c r="E1060" s="18" t="str">
        <f>INDEX('Attribute Definition'!$B:$B,MATCH($D1060,'Attribute Definition'!$A:$A,0))</f>
        <v>Thời gian sử dụng</v>
      </c>
      <c r="F1060" s="34" t="s">
        <v>2602</v>
      </c>
    </row>
    <row r="1061" spans="1:6" x14ac:dyDescent="0.25">
      <c r="A1061" t="s">
        <v>1991</v>
      </c>
      <c r="B1061" s="18" t="str">
        <f>INDEX('Product Variant'!$B:$B,MATCH($A1061,'Product Variant'!$A:$A,0))</f>
        <v>PRODUCT-00211</v>
      </c>
      <c r="C1061" s="18" t="str">
        <f>INDEX(Product!$B:$B,MATCH($B1061,Product!$A:$A,0))</f>
        <v>[Mepro] Ống thông tiểu Foley silicon 2 nhánh dài ngày</v>
      </c>
      <c r="D1061" t="s">
        <v>2471</v>
      </c>
      <c r="E1061" s="18" t="str">
        <f>INDEX('Attribute Definition'!$B:$B,MATCH($D1061,'Attribute Definition'!$A:$A,0))</f>
        <v>Dạng sản phẩm</v>
      </c>
      <c r="F1061" s="34" t="s">
        <v>2574</v>
      </c>
    </row>
    <row r="1062" spans="1:6" x14ac:dyDescent="0.25">
      <c r="A1062" t="s">
        <v>1991</v>
      </c>
      <c r="B1062" s="18" t="str">
        <f>INDEX('Product Variant'!$B:$B,MATCH($A1062,'Product Variant'!$A:$A,0))</f>
        <v>PRODUCT-00211</v>
      </c>
      <c r="C1062" s="18" t="str">
        <f>INDEX(Product!$B:$B,MATCH($B1062,Product!$A:$A,0))</f>
        <v>[Mepro] Ống thông tiểu Foley silicon 2 nhánh dài ngày</v>
      </c>
      <c r="D1062" t="s">
        <v>2656</v>
      </c>
      <c r="E1062" s="18" t="str">
        <f>INDEX('Attribute Definition'!$B:$B,MATCH($D1062,'Attribute Definition'!$A:$A,0))</f>
        <v>Kích cỡ</v>
      </c>
      <c r="F1062" s="34" t="s">
        <v>1180</v>
      </c>
    </row>
    <row r="1063" spans="1:6" x14ac:dyDescent="0.25">
      <c r="A1063" t="s">
        <v>1992</v>
      </c>
      <c r="B1063" s="18" t="str">
        <f>INDEX('Product Variant'!$B:$B,MATCH($A1063,'Product Variant'!$A:$A,0))</f>
        <v>PRODUCT-00211</v>
      </c>
      <c r="C1063" s="18" t="str">
        <f>INDEX(Product!$B:$B,MATCH($B1063,Product!$A:$A,0))</f>
        <v>[Mepro] Ống thông tiểu Foley silicon 2 nhánh dài ngày</v>
      </c>
      <c r="D1063" t="s">
        <v>2367</v>
      </c>
      <c r="E1063" s="18" t="str">
        <f>INDEX('Attribute Definition'!$B:$B,MATCH($D1063,'Attribute Definition'!$A:$A,0))</f>
        <v>Chất liệu</v>
      </c>
      <c r="F1063" s="34" t="s">
        <v>2516</v>
      </c>
    </row>
    <row r="1064" spans="1:6" x14ac:dyDescent="0.25">
      <c r="A1064" t="s">
        <v>1992</v>
      </c>
      <c r="B1064" s="18" t="str">
        <f>INDEX('Product Variant'!$B:$B,MATCH($A1064,'Product Variant'!$A:$A,0))</f>
        <v>PRODUCT-00211</v>
      </c>
      <c r="C1064" s="18" t="str">
        <f>INDEX(Product!$B:$B,MATCH($B1064,Product!$A:$A,0))</f>
        <v>[Mepro] Ống thông tiểu Foley silicon 2 nhánh dài ngày</v>
      </c>
      <c r="D1064" t="s">
        <v>2411</v>
      </c>
      <c r="E1064" s="18" t="str">
        <f>INDEX('Attribute Definition'!$B:$B,MATCH($D1064,'Attribute Definition'!$A:$A,0))</f>
        <v>Số nòng / nhánh</v>
      </c>
      <c r="F1064" s="34" t="s">
        <v>2573</v>
      </c>
    </row>
    <row r="1065" spans="1:6" x14ac:dyDescent="0.25">
      <c r="A1065" t="s">
        <v>1992</v>
      </c>
      <c r="B1065" s="18" t="str">
        <f>INDEX('Product Variant'!$B:$B,MATCH($A1065,'Product Variant'!$A:$A,0))</f>
        <v>PRODUCT-00211</v>
      </c>
      <c r="C1065" s="18" t="str">
        <f>INDEX(Product!$B:$B,MATCH($B1065,Product!$A:$A,0))</f>
        <v>[Mepro] Ống thông tiểu Foley silicon 2 nhánh dài ngày</v>
      </c>
      <c r="D1065" t="s">
        <v>2454</v>
      </c>
      <c r="E1065" s="18" t="str">
        <f>INDEX('Attribute Definition'!$B:$B,MATCH($D1065,'Attribute Definition'!$A:$A,0))</f>
        <v>Thời gian sử dụng</v>
      </c>
      <c r="F1065" s="34" t="s">
        <v>2602</v>
      </c>
    </row>
    <row r="1066" spans="1:6" x14ac:dyDescent="0.25">
      <c r="A1066" t="s">
        <v>1992</v>
      </c>
      <c r="B1066" s="18" t="str">
        <f>INDEX('Product Variant'!$B:$B,MATCH($A1066,'Product Variant'!$A:$A,0))</f>
        <v>PRODUCT-00211</v>
      </c>
      <c r="C1066" s="18" t="str">
        <f>INDEX(Product!$B:$B,MATCH($B1066,Product!$A:$A,0))</f>
        <v>[Mepro] Ống thông tiểu Foley silicon 2 nhánh dài ngày</v>
      </c>
      <c r="D1066" t="s">
        <v>2471</v>
      </c>
      <c r="E1066" s="18" t="str">
        <f>INDEX('Attribute Definition'!$B:$B,MATCH($D1066,'Attribute Definition'!$A:$A,0))</f>
        <v>Dạng sản phẩm</v>
      </c>
      <c r="F1066" s="34" t="s">
        <v>2574</v>
      </c>
    </row>
    <row r="1067" spans="1:6" x14ac:dyDescent="0.25">
      <c r="A1067" t="s">
        <v>1992</v>
      </c>
      <c r="B1067" s="18" t="str">
        <f>INDEX('Product Variant'!$B:$B,MATCH($A1067,'Product Variant'!$A:$A,0))</f>
        <v>PRODUCT-00211</v>
      </c>
      <c r="C1067" s="18" t="str">
        <f>INDEX(Product!$B:$B,MATCH($B1067,Product!$A:$A,0))</f>
        <v>[Mepro] Ống thông tiểu Foley silicon 2 nhánh dài ngày</v>
      </c>
      <c r="D1067" t="s">
        <v>2656</v>
      </c>
      <c r="E1067" s="18" t="str">
        <f>INDEX('Attribute Definition'!$B:$B,MATCH($D1067,'Attribute Definition'!$A:$A,0))</f>
        <v>Kích cỡ</v>
      </c>
      <c r="F1067" s="34" t="s">
        <v>1181</v>
      </c>
    </row>
    <row r="1068" spans="1:6" x14ac:dyDescent="0.25">
      <c r="A1068" t="s">
        <v>1993</v>
      </c>
      <c r="B1068" s="18" t="str">
        <f>INDEX('Product Variant'!$B:$B,MATCH($A1068,'Product Variant'!$A:$A,0))</f>
        <v>PRODUCT-00211</v>
      </c>
      <c r="C1068" s="18" t="str">
        <f>INDEX(Product!$B:$B,MATCH($B1068,Product!$A:$A,0))</f>
        <v>[Mepro] Ống thông tiểu Foley silicon 2 nhánh dài ngày</v>
      </c>
      <c r="D1068" t="s">
        <v>2367</v>
      </c>
      <c r="E1068" s="18" t="str">
        <f>INDEX('Attribute Definition'!$B:$B,MATCH($D1068,'Attribute Definition'!$A:$A,0))</f>
        <v>Chất liệu</v>
      </c>
      <c r="F1068" s="34" t="s">
        <v>2516</v>
      </c>
    </row>
    <row r="1069" spans="1:6" x14ac:dyDescent="0.25">
      <c r="A1069" t="s">
        <v>1993</v>
      </c>
      <c r="B1069" s="18" t="str">
        <f>INDEX('Product Variant'!$B:$B,MATCH($A1069,'Product Variant'!$A:$A,0))</f>
        <v>PRODUCT-00211</v>
      </c>
      <c r="C1069" s="18" t="str">
        <f>INDEX(Product!$B:$B,MATCH($B1069,Product!$A:$A,0))</f>
        <v>[Mepro] Ống thông tiểu Foley silicon 2 nhánh dài ngày</v>
      </c>
      <c r="D1069" t="s">
        <v>2411</v>
      </c>
      <c r="E1069" s="18" t="str">
        <f>INDEX('Attribute Definition'!$B:$B,MATCH($D1069,'Attribute Definition'!$A:$A,0))</f>
        <v>Số nòng / nhánh</v>
      </c>
      <c r="F1069" s="34" t="s">
        <v>2573</v>
      </c>
    </row>
    <row r="1070" spans="1:6" x14ac:dyDescent="0.25">
      <c r="A1070" t="s">
        <v>1993</v>
      </c>
      <c r="B1070" s="18" t="str">
        <f>INDEX('Product Variant'!$B:$B,MATCH($A1070,'Product Variant'!$A:$A,0))</f>
        <v>PRODUCT-00211</v>
      </c>
      <c r="C1070" s="18" t="str">
        <f>INDEX(Product!$B:$B,MATCH($B1070,Product!$A:$A,0))</f>
        <v>[Mepro] Ống thông tiểu Foley silicon 2 nhánh dài ngày</v>
      </c>
      <c r="D1070" t="s">
        <v>2454</v>
      </c>
      <c r="E1070" s="18" t="str">
        <f>INDEX('Attribute Definition'!$B:$B,MATCH($D1070,'Attribute Definition'!$A:$A,0))</f>
        <v>Thời gian sử dụng</v>
      </c>
      <c r="F1070" s="34" t="s">
        <v>2602</v>
      </c>
    </row>
    <row r="1071" spans="1:6" x14ac:dyDescent="0.25">
      <c r="A1071" t="s">
        <v>1993</v>
      </c>
      <c r="B1071" s="18" t="str">
        <f>INDEX('Product Variant'!$B:$B,MATCH($A1071,'Product Variant'!$A:$A,0))</f>
        <v>PRODUCT-00211</v>
      </c>
      <c r="C1071" s="18" t="str">
        <f>INDEX(Product!$B:$B,MATCH($B1071,Product!$A:$A,0))</f>
        <v>[Mepro] Ống thông tiểu Foley silicon 2 nhánh dài ngày</v>
      </c>
      <c r="D1071" t="s">
        <v>2471</v>
      </c>
      <c r="E1071" s="18" t="str">
        <f>INDEX('Attribute Definition'!$B:$B,MATCH($D1071,'Attribute Definition'!$A:$A,0))</f>
        <v>Dạng sản phẩm</v>
      </c>
      <c r="F1071" s="34" t="s">
        <v>2574</v>
      </c>
    </row>
    <row r="1072" spans="1:6" x14ac:dyDescent="0.25">
      <c r="A1072" t="s">
        <v>1993</v>
      </c>
      <c r="B1072" s="18" t="str">
        <f>INDEX('Product Variant'!$B:$B,MATCH($A1072,'Product Variant'!$A:$A,0))</f>
        <v>PRODUCT-00211</v>
      </c>
      <c r="C1072" s="18" t="str">
        <f>INDEX(Product!$B:$B,MATCH($B1072,Product!$A:$A,0))</f>
        <v>[Mepro] Ống thông tiểu Foley silicon 2 nhánh dài ngày</v>
      </c>
      <c r="D1072" t="s">
        <v>2656</v>
      </c>
      <c r="E1072" s="18" t="str">
        <f>INDEX('Attribute Definition'!$B:$B,MATCH($D1072,'Attribute Definition'!$A:$A,0))</f>
        <v>Kích cỡ</v>
      </c>
      <c r="F1072" s="34" t="s">
        <v>1182</v>
      </c>
    </row>
    <row r="1073" spans="1:6" x14ac:dyDescent="0.25">
      <c r="A1073" t="s">
        <v>1994</v>
      </c>
      <c r="B1073" s="18" t="str">
        <f>INDEX('Product Variant'!$B:$B,MATCH($A1073,'Product Variant'!$A:$A,0))</f>
        <v>PRODUCT-00212</v>
      </c>
      <c r="C1073" s="18" t="str">
        <f>INDEX(Product!$B:$B,MATCH($B1073,Product!$A:$A,0))</f>
        <v>[Pitr Med] Dụng cụ hỗ trợ đi tiểu nam (bộ chụp tiểu silicon)</v>
      </c>
      <c r="D1073" t="s">
        <v>2367</v>
      </c>
      <c r="E1073" s="18" t="str">
        <f>INDEX('Attribute Definition'!$B:$B,MATCH($D1073,'Attribute Definition'!$A:$A,0))</f>
        <v>Chất liệu</v>
      </c>
      <c r="F1073" s="34" t="s">
        <v>2516</v>
      </c>
    </row>
    <row r="1074" spans="1:6" x14ac:dyDescent="0.25">
      <c r="A1074" t="s">
        <v>1994</v>
      </c>
      <c r="B1074" s="18" t="str">
        <f>INDEX('Product Variant'!$B:$B,MATCH($A1074,'Product Variant'!$A:$A,0))</f>
        <v>PRODUCT-00212</v>
      </c>
      <c r="C1074" s="18" t="str">
        <f>INDEX(Product!$B:$B,MATCH($B1074,Product!$A:$A,0))</f>
        <v>[Pitr Med] Dụng cụ hỗ trợ đi tiểu nam (bộ chụp tiểu silicon)</v>
      </c>
      <c r="D1074" t="s">
        <v>2449</v>
      </c>
      <c r="E1074" s="18" t="str">
        <f>INDEX('Attribute Definition'!$B:$B,MATCH($D1074,'Attribute Definition'!$A:$A,0))</f>
        <v>Đối tượng sử dụng</v>
      </c>
      <c r="F1074" s="34" t="s">
        <v>2604</v>
      </c>
    </row>
    <row r="1075" spans="1:6" x14ac:dyDescent="0.25">
      <c r="A1075" t="s">
        <v>1994</v>
      </c>
      <c r="B1075" s="18" t="str">
        <f>INDEX('Product Variant'!$B:$B,MATCH($A1075,'Product Variant'!$A:$A,0))</f>
        <v>PRODUCT-00212</v>
      </c>
      <c r="C1075" s="18" t="str">
        <f>INDEX(Product!$B:$B,MATCH($B1075,Product!$A:$A,0))</f>
        <v>[Pitr Med] Dụng cụ hỗ trợ đi tiểu nam (bộ chụp tiểu silicon)</v>
      </c>
      <c r="D1075" t="s">
        <v>2471</v>
      </c>
      <c r="E1075" s="18" t="str">
        <f>INDEX('Attribute Definition'!$B:$B,MATCH($D1075,'Attribute Definition'!$A:$A,0))</f>
        <v>Dạng sản phẩm</v>
      </c>
      <c r="F1075" s="34" t="s">
        <v>2561</v>
      </c>
    </row>
    <row r="1076" spans="1:6" x14ac:dyDescent="0.25">
      <c r="A1076" t="s">
        <v>1995</v>
      </c>
      <c r="B1076" s="18" t="str">
        <f>INDEX('Product Variant'!$B:$B,MATCH($A1076,'Product Variant'!$A:$A,0))</f>
        <v>PRODUCT-00213</v>
      </c>
      <c r="C1076" s="18" t="str">
        <f>INDEX(Product!$B:$B,MATCH($B1076,Product!$A:$A,0))</f>
        <v>[Welford] Túi đựng nước tiểu có van khóa - i-CARE</v>
      </c>
      <c r="D1076" t="s">
        <v>2374</v>
      </c>
      <c r="E1076" s="18" t="str">
        <f>INDEX('Attribute Definition'!$B:$B,MATCH($D1076,'Attribute Definition'!$A:$A,0))</f>
        <v>Vô trùng</v>
      </c>
      <c r="F1076" s="34" t="s">
        <v>2485</v>
      </c>
    </row>
    <row r="1077" spans="1:6" x14ac:dyDescent="0.25">
      <c r="A1077" t="s">
        <v>1995</v>
      </c>
      <c r="B1077" s="18" t="str">
        <f>INDEX('Product Variant'!$B:$B,MATCH($A1077,'Product Variant'!$A:$A,0))</f>
        <v>PRODUCT-00213</v>
      </c>
      <c r="C1077" s="18" t="str">
        <f>INDEX(Product!$B:$B,MATCH($B1077,Product!$A:$A,0))</f>
        <v>[Welford] Túi đựng nước tiểu có van khóa - i-CARE</v>
      </c>
      <c r="D1077" t="s">
        <v>2401</v>
      </c>
      <c r="E1077" s="18" t="str">
        <f>INDEX('Attribute Definition'!$B:$B,MATCH($D1077,'Attribute Definition'!$A:$A,0))</f>
        <v>Kiểu khóa / xả</v>
      </c>
      <c r="F1077" s="34" t="s">
        <v>2605</v>
      </c>
    </row>
    <row r="1078" spans="1:6" x14ac:dyDescent="0.25">
      <c r="A1078" t="s">
        <v>1995</v>
      </c>
      <c r="B1078" s="18" t="str">
        <f>INDEX('Product Variant'!$B:$B,MATCH($A1078,'Product Variant'!$A:$A,0))</f>
        <v>PRODUCT-00213</v>
      </c>
      <c r="C1078" s="18" t="str">
        <f>INDEX(Product!$B:$B,MATCH($B1078,Product!$A:$A,0))</f>
        <v>[Welford] Túi đựng nước tiểu có van khóa - i-CARE</v>
      </c>
      <c r="D1078" t="s">
        <v>2471</v>
      </c>
      <c r="E1078" s="18" t="str">
        <f>INDEX('Attribute Definition'!$B:$B,MATCH($D1078,'Attribute Definition'!$A:$A,0))</f>
        <v>Dạng sản phẩm</v>
      </c>
      <c r="F1078" s="34" t="s">
        <v>817</v>
      </c>
    </row>
    <row r="1079" spans="1:6" x14ac:dyDescent="0.25">
      <c r="A1079" t="s">
        <v>1996</v>
      </c>
      <c r="B1079" s="18" t="str">
        <f>INDEX('Product Variant'!$B:$B,MATCH($A1079,'Product Variant'!$A:$A,0))</f>
        <v>PRODUCT-00214</v>
      </c>
      <c r="C1079" s="18" t="str">
        <f>INDEX(Product!$B:$B,MATCH($B1079,Product!$A:$A,0))</f>
        <v>[Yushin] Bộ mở bàng quang qua da - Suprapubic Catheter Set</v>
      </c>
      <c r="D1079" t="s">
        <v>2471</v>
      </c>
      <c r="E1079" s="18" t="str">
        <f>INDEX('Attribute Definition'!$B:$B,MATCH($D1079,'Attribute Definition'!$A:$A,0))</f>
        <v>Dạng sản phẩm</v>
      </c>
      <c r="F1079" s="34" t="s">
        <v>2490</v>
      </c>
    </row>
    <row r="1080" spans="1:6" x14ac:dyDescent="0.25">
      <c r="A1080" t="s">
        <v>1996</v>
      </c>
      <c r="B1080" s="18" t="str">
        <f>INDEX('Product Variant'!$B:$B,MATCH($A1080,'Product Variant'!$A:$A,0))</f>
        <v>PRODUCT-00214</v>
      </c>
      <c r="C1080" s="18" t="str">
        <f>INDEX(Product!$B:$B,MATCH($B1080,Product!$A:$A,0))</f>
        <v>[Yushin] Bộ mở bàng quang qua da - Suprapubic Catheter Set</v>
      </c>
      <c r="D1080" t="s">
        <v>2656</v>
      </c>
      <c r="E1080" s="18" t="str">
        <f>INDEX('Attribute Definition'!$B:$B,MATCH($D1080,'Attribute Definition'!$A:$A,0))</f>
        <v>Kích cỡ</v>
      </c>
      <c r="F1080" s="34" t="s">
        <v>1180</v>
      </c>
    </row>
    <row r="1081" spans="1:6" x14ac:dyDescent="0.25">
      <c r="A1081" t="s">
        <v>1997</v>
      </c>
      <c r="B1081" s="18" t="str">
        <f>INDEX('Product Variant'!$B:$B,MATCH($A1081,'Product Variant'!$A:$A,0))</f>
        <v>PRODUCT-00214</v>
      </c>
      <c r="C1081" s="18" t="str">
        <f>INDEX(Product!$B:$B,MATCH($B1081,Product!$A:$A,0))</f>
        <v>[Yushin] Bộ mở bàng quang qua da - Suprapubic Catheter Set</v>
      </c>
      <c r="D1081" t="s">
        <v>2471</v>
      </c>
      <c r="E1081" s="18" t="str">
        <f>INDEX('Attribute Definition'!$B:$B,MATCH($D1081,'Attribute Definition'!$A:$A,0))</f>
        <v>Dạng sản phẩm</v>
      </c>
      <c r="F1081" s="34" t="s">
        <v>2490</v>
      </c>
    </row>
    <row r="1082" spans="1:6" x14ac:dyDescent="0.25">
      <c r="A1082" t="s">
        <v>1997</v>
      </c>
      <c r="B1082" s="18" t="str">
        <f>INDEX('Product Variant'!$B:$B,MATCH($A1082,'Product Variant'!$A:$A,0))</f>
        <v>PRODUCT-00214</v>
      </c>
      <c r="C1082" s="18" t="str">
        <f>INDEX(Product!$B:$B,MATCH($B1082,Product!$A:$A,0))</f>
        <v>[Yushin] Bộ mở bàng quang qua da - Suprapubic Catheter Set</v>
      </c>
      <c r="D1082" t="s">
        <v>2656</v>
      </c>
      <c r="E1082" s="18" t="str">
        <f>INDEX('Attribute Definition'!$B:$B,MATCH($D1082,'Attribute Definition'!$A:$A,0))</f>
        <v>Kích cỡ</v>
      </c>
      <c r="F1082" s="34" t="s">
        <v>1181</v>
      </c>
    </row>
    <row r="1083" spans="1:6" x14ac:dyDescent="0.25">
      <c r="A1083" t="s">
        <v>1998</v>
      </c>
      <c r="B1083" s="18" t="str">
        <f>INDEX('Product Variant'!$B:$B,MATCH($A1083,'Product Variant'!$A:$A,0))</f>
        <v>PRODUCT-00215</v>
      </c>
      <c r="C1083" s="18" t="str">
        <f>INDEX(Product!$B:$B,MATCH($B1083,Product!$A:$A,0))</f>
        <v>[Yushin] Ống thông tiểu Foley silicon 2 nhánh dài ngày</v>
      </c>
      <c r="D1083" t="s">
        <v>2367</v>
      </c>
      <c r="E1083" s="18" t="str">
        <f>INDEX('Attribute Definition'!$B:$B,MATCH($D1083,'Attribute Definition'!$A:$A,0))</f>
        <v>Chất liệu</v>
      </c>
      <c r="F1083" s="34" t="s">
        <v>2516</v>
      </c>
    </row>
    <row r="1084" spans="1:6" x14ac:dyDescent="0.25">
      <c r="A1084" t="s">
        <v>1998</v>
      </c>
      <c r="B1084" s="18" t="str">
        <f>INDEX('Product Variant'!$B:$B,MATCH($A1084,'Product Variant'!$A:$A,0))</f>
        <v>PRODUCT-00215</v>
      </c>
      <c r="C1084" s="18" t="str">
        <f>INDEX(Product!$B:$B,MATCH($B1084,Product!$A:$A,0))</f>
        <v>[Yushin] Ống thông tiểu Foley silicon 2 nhánh dài ngày</v>
      </c>
      <c r="D1084" t="s">
        <v>2411</v>
      </c>
      <c r="E1084" s="18" t="str">
        <f>INDEX('Attribute Definition'!$B:$B,MATCH($D1084,'Attribute Definition'!$A:$A,0))</f>
        <v>Số nòng / nhánh</v>
      </c>
      <c r="F1084" s="34" t="s">
        <v>2573</v>
      </c>
    </row>
    <row r="1085" spans="1:6" x14ac:dyDescent="0.25">
      <c r="A1085" t="s">
        <v>1998</v>
      </c>
      <c r="B1085" s="18" t="str">
        <f>INDEX('Product Variant'!$B:$B,MATCH($A1085,'Product Variant'!$A:$A,0))</f>
        <v>PRODUCT-00215</v>
      </c>
      <c r="C1085" s="18" t="str">
        <f>INDEX(Product!$B:$B,MATCH($B1085,Product!$A:$A,0))</f>
        <v>[Yushin] Ống thông tiểu Foley silicon 2 nhánh dài ngày</v>
      </c>
      <c r="D1085" t="s">
        <v>2454</v>
      </c>
      <c r="E1085" s="18" t="str">
        <f>INDEX('Attribute Definition'!$B:$B,MATCH($D1085,'Attribute Definition'!$A:$A,0))</f>
        <v>Thời gian sử dụng</v>
      </c>
      <c r="F1085" s="34" t="s">
        <v>2602</v>
      </c>
    </row>
    <row r="1086" spans="1:6" x14ac:dyDescent="0.25">
      <c r="A1086" t="s">
        <v>1998</v>
      </c>
      <c r="B1086" s="18" t="str">
        <f>INDEX('Product Variant'!$B:$B,MATCH($A1086,'Product Variant'!$A:$A,0))</f>
        <v>PRODUCT-00215</v>
      </c>
      <c r="C1086" s="18" t="str">
        <f>INDEX(Product!$B:$B,MATCH($B1086,Product!$A:$A,0))</f>
        <v>[Yushin] Ống thông tiểu Foley silicon 2 nhánh dài ngày</v>
      </c>
      <c r="D1086" t="s">
        <v>2471</v>
      </c>
      <c r="E1086" s="18" t="str">
        <f>INDEX('Attribute Definition'!$B:$B,MATCH($D1086,'Attribute Definition'!$A:$A,0))</f>
        <v>Dạng sản phẩm</v>
      </c>
      <c r="F1086" s="34" t="s">
        <v>2574</v>
      </c>
    </row>
    <row r="1087" spans="1:6" x14ac:dyDescent="0.25">
      <c r="A1087" t="s">
        <v>1998</v>
      </c>
      <c r="B1087" s="18" t="str">
        <f>INDEX('Product Variant'!$B:$B,MATCH($A1087,'Product Variant'!$A:$A,0))</f>
        <v>PRODUCT-00215</v>
      </c>
      <c r="C1087" s="18" t="str">
        <f>INDEX(Product!$B:$B,MATCH($B1087,Product!$A:$A,0))</f>
        <v>[Yushin] Ống thông tiểu Foley silicon 2 nhánh dài ngày</v>
      </c>
      <c r="D1087" t="s">
        <v>2656</v>
      </c>
      <c r="E1087" s="18" t="str">
        <f>INDEX('Attribute Definition'!$B:$B,MATCH($D1087,'Attribute Definition'!$A:$A,0))</f>
        <v>Kích cỡ</v>
      </c>
      <c r="F1087" s="34" t="s">
        <v>1180</v>
      </c>
    </row>
    <row r="1088" spans="1:6" x14ac:dyDescent="0.25">
      <c r="A1088" t="s">
        <v>1999</v>
      </c>
      <c r="B1088" s="18" t="str">
        <f>INDEX('Product Variant'!$B:$B,MATCH($A1088,'Product Variant'!$A:$A,0))</f>
        <v>PRODUCT-00215</v>
      </c>
      <c r="C1088" s="18" t="str">
        <f>INDEX(Product!$B:$B,MATCH($B1088,Product!$A:$A,0))</f>
        <v>[Yushin] Ống thông tiểu Foley silicon 2 nhánh dài ngày</v>
      </c>
      <c r="D1088" t="s">
        <v>2367</v>
      </c>
      <c r="E1088" s="18" t="str">
        <f>INDEX('Attribute Definition'!$B:$B,MATCH($D1088,'Attribute Definition'!$A:$A,0))</f>
        <v>Chất liệu</v>
      </c>
      <c r="F1088" s="34" t="s">
        <v>2516</v>
      </c>
    </row>
    <row r="1089" spans="1:6" x14ac:dyDescent="0.25">
      <c r="A1089" t="s">
        <v>1999</v>
      </c>
      <c r="B1089" s="18" t="str">
        <f>INDEX('Product Variant'!$B:$B,MATCH($A1089,'Product Variant'!$A:$A,0))</f>
        <v>PRODUCT-00215</v>
      </c>
      <c r="C1089" s="18" t="str">
        <f>INDEX(Product!$B:$B,MATCH($B1089,Product!$A:$A,0))</f>
        <v>[Yushin] Ống thông tiểu Foley silicon 2 nhánh dài ngày</v>
      </c>
      <c r="D1089" t="s">
        <v>2411</v>
      </c>
      <c r="E1089" s="18" t="str">
        <f>INDEX('Attribute Definition'!$B:$B,MATCH($D1089,'Attribute Definition'!$A:$A,0))</f>
        <v>Số nòng / nhánh</v>
      </c>
      <c r="F1089" s="34" t="s">
        <v>2573</v>
      </c>
    </row>
    <row r="1090" spans="1:6" x14ac:dyDescent="0.25">
      <c r="A1090" t="s">
        <v>1999</v>
      </c>
      <c r="B1090" s="18" t="str">
        <f>INDEX('Product Variant'!$B:$B,MATCH($A1090,'Product Variant'!$A:$A,0))</f>
        <v>PRODUCT-00215</v>
      </c>
      <c r="C1090" s="18" t="str">
        <f>INDEX(Product!$B:$B,MATCH($B1090,Product!$A:$A,0))</f>
        <v>[Yushin] Ống thông tiểu Foley silicon 2 nhánh dài ngày</v>
      </c>
      <c r="D1090" t="s">
        <v>2454</v>
      </c>
      <c r="E1090" s="18" t="str">
        <f>INDEX('Attribute Definition'!$B:$B,MATCH($D1090,'Attribute Definition'!$A:$A,0))</f>
        <v>Thời gian sử dụng</v>
      </c>
      <c r="F1090" s="34" t="s">
        <v>2602</v>
      </c>
    </row>
    <row r="1091" spans="1:6" x14ac:dyDescent="0.25">
      <c r="A1091" t="s">
        <v>1999</v>
      </c>
      <c r="B1091" s="18" t="str">
        <f>INDEX('Product Variant'!$B:$B,MATCH($A1091,'Product Variant'!$A:$A,0))</f>
        <v>PRODUCT-00215</v>
      </c>
      <c r="C1091" s="18" t="str">
        <f>INDEX(Product!$B:$B,MATCH($B1091,Product!$A:$A,0))</f>
        <v>[Yushin] Ống thông tiểu Foley silicon 2 nhánh dài ngày</v>
      </c>
      <c r="D1091" t="s">
        <v>2471</v>
      </c>
      <c r="E1091" s="18" t="str">
        <f>INDEX('Attribute Definition'!$B:$B,MATCH($D1091,'Attribute Definition'!$A:$A,0))</f>
        <v>Dạng sản phẩm</v>
      </c>
      <c r="F1091" s="34" t="s">
        <v>2574</v>
      </c>
    </row>
    <row r="1092" spans="1:6" x14ac:dyDescent="0.25">
      <c r="A1092" t="s">
        <v>1999</v>
      </c>
      <c r="B1092" s="18" t="str">
        <f>INDEX('Product Variant'!$B:$B,MATCH($A1092,'Product Variant'!$A:$A,0))</f>
        <v>PRODUCT-00215</v>
      </c>
      <c r="C1092" s="18" t="str">
        <f>INDEX(Product!$B:$B,MATCH($B1092,Product!$A:$A,0))</f>
        <v>[Yushin] Ống thông tiểu Foley silicon 2 nhánh dài ngày</v>
      </c>
      <c r="D1092" t="s">
        <v>2656</v>
      </c>
      <c r="E1092" s="18" t="str">
        <f>INDEX('Attribute Definition'!$B:$B,MATCH($D1092,'Attribute Definition'!$A:$A,0))</f>
        <v>Kích cỡ</v>
      </c>
      <c r="F1092" s="34" t="s">
        <v>1181</v>
      </c>
    </row>
    <row r="1093" spans="1:6" x14ac:dyDescent="0.25">
      <c r="A1093" t="s">
        <v>2000</v>
      </c>
      <c r="B1093" s="18" t="str">
        <f>INDEX('Product Variant'!$B:$B,MATCH($A1093,'Product Variant'!$A:$A,0))</f>
        <v>PRODUCT-00216</v>
      </c>
      <c r="C1093" s="18" t="str">
        <f>INDEX(Product!$B:$B,MATCH($B1093,Product!$A:$A,0))</f>
        <v>[Yushin] Ống thông tiểu ngắt quãng silicon</v>
      </c>
      <c r="D1093" t="s">
        <v>2367</v>
      </c>
      <c r="E1093" s="18" t="str">
        <f>INDEX('Attribute Definition'!$B:$B,MATCH($D1093,'Attribute Definition'!$A:$A,0))</f>
        <v>Chất liệu</v>
      </c>
      <c r="F1093" s="34" t="s">
        <v>2516</v>
      </c>
    </row>
    <row r="1094" spans="1:6" x14ac:dyDescent="0.25">
      <c r="A1094" t="s">
        <v>2000</v>
      </c>
      <c r="B1094" s="18" t="str">
        <f>INDEX('Product Variant'!$B:$B,MATCH($A1094,'Product Variant'!$A:$A,0))</f>
        <v>PRODUCT-00216</v>
      </c>
      <c r="C1094" s="18" t="str">
        <f>INDEX(Product!$B:$B,MATCH($B1094,Product!$A:$A,0))</f>
        <v>[Yushin] Ống thông tiểu ngắt quãng silicon</v>
      </c>
      <c r="D1094" t="s">
        <v>2471</v>
      </c>
      <c r="E1094" s="18" t="str">
        <f>INDEX('Attribute Definition'!$B:$B,MATCH($D1094,'Attribute Definition'!$A:$A,0))</f>
        <v>Dạng sản phẩm</v>
      </c>
      <c r="F1094" s="34" t="s">
        <v>2574</v>
      </c>
    </row>
    <row r="1095" spans="1:6" x14ac:dyDescent="0.25">
      <c r="A1095" t="s">
        <v>2000</v>
      </c>
      <c r="B1095" s="18" t="str">
        <f>INDEX('Product Variant'!$B:$B,MATCH($A1095,'Product Variant'!$A:$A,0))</f>
        <v>PRODUCT-00216</v>
      </c>
      <c r="C1095" s="18" t="str">
        <f>INDEX(Product!$B:$B,MATCH($B1095,Product!$A:$A,0))</f>
        <v>[Yushin] Ống thông tiểu ngắt quãng silicon</v>
      </c>
      <c r="D1095" t="s">
        <v>2656</v>
      </c>
      <c r="E1095" s="18" t="str">
        <f>INDEX('Attribute Definition'!$B:$B,MATCH($D1095,'Attribute Definition'!$A:$A,0))</f>
        <v>Kích cỡ</v>
      </c>
      <c r="F1095" s="34" t="s">
        <v>1166</v>
      </c>
    </row>
    <row r="1096" spans="1:6" x14ac:dyDescent="0.25">
      <c r="A1096" t="s">
        <v>2001</v>
      </c>
      <c r="B1096" s="18" t="str">
        <f>INDEX('Product Variant'!$B:$B,MATCH($A1096,'Product Variant'!$A:$A,0))</f>
        <v>PRODUCT-00216</v>
      </c>
      <c r="C1096" s="18" t="str">
        <f>INDEX(Product!$B:$B,MATCH($B1096,Product!$A:$A,0))</f>
        <v>[Yushin] Ống thông tiểu ngắt quãng silicon</v>
      </c>
      <c r="D1096" t="s">
        <v>2367</v>
      </c>
      <c r="E1096" s="18" t="str">
        <f>INDEX('Attribute Definition'!$B:$B,MATCH($D1096,'Attribute Definition'!$A:$A,0))</f>
        <v>Chất liệu</v>
      </c>
      <c r="F1096" s="34" t="s">
        <v>2516</v>
      </c>
    </row>
    <row r="1097" spans="1:6" x14ac:dyDescent="0.25">
      <c r="A1097" t="s">
        <v>2001</v>
      </c>
      <c r="B1097" s="18" t="str">
        <f>INDEX('Product Variant'!$B:$B,MATCH($A1097,'Product Variant'!$A:$A,0))</f>
        <v>PRODUCT-00216</v>
      </c>
      <c r="C1097" s="18" t="str">
        <f>INDEX(Product!$B:$B,MATCH($B1097,Product!$A:$A,0))</f>
        <v>[Yushin] Ống thông tiểu ngắt quãng silicon</v>
      </c>
      <c r="D1097" t="s">
        <v>2471</v>
      </c>
      <c r="E1097" s="18" t="str">
        <f>INDEX('Attribute Definition'!$B:$B,MATCH($D1097,'Attribute Definition'!$A:$A,0))</f>
        <v>Dạng sản phẩm</v>
      </c>
      <c r="F1097" s="34" t="s">
        <v>2574</v>
      </c>
    </row>
    <row r="1098" spans="1:6" x14ac:dyDescent="0.25">
      <c r="A1098" t="s">
        <v>2001</v>
      </c>
      <c r="B1098" s="18" t="str">
        <f>INDEX('Product Variant'!$B:$B,MATCH($A1098,'Product Variant'!$A:$A,0))</f>
        <v>PRODUCT-00216</v>
      </c>
      <c r="C1098" s="18" t="str">
        <f>INDEX(Product!$B:$B,MATCH($B1098,Product!$A:$A,0))</f>
        <v>[Yushin] Ống thông tiểu ngắt quãng silicon</v>
      </c>
      <c r="D1098" t="s">
        <v>2656</v>
      </c>
      <c r="E1098" s="18" t="str">
        <f>INDEX('Attribute Definition'!$B:$B,MATCH($D1098,'Attribute Definition'!$A:$A,0))</f>
        <v>Kích cỡ</v>
      </c>
      <c r="F1098" s="34" t="s">
        <v>1167</v>
      </c>
    </row>
    <row r="1099" spans="1:6" x14ac:dyDescent="0.25">
      <c r="A1099" t="s">
        <v>2002</v>
      </c>
      <c r="B1099" s="18" t="str">
        <f>INDEX('Product Variant'!$B:$B,MATCH($A1099,'Product Variant'!$A:$A,0))</f>
        <v>PRODUCT-00217</v>
      </c>
      <c r="C1099" s="18" t="str">
        <f>INDEX(Product!$B:$B,MATCH($B1099,Product!$A:$A,0))</f>
        <v>Túi đựng nước tiểu cột chân có van khóa</v>
      </c>
      <c r="D1099" t="s">
        <v>2401</v>
      </c>
      <c r="E1099" s="18" t="str">
        <f>INDEX('Attribute Definition'!$B:$B,MATCH($D1099,'Attribute Definition'!$A:$A,0))</f>
        <v>Kiểu khóa / xả</v>
      </c>
      <c r="F1099" s="34" t="s">
        <v>2605</v>
      </c>
    </row>
    <row r="1100" spans="1:6" x14ac:dyDescent="0.25">
      <c r="A1100" t="s">
        <v>2002</v>
      </c>
      <c r="B1100" s="18" t="str">
        <f>INDEX('Product Variant'!$B:$B,MATCH($A1100,'Product Variant'!$A:$A,0))</f>
        <v>PRODUCT-00217</v>
      </c>
      <c r="C1100" s="18" t="str">
        <f>INDEX(Product!$B:$B,MATCH($B1100,Product!$A:$A,0))</f>
        <v>Túi đựng nước tiểu cột chân có van khóa</v>
      </c>
      <c r="D1100" t="s">
        <v>2471</v>
      </c>
      <c r="E1100" s="18" t="str">
        <f>INDEX('Attribute Definition'!$B:$B,MATCH($D1100,'Attribute Definition'!$A:$A,0))</f>
        <v>Dạng sản phẩm</v>
      </c>
      <c r="F1100" s="34" t="s">
        <v>817</v>
      </c>
    </row>
    <row r="1101" spans="1:6" x14ac:dyDescent="0.25">
      <c r="A1101" t="s">
        <v>2003</v>
      </c>
      <c r="B1101" s="18" t="str">
        <f>INDEX('Product Variant'!$B:$B,MATCH($A1101,'Product Variant'!$A:$A,0))</f>
        <v>PRODUCT-00218</v>
      </c>
      <c r="C1101" s="18" t="str">
        <f>INDEX(Product!$B:$B,MATCH($B1101,Product!$A:$A,0))</f>
        <v>[Bornsun] Hệ thống dẫn lưu phân</v>
      </c>
      <c r="D1101" t="s">
        <v>2471</v>
      </c>
      <c r="E1101" s="18" t="str">
        <f>INDEX('Attribute Definition'!$B:$B,MATCH($D1101,'Attribute Definition'!$A:$A,0))</f>
        <v>Dạng sản phẩm</v>
      </c>
      <c r="F1101" s="34" t="s">
        <v>2481</v>
      </c>
    </row>
    <row r="1102" spans="1:6" x14ac:dyDescent="0.25">
      <c r="A1102" t="s">
        <v>2004</v>
      </c>
      <c r="B1102" s="18" t="str">
        <f>INDEX('Product Variant'!$B:$B,MATCH($A1102,'Product Variant'!$A:$A,0))</f>
        <v>PRODUCT-00219</v>
      </c>
      <c r="C1102" s="18" t="str">
        <f>INDEX(Product!$B:$B,MATCH($B1102,Product!$A:$A,0))</f>
        <v>[Covidien] Máy bơm thức ăn - Kangaroo ePump™</v>
      </c>
      <c r="D1102" t="s">
        <v>2471</v>
      </c>
      <c r="E1102" s="18" t="str">
        <f>INDEX('Attribute Definition'!$B:$B,MATCH($D1102,'Attribute Definition'!$A:$A,0))</f>
        <v>Dạng sản phẩm</v>
      </c>
      <c r="F1102" s="34" t="s">
        <v>2481</v>
      </c>
    </row>
    <row r="1103" spans="1:6" x14ac:dyDescent="0.25">
      <c r="A1103" t="s">
        <v>2005</v>
      </c>
      <c r="B1103" s="18" t="str">
        <f>INDEX('Product Variant'!$B:$B,MATCH($A1103,'Product Variant'!$A:$A,0))</f>
        <v>PRODUCT-00220</v>
      </c>
      <c r="C1103" s="18" t="str">
        <f>INDEX(Product!$B:$B,MATCH($B1103,Product!$A:$A,0))</f>
        <v>[Covidien] Ống thông dạ dày nuôi ăn 29 ngày - Kangaroo</v>
      </c>
      <c r="D1103" t="s">
        <v>2454</v>
      </c>
      <c r="E1103" s="18" t="str">
        <f>INDEX('Attribute Definition'!$B:$B,MATCH($D1103,'Attribute Definition'!$A:$A,0))</f>
        <v>Thời gian sử dụng</v>
      </c>
      <c r="F1103" s="34" t="s">
        <v>2606</v>
      </c>
    </row>
    <row r="1104" spans="1:6" x14ac:dyDescent="0.25">
      <c r="A1104" t="s">
        <v>2005</v>
      </c>
      <c r="B1104" s="18" t="str">
        <f>INDEX('Product Variant'!$B:$B,MATCH($A1104,'Product Variant'!$A:$A,0))</f>
        <v>PRODUCT-00220</v>
      </c>
      <c r="C1104" s="18" t="str">
        <f>INDEX(Product!$B:$B,MATCH($B1104,Product!$A:$A,0))</f>
        <v>[Covidien] Ống thông dạ dày nuôi ăn 29 ngày - Kangaroo</v>
      </c>
      <c r="D1104" t="s">
        <v>2471</v>
      </c>
      <c r="E1104" s="18" t="str">
        <f>INDEX('Attribute Definition'!$B:$B,MATCH($D1104,'Attribute Definition'!$A:$A,0))</f>
        <v>Dạng sản phẩm</v>
      </c>
      <c r="F1104" s="34" t="s">
        <v>2574</v>
      </c>
    </row>
    <row r="1105" spans="1:6" x14ac:dyDescent="0.25">
      <c r="A1105" t="s">
        <v>2006</v>
      </c>
      <c r="B1105" s="18" t="str">
        <f>INDEX('Product Variant'!$B:$B,MATCH($A1105,'Product Variant'!$A:$A,0))</f>
        <v>PRODUCT-00221</v>
      </c>
      <c r="C1105" s="18" t="str">
        <f>INDEX(Product!$B:$B,MATCH($B1105,Product!$A:$A,0))</f>
        <v>[Create Medic] Bộ mở thông dạ dày qua da - Cliny</v>
      </c>
      <c r="D1105" t="s">
        <v>2367</v>
      </c>
      <c r="E1105" s="18" t="str">
        <f>INDEX('Attribute Definition'!$B:$B,MATCH($D1105,'Attribute Definition'!$A:$A,0))</f>
        <v>Chất liệu</v>
      </c>
      <c r="F1105" s="34" t="s">
        <v>2516</v>
      </c>
    </row>
    <row r="1106" spans="1:6" x14ac:dyDescent="0.25">
      <c r="A1106" t="s">
        <v>2006</v>
      </c>
      <c r="B1106" s="18" t="str">
        <f>INDEX('Product Variant'!$B:$B,MATCH($A1106,'Product Variant'!$A:$A,0))</f>
        <v>PRODUCT-00221</v>
      </c>
      <c r="C1106" s="18" t="str">
        <f>INDEX(Product!$B:$B,MATCH($B1106,Product!$A:$A,0))</f>
        <v>[Create Medic] Bộ mở thông dạ dày qua da - Cliny</v>
      </c>
      <c r="D1106" t="s">
        <v>2471</v>
      </c>
      <c r="E1106" s="18" t="str">
        <f>INDEX('Attribute Definition'!$B:$B,MATCH($D1106,'Attribute Definition'!$A:$A,0))</f>
        <v>Dạng sản phẩm</v>
      </c>
      <c r="F1106" s="34" t="s">
        <v>2490</v>
      </c>
    </row>
    <row r="1107" spans="1:6" x14ac:dyDescent="0.25">
      <c r="A1107" t="s">
        <v>2006</v>
      </c>
      <c r="B1107" s="18" t="str">
        <f>INDEX('Product Variant'!$B:$B,MATCH($A1107,'Product Variant'!$A:$A,0))</f>
        <v>PRODUCT-00221</v>
      </c>
      <c r="C1107" s="18" t="str">
        <f>INDEX(Product!$B:$B,MATCH($B1107,Product!$A:$A,0))</f>
        <v>[Create Medic] Bộ mở thông dạ dày qua da - Cliny</v>
      </c>
      <c r="D1107" t="s">
        <v>2656</v>
      </c>
      <c r="E1107" s="18" t="str">
        <f>INDEX('Attribute Definition'!$B:$B,MATCH($D1107,'Attribute Definition'!$A:$A,0))</f>
        <v>Kích cỡ</v>
      </c>
      <c r="F1107" s="34" t="s">
        <v>1180</v>
      </c>
    </row>
    <row r="1108" spans="1:6" x14ac:dyDescent="0.25">
      <c r="A1108" t="s">
        <v>2007</v>
      </c>
      <c r="B1108" s="18" t="str">
        <f>INDEX('Product Variant'!$B:$B,MATCH($A1108,'Product Variant'!$A:$A,0))</f>
        <v>PRODUCT-00221</v>
      </c>
      <c r="C1108" s="18" t="str">
        <f>INDEX(Product!$B:$B,MATCH($B1108,Product!$A:$A,0))</f>
        <v>[Create Medic] Bộ mở thông dạ dày qua da - Cliny</v>
      </c>
      <c r="D1108" t="s">
        <v>2367</v>
      </c>
      <c r="E1108" s="18" t="str">
        <f>INDEX('Attribute Definition'!$B:$B,MATCH($D1108,'Attribute Definition'!$A:$A,0))</f>
        <v>Chất liệu</v>
      </c>
      <c r="F1108" s="34" t="s">
        <v>2516</v>
      </c>
    </row>
    <row r="1109" spans="1:6" x14ac:dyDescent="0.25">
      <c r="A1109" t="s">
        <v>2007</v>
      </c>
      <c r="B1109" s="18" t="str">
        <f>INDEX('Product Variant'!$B:$B,MATCH($A1109,'Product Variant'!$A:$A,0))</f>
        <v>PRODUCT-00221</v>
      </c>
      <c r="C1109" s="18" t="str">
        <f>INDEX(Product!$B:$B,MATCH($B1109,Product!$A:$A,0))</f>
        <v>[Create Medic] Bộ mở thông dạ dày qua da - Cliny</v>
      </c>
      <c r="D1109" t="s">
        <v>2471</v>
      </c>
      <c r="E1109" s="18" t="str">
        <f>INDEX('Attribute Definition'!$B:$B,MATCH($D1109,'Attribute Definition'!$A:$A,0))</f>
        <v>Dạng sản phẩm</v>
      </c>
      <c r="F1109" s="34" t="s">
        <v>2490</v>
      </c>
    </row>
    <row r="1110" spans="1:6" x14ac:dyDescent="0.25">
      <c r="A1110" t="s">
        <v>2007</v>
      </c>
      <c r="B1110" s="18" t="str">
        <f>INDEX('Product Variant'!$B:$B,MATCH($A1110,'Product Variant'!$A:$A,0))</f>
        <v>PRODUCT-00221</v>
      </c>
      <c r="C1110" s="18" t="str">
        <f>INDEX(Product!$B:$B,MATCH($B1110,Product!$A:$A,0))</f>
        <v>[Create Medic] Bộ mở thông dạ dày qua da - Cliny</v>
      </c>
      <c r="D1110" t="s">
        <v>2656</v>
      </c>
      <c r="E1110" s="18" t="str">
        <f>INDEX('Attribute Definition'!$B:$B,MATCH($D1110,'Attribute Definition'!$A:$A,0))</f>
        <v>Kích cỡ</v>
      </c>
      <c r="F1110" s="34" t="s">
        <v>1181</v>
      </c>
    </row>
    <row r="1111" spans="1:6" x14ac:dyDescent="0.25">
      <c r="A1111" t="s">
        <v>2008</v>
      </c>
      <c r="B1111" s="18" t="str">
        <f>INDEX('Product Variant'!$B:$B,MATCH($A1111,'Product Variant'!$A:$A,0))</f>
        <v>PRODUCT-00221</v>
      </c>
      <c r="C1111" s="18" t="str">
        <f>INDEX(Product!$B:$B,MATCH($B1111,Product!$A:$A,0))</f>
        <v>[Create Medic] Bộ mở thông dạ dày qua da - Cliny</v>
      </c>
      <c r="D1111" t="s">
        <v>2367</v>
      </c>
      <c r="E1111" s="18" t="str">
        <f>INDEX('Attribute Definition'!$B:$B,MATCH($D1111,'Attribute Definition'!$A:$A,0))</f>
        <v>Chất liệu</v>
      </c>
      <c r="F1111" s="34" t="s">
        <v>2516</v>
      </c>
    </row>
    <row r="1112" spans="1:6" x14ac:dyDescent="0.25">
      <c r="A1112" t="s">
        <v>2008</v>
      </c>
      <c r="B1112" s="18" t="str">
        <f>INDEX('Product Variant'!$B:$B,MATCH($A1112,'Product Variant'!$A:$A,0))</f>
        <v>PRODUCT-00221</v>
      </c>
      <c r="C1112" s="18" t="str">
        <f>INDEX(Product!$B:$B,MATCH($B1112,Product!$A:$A,0))</f>
        <v>[Create Medic] Bộ mở thông dạ dày qua da - Cliny</v>
      </c>
      <c r="D1112" t="s">
        <v>2471</v>
      </c>
      <c r="E1112" s="18" t="str">
        <f>INDEX('Attribute Definition'!$B:$B,MATCH($D1112,'Attribute Definition'!$A:$A,0))</f>
        <v>Dạng sản phẩm</v>
      </c>
      <c r="F1112" s="34" t="s">
        <v>2490</v>
      </c>
    </row>
    <row r="1113" spans="1:6" x14ac:dyDescent="0.25">
      <c r="A1113" t="s">
        <v>2008</v>
      </c>
      <c r="B1113" s="18" t="str">
        <f>INDEX('Product Variant'!$B:$B,MATCH($A1113,'Product Variant'!$A:$A,0))</f>
        <v>PRODUCT-00221</v>
      </c>
      <c r="C1113" s="18" t="str">
        <f>INDEX(Product!$B:$B,MATCH($B1113,Product!$A:$A,0))</f>
        <v>[Create Medic] Bộ mở thông dạ dày qua da - Cliny</v>
      </c>
      <c r="D1113" t="s">
        <v>2656</v>
      </c>
      <c r="E1113" s="18" t="str">
        <f>INDEX('Attribute Definition'!$B:$B,MATCH($D1113,'Attribute Definition'!$A:$A,0))</f>
        <v>Kích cỡ</v>
      </c>
      <c r="F1113" s="34" t="s">
        <v>1182</v>
      </c>
    </row>
    <row r="1114" spans="1:6" x14ac:dyDescent="0.25">
      <c r="A1114" t="s">
        <v>2009</v>
      </c>
      <c r="B1114" s="18" t="str">
        <f>INDEX('Product Variant'!$B:$B,MATCH($A1114,'Product Variant'!$A:$A,0))</f>
        <v>PRODUCT-00221</v>
      </c>
      <c r="C1114" s="18" t="str">
        <f>INDEX(Product!$B:$B,MATCH($B1114,Product!$A:$A,0))</f>
        <v>[Create Medic] Bộ mở thông dạ dày qua da - Cliny</v>
      </c>
      <c r="D1114" t="s">
        <v>2367</v>
      </c>
      <c r="E1114" s="18" t="str">
        <f>INDEX('Attribute Definition'!$B:$B,MATCH($D1114,'Attribute Definition'!$A:$A,0))</f>
        <v>Chất liệu</v>
      </c>
      <c r="F1114" s="34" t="s">
        <v>2516</v>
      </c>
    </row>
    <row r="1115" spans="1:6" x14ac:dyDescent="0.25">
      <c r="A1115" t="s">
        <v>2009</v>
      </c>
      <c r="B1115" s="18" t="str">
        <f>INDEX('Product Variant'!$B:$B,MATCH($A1115,'Product Variant'!$A:$A,0))</f>
        <v>PRODUCT-00221</v>
      </c>
      <c r="C1115" s="18" t="str">
        <f>INDEX(Product!$B:$B,MATCH($B1115,Product!$A:$A,0))</f>
        <v>[Create Medic] Bộ mở thông dạ dày qua da - Cliny</v>
      </c>
      <c r="D1115" t="s">
        <v>2471</v>
      </c>
      <c r="E1115" s="18" t="str">
        <f>INDEX('Attribute Definition'!$B:$B,MATCH($D1115,'Attribute Definition'!$A:$A,0))</f>
        <v>Dạng sản phẩm</v>
      </c>
      <c r="F1115" s="34" t="s">
        <v>2490</v>
      </c>
    </row>
    <row r="1116" spans="1:6" x14ac:dyDescent="0.25">
      <c r="A1116" t="s">
        <v>2009</v>
      </c>
      <c r="B1116" s="18" t="str">
        <f>INDEX('Product Variant'!$B:$B,MATCH($A1116,'Product Variant'!$A:$A,0))</f>
        <v>PRODUCT-00221</v>
      </c>
      <c r="C1116" s="18" t="str">
        <f>INDEX(Product!$B:$B,MATCH($B1116,Product!$A:$A,0))</f>
        <v>[Create Medic] Bộ mở thông dạ dày qua da - Cliny</v>
      </c>
      <c r="D1116" t="s">
        <v>2656</v>
      </c>
      <c r="E1116" s="18" t="str">
        <f>INDEX('Attribute Definition'!$B:$B,MATCH($D1116,'Attribute Definition'!$A:$A,0))</f>
        <v>Kích cỡ</v>
      </c>
      <c r="F1116" s="34" t="s">
        <v>1183</v>
      </c>
    </row>
    <row r="1117" spans="1:6" x14ac:dyDescent="0.25">
      <c r="A1117" t="s">
        <v>2010</v>
      </c>
      <c r="B1117" s="18" t="str">
        <f>INDEX('Product Variant'!$B:$B,MATCH($A1117,'Product Variant'!$A:$A,0))</f>
        <v>PRODUCT-00222</v>
      </c>
      <c r="C1117" s="18" t="str">
        <f>INDEX(Product!$B:$B,MATCH($B1117,Product!$A:$A,0))</f>
        <v>[Daesang Wellife] Sữa dinh dưỡng dành cho người tiểu đường - Nucare Glucose Plan (200ml)</v>
      </c>
      <c r="D1117" t="s">
        <v>2349</v>
      </c>
      <c r="E1117" s="18" t="str">
        <f>INDEX('Attribute Definition'!$B:$B,MATCH($D1117,'Attribute Definition'!$A:$A,0))</f>
        <v>Dung tích</v>
      </c>
      <c r="F1117" s="34" t="s">
        <v>1113</v>
      </c>
    </row>
    <row r="1118" spans="1:6" x14ac:dyDescent="0.25">
      <c r="A1118" t="s">
        <v>2010</v>
      </c>
      <c r="B1118" s="18" t="str">
        <f>INDEX('Product Variant'!$B:$B,MATCH($A1118,'Product Variant'!$A:$A,0))</f>
        <v>PRODUCT-00222</v>
      </c>
      <c r="C1118" s="18" t="str">
        <f>INDEX(Product!$B:$B,MATCH($B1118,Product!$A:$A,0))</f>
        <v>[Daesang Wellife] Sữa dinh dưỡng dành cho người tiểu đường - Nucare Glucose Plan (200ml)</v>
      </c>
      <c r="D1118" t="s">
        <v>2449</v>
      </c>
      <c r="E1118" s="18" t="str">
        <f>INDEX('Attribute Definition'!$B:$B,MATCH($D1118,'Attribute Definition'!$A:$A,0))</f>
        <v>Đối tượng sử dụng</v>
      </c>
      <c r="F1118" s="34" t="s">
        <v>2607</v>
      </c>
    </row>
    <row r="1119" spans="1:6" x14ac:dyDescent="0.25">
      <c r="A1119" t="s">
        <v>2010</v>
      </c>
      <c r="B1119" s="18" t="str">
        <f>INDEX('Product Variant'!$B:$B,MATCH($A1119,'Product Variant'!$A:$A,0))</f>
        <v>PRODUCT-00222</v>
      </c>
      <c r="C1119" s="18" t="str">
        <f>INDEX(Product!$B:$B,MATCH($B1119,Product!$A:$A,0))</f>
        <v>[Daesang Wellife] Sữa dinh dưỡng dành cho người tiểu đường - Nucare Glucose Plan (200ml)</v>
      </c>
      <c r="D1119" t="s">
        <v>2471</v>
      </c>
      <c r="E1119" s="18" t="str">
        <f>INDEX('Attribute Definition'!$B:$B,MATCH($D1119,'Attribute Definition'!$A:$A,0))</f>
        <v>Dạng sản phẩm</v>
      </c>
      <c r="F1119" s="34" t="s">
        <v>106</v>
      </c>
    </row>
    <row r="1120" spans="1:6" x14ac:dyDescent="0.25">
      <c r="A1120" t="s">
        <v>2011</v>
      </c>
      <c r="B1120" s="18" t="str">
        <f>INDEX('Product Variant'!$B:$B,MATCH($A1120,'Product Variant'!$A:$A,0))</f>
        <v>PRODUCT-00223</v>
      </c>
      <c r="C1120" s="18" t="str">
        <f>INDEX(Product!$B:$B,MATCH($B1120,Product!$A:$A,0))</f>
        <v>[Fortune] Bộ mở thông dạ dày qua da</v>
      </c>
      <c r="D1120" t="s">
        <v>2367</v>
      </c>
      <c r="E1120" s="18" t="str">
        <f>INDEX('Attribute Definition'!$B:$B,MATCH($D1120,'Attribute Definition'!$A:$A,0))</f>
        <v>Chất liệu</v>
      </c>
      <c r="F1120" s="34" t="s">
        <v>2516</v>
      </c>
    </row>
    <row r="1121" spans="1:6" x14ac:dyDescent="0.25">
      <c r="A1121" t="s">
        <v>2011</v>
      </c>
      <c r="B1121" s="18" t="str">
        <f>INDEX('Product Variant'!$B:$B,MATCH($A1121,'Product Variant'!$A:$A,0))</f>
        <v>PRODUCT-00223</v>
      </c>
      <c r="C1121" s="18" t="str">
        <f>INDEX(Product!$B:$B,MATCH($B1121,Product!$A:$A,0))</f>
        <v>[Fortune] Bộ mở thông dạ dày qua da</v>
      </c>
      <c r="D1121" t="s">
        <v>2471</v>
      </c>
      <c r="E1121" s="18" t="str">
        <f>INDEX('Attribute Definition'!$B:$B,MATCH($D1121,'Attribute Definition'!$A:$A,0))</f>
        <v>Dạng sản phẩm</v>
      </c>
      <c r="F1121" s="34" t="s">
        <v>2490</v>
      </c>
    </row>
    <row r="1122" spans="1:6" x14ac:dyDescent="0.25">
      <c r="A1122" t="s">
        <v>2011</v>
      </c>
      <c r="B1122" s="18" t="str">
        <f>INDEX('Product Variant'!$B:$B,MATCH($A1122,'Product Variant'!$A:$A,0))</f>
        <v>PRODUCT-00223</v>
      </c>
      <c r="C1122" s="18" t="str">
        <f>INDEX(Product!$B:$B,MATCH($B1122,Product!$A:$A,0))</f>
        <v>[Fortune] Bộ mở thông dạ dày qua da</v>
      </c>
      <c r="D1122" t="s">
        <v>2656</v>
      </c>
      <c r="E1122" s="18" t="str">
        <f>INDEX('Attribute Definition'!$B:$B,MATCH($D1122,'Attribute Definition'!$A:$A,0))</f>
        <v>Kích cỡ</v>
      </c>
      <c r="F1122" s="34" t="s">
        <v>1182</v>
      </c>
    </row>
    <row r="1123" spans="1:6" x14ac:dyDescent="0.25">
      <c r="A1123" t="s">
        <v>2012</v>
      </c>
      <c r="B1123" s="18" t="str">
        <f>INDEX('Product Variant'!$B:$B,MATCH($A1123,'Product Variant'!$A:$A,0))</f>
        <v>PRODUCT-00223</v>
      </c>
      <c r="C1123" s="18" t="str">
        <f>INDEX(Product!$B:$B,MATCH($B1123,Product!$A:$A,0))</f>
        <v>[Fortune] Bộ mở thông dạ dày qua da</v>
      </c>
      <c r="D1123" t="s">
        <v>2367</v>
      </c>
      <c r="E1123" s="18" t="str">
        <f>INDEX('Attribute Definition'!$B:$B,MATCH($D1123,'Attribute Definition'!$A:$A,0))</f>
        <v>Chất liệu</v>
      </c>
      <c r="F1123" s="34" t="s">
        <v>2516</v>
      </c>
    </row>
    <row r="1124" spans="1:6" x14ac:dyDescent="0.25">
      <c r="A1124" t="s">
        <v>2012</v>
      </c>
      <c r="B1124" s="18" t="str">
        <f>INDEX('Product Variant'!$B:$B,MATCH($A1124,'Product Variant'!$A:$A,0))</f>
        <v>PRODUCT-00223</v>
      </c>
      <c r="C1124" s="18" t="str">
        <f>INDEX(Product!$B:$B,MATCH($B1124,Product!$A:$A,0))</f>
        <v>[Fortune] Bộ mở thông dạ dày qua da</v>
      </c>
      <c r="D1124" t="s">
        <v>2471</v>
      </c>
      <c r="E1124" s="18" t="str">
        <f>INDEX('Attribute Definition'!$B:$B,MATCH($D1124,'Attribute Definition'!$A:$A,0))</f>
        <v>Dạng sản phẩm</v>
      </c>
      <c r="F1124" s="34" t="s">
        <v>2490</v>
      </c>
    </row>
    <row r="1125" spans="1:6" x14ac:dyDescent="0.25">
      <c r="A1125" t="s">
        <v>2012</v>
      </c>
      <c r="B1125" s="18" t="str">
        <f>INDEX('Product Variant'!$B:$B,MATCH($A1125,'Product Variant'!$A:$A,0))</f>
        <v>PRODUCT-00223</v>
      </c>
      <c r="C1125" s="18" t="str">
        <f>INDEX(Product!$B:$B,MATCH($B1125,Product!$A:$A,0))</f>
        <v>[Fortune] Bộ mở thông dạ dày qua da</v>
      </c>
      <c r="D1125" t="s">
        <v>2656</v>
      </c>
      <c r="E1125" s="18" t="str">
        <f>INDEX('Attribute Definition'!$B:$B,MATCH($D1125,'Attribute Definition'!$A:$A,0))</f>
        <v>Kích cỡ</v>
      </c>
      <c r="F1125" s="34" t="s">
        <v>1184</v>
      </c>
    </row>
    <row r="1126" spans="1:6" x14ac:dyDescent="0.25">
      <c r="A1126" t="s">
        <v>2013</v>
      </c>
      <c r="B1126" s="18" t="str">
        <f>INDEX('Product Variant'!$B:$B,MATCH($A1126,'Product Variant'!$A:$A,0))</f>
        <v>PRODUCT-00223</v>
      </c>
      <c r="C1126" s="18" t="str">
        <f>INDEX(Product!$B:$B,MATCH($B1126,Product!$A:$A,0))</f>
        <v>[Fortune] Bộ mở thông dạ dày qua da</v>
      </c>
      <c r="D1126" t="s">
        <v>2367</v>
      </c>
      <c r="E1126" s="18" t="str">
        <f>INDEX('Attribute Definition'!$B:$B,MATCH($D1126,'Attribute Definition'!$A:$A,0))</f>
        <v>Chất liệu</v>
      </c>
      <c r="F1126" s="34" t="s">
        <v>2516</v>
      </c>
    </row>
    <row r="1127" spans="1:6" x14ac:dyDescent="0.25">
      <c r="A1127" t="s">
        <v>2013</v>
      </c>
      <c r="B1127" s="18" t="str">
        <f>INDEX('Product Variant'!$B:$B,MATCH($A1127,'Product Variant'!$A:$A,0))</f>
        <v>PRODUCT-00223</v>
      </c>
      <c r="C1127" s="18" t="str">
        <f>INDEX(Product!$B:$B,MATCH($B1127,Product!$A:$A,0))</f>
        <v>[Fortune] Bộ mở thông dạ dày qua da</v>
      </c>
      <c r="D1127" t="s">
        <v>2471</v>
      </c>
      <c r="E1127" s="18" t="str">
        <f>INDEX('Attribute Definition'!$B:$B,MATCH($D1127,'Attribute Definition'!$A:$A,0))</f>
        <v>Dạng sản phẩm</v>
      </c>
      <c r="F1127" s="34" t="s">
        <v>2490</v>
      </c>
    </row>
    <row r="1128" spans="1:6" x14ac:dyDescent="0.25">
      <c r="A1128" t="s">
        <v>2013</v>
      </c>
      <c r="B1128" s="18" t="str">
        <f>INDEX('Product Variant'!$B:$B,MATCH($A1128,'Product Variant'!$A:$A,0))</f>
        <v>PRODUCT-00223</v>
      </c>
      <c r="C1128" s="18" t="str">
        <f>INDEX(Product!$B:$B,MATCH($B1128,Product!$A:$A,0))</f>
        <v>[Fortune] Bộ mở thông dạ dày qua da</v>
      </c>
      <c r="D1128" t="s">
        <v>2656</v>
      </c>
      <c r="E1128" s="18" t="str">
        <f>INDEX('Attribute Definition'!$B:$B,MATCH($D1128,'Attribute Definition'!$A:$A,0))</f>
        <v>Kích cỡ</v>
      </c>
      <c r="F1128" s="34" t="s">
        <v>1183</v>
      </c>
    </row>
    <row r="1129" spans="1:6" x14ac:dyDescent="0.25">
      <c r="A1129" t="s">
        <v>2014</v>
      </c>
      <c r="B1129" s="18" t="str">
        <f>INDEX('Product Variant'!$B:$B,MATCH($A1129,'Product Variant'!$A:$A,0))</f>
        <v>PRODUCT-00224</v>
      </c>
      <c r="C1129" s="18" t="str">
        <f>INDEX(Product!$B:$B,MATCH($B1129,Product!$A:$A,0))</f>
        <v>[Fortune] Xông nuôi ăn silicone dài ngày</v>
      </c>
      <c r="D1129" t="s">
        <v>2367</v>
      </c>
      <c r="E1129" s="18" t="str">
        <f>INDEX('Attribute Definition'!$B:$B,MATCH($D1129,'Attribute Definition'!$A:$A,0))</f>
        <v>Chất liệu</v>
      </c>
      <c r="F1129" s="34" t="s">
        <v>2516</v>
      </c>
    </row>
    <row r="1130" spans="1:6" x14ac:dyDescent="0.25">
      <c r="A1130" t="s">
        <v>2014</v>
      </c>
      <c r="B1130" s="18" t="str">
        <f>INDEX('Product Variant'!$B:$B,MATCH($A1130,'Product Variant'!$A:$A,0))</f>
        <v>PRODUCT-00224</v>
      </c>
      <c r="C1130" s="18" t="str">
        <f>INDEX(Product!$B:$B,MATCH($B1130,Product!$A:$A,0))</f>
        <v>[Fortune] Xông nuôi ăn silicone dài ngày</v>
      </c>
      <c r="D1130" t="s">
        <v>2374</v>
      </c>
      <c r="E1130" s="18" t="str">
        <f>INDEX('Attribute Definition'!$B:$B,MATCH($D1130,'Attribute Definition'!$A:$A,0))</f>
        <v>Vô trùng</v>
      </c>
      <c r="F1130" s="34" t="s">
        <v>2485</v>
      </c>
    </row>
    <row r="1131" spans="1:6" x14ac:dyDescent="0.25">
      <c r="A1131" t="s">
        <v>2014</v>
      </c>
      <c r="B1131" s="18" t="str">
        <f>INDEX('Product Variant'!$B:$B,MATCH($A1131,'Product Variant'!$A:$A,0))</f>
        <v>PRODUCT-00224</v>
      </c>
      <c r="C1131" s="18" t="str">
        <f>INDEX(Product!$B:$B,MATCH($B1131,Product!$A:$A,0))</f>
        <v>[Fortune] Xông nuôi ăn silicone dài ngày</v>
      </c>
      <c r="D1131" t="s">
        <v>2454</v>
      </c>
      <c r="E1131" s="18" t="str">
        <f>INDEX('Attribute Definition'!$B:$B,MATCH($D1131,'Attribute Definition'!$A:$A,0))</f>
        <v>Thời gian sử dụng</v>
      </c>
      <c r="F1131" s="34" t="s">
        <v>2602</v>
      </c>
    </row>
    <row r="1132" spans="1:6" x14ac:dyDescent="0.25">
      <c r="A1132" t="s">
        <v>2014</v>
      </c>
      <c r="B1132" s="18" t="str">
        <f>INDEX('Product Variant'!$B:$B,MATCH($A1132,'Product Variant'!$A:$A,0))</f>
        <v>PRODUCT-00224</v>
      </c>
      <c r="C1132" s="18" t="str">
        <f>INDEX(Product!$B:$B,MATCH($B1132,Product!$A:$A,0))</f>
        <v>[Fortune] Xông nuôi ăn silicone dài ngày</v>
      </c>
      <c r="D1132" t="s">
        <v>2471</v>
      </c>
      <c r="E1132" s="18" t="str">
        <f>INDEX('Attribute Definition'!$B:$B,MATCH($D1132,'Attribute Definition'!$A:$A,0))</f>
        <v>Dạng sản phẩm</v>
      </c>
      <c r="F1132" s="34" t="s">
        <v>2574</v>
      </c>
    </row>
    <row r="1133" spans="1:6" x14ac:dyDescent="0.25">
      <c r="A1133" t="s">
        <v>2014</v>
      </c>
      <c r="B1133" s="18" t="str">
        <f>INDEX('Product Variant'!$B:$B,MATCH($A1133,'Product Variant'!$A:$A,0))</f>
        <v>PRODUCT-00224</v>
      </c>
      <c r="C1133" s="18" t="str">
        <f>INDEX(Product!$B:$B,MATCH($B1133,Product!$A:$A,0))</f>
        <v>[Fortune] Xông nuôi ăn silicone dài ngày</v>
      </c>
      <c r="D1133" t="s">
        <v>2656</v>
      </c>
      <c r="E1133" s="18" t="str">
        <f>INDEX('Attribute Definition'!$B:$B,MATCH($D1133,'Attribute Definition'!$A:$A,0))</f>
        <v>Kích cỡ</v>
      </c>
      <c r="F1133" s="34" t="s">
        <v>1180</v>
      </c>
    </row>
    <row r="1134" spans="1:6" x14ac:dyDescent="0.25">
      <c r="A1134" t="s">
        <v>2015</v>
      </c>
      <c r="B1134" s="18" t="str">
        <f>INDEX('Product Variant'!$B:$B,MATCH($A1134,'Product Variant'!$A:$A,0))</f>
        <v>PRODUCT-00224</v>
      </c>
      <c r="C1134" s="18" t="str">
        <f>INDEX(Product!$B:$B,MATCH($B1134,Product!$A:$A,0))</f>
        <v>[Fortune] Xông nuôi ăn silicone dài ngày</v>
      </c>
      <c r="D1134" t="s">
        <v>2367</v>
      </c>
      <c r="E1134" s="18" t="str">
        <f>INDEX('Attribute Definition'!$B:$B,MATCH($D1134,'Attribute Definition'!$A:$A,0))</f>
        <v>Chất liệu</v>
      </c>
      <c r="F1134" s="34" t="s">
        <v>2516</v>
      </c>
    </row>
    <row r="1135" spans="1:6" x14ac:dyDescent="0.25">
      <c r="A1135" t="s">
        <v>2015</v>
      </c>
      <c r="B1135" s="18" t="str">
        <f>INDEX('Product Variant'!$B:$B,MATCH($A1135,'Product Variant'!$A:$A,0))</f>
        <v>PRODUCT-00224</v>
      </c>
      <c r="C1135" s="18" t="str">
        <f>INDEX(Product!$B:$B,MATCH($B1135,Product!$A:$A,0))</f>
        <v>[Fortune] Xông nuôi ăn silicone dài ngày</v>
      </c>
      <c r="D1135" t="s">
        <v>2374</v>
      </c>
      <c r="E1135" s="18" t="str">
        <f>INDEX('Attribute Definition'!$B:$B,MATCH($D1135,'Attribute Definition'!$A:$A,0))</f>
        <v>Vô trùng</v>
      </c>
      <c r="F1135" s="34" t="s">
        <v>2485</v>
      </c>
    </row>
    <row r="1136" spans="1:6" x14ac:dyDescent="0.25">
      <c r="A1136" t="s">
        <v>2015</v>
      </c>
      <c r="B1136" s="18" t="str">
        <f>INDEX('Product Variant'!$B:$B,MATCH($A1136,'Product Variant'!$A:$A,0))</f>
        <v>PRODUCT-00224</v>
      </c>
      <c r="C1136" s="18" t="str">
        <f>INDEX(Product!$B:$B,MATCH($B1136,Product!$A:$A,0))</f>
        <v>[Fortune] Xông nuôi ăn silicone dài ngày</v>
      </c>
      <c r="D1136" t="s">
        <v>2454</v>
      </c>
      <c r="E1136" s="18" t="str">
        <f>INDEX('Attribute Definition'!$B:$B,MATCH($D1136,'Attribute Definition'!$A:$A,0))</f>
        <v>Thời gian sử dụng</v>
      </c>
      <c r="F1136" s="34" t="s">
        <v>2602</v>
      </c>
    </row>
    <row r="1137" spans="1:6" x14ac:dyDescent="0.25">
      <c r="A1137" t="s">
        <v>2015</v>
      </c>
      <c r="B1137" s="18" t="str">
        <f>INDEX('Product Variant'!$B:$B,MATCH($A1137,'Product Variant'!$A:$A,0))</f>
        <v>PRODUCT-00224</v>
      </c>
      <c r="C1137" s="18" t="str">
        <f>INDEX(Product!$B:$B,MATCH($B1137,Product!$A:$A,0))</f>
        <v>[Fortune] Xông nuôi ăn silicone dài ngày</v>
      </c>
      <c r="D1137" t="s">
        <v>2471</v>
      </c>
      <c r="E1137" s="18" t="str">
        <f>INDEX('Attribute Definition'!$B:$B,MATCH($D1137,'Attribute Definition'!$A:$A,0))</f>
        <v>Dạng sản phẩm</v>
      </c>
      <c r="F1137" s="34" t="s">
        <v>2574</v>
      </c>
    </row>
    <row r="1138" spans="1:6" x14ac:dyDescent="0.25">
      <c r="A1138" t="s">
        <v>2015</v>
      </c>
      <c r="B1138" s="18" t="str">
        <f>INDEX('Product Variant'!$B:$B,MATCH($A1138,'Product Variant'!$A:$A,0))</f>
        <v>PRODUCT-00224</v>
      </c>
      <c r="C1138" s="18" t="str">
        <f>INDEX(Product!$B:$B,MATCH($B1138,Product!$A:$A,0))</f>
        <v>[Fortune] Xông nuôi ăn silicone dài ngày</v>
      </c>
      <c r="D1138" t="s">
        <v>2656</v>
      </c>
      <c r="E1138" s="18" t="str">
        <f>INDEX('Attribute Definition'!$B:$B,MATCH($D1138,'Attribute Definition'!$A:$A,0))</f>
        <v>Kích cỡ</v>
      </c>
      <c r="F1138" s="34" t="s">
        <v>1181</v>
      </c>
    </row>
    <row r="1139" spans="1:6" x14ac:dyDescent="0.25">
      <c r="A1139" t="s">
        <v>2016</v>
      </c>
      <c r="B1139" s="18" t="str">
        <f>INDEX('Product Variant'!$B:$B,MATCH($A1139,'Product Variant'!$A:$A,0))</f>
        <v>PRODUCT-00225</v>
      </c>
      <c r="C1139" s="18" t="str">
        <f>INDEX(Product!$B:$B,MATCH($B1139,Product!$A:$A,0))</f>
        <v>[Mepro] Dây xông dạ dày nuôi ăn silicone 30 ngày</v>
      </c>
      <c r="D1139" t="s">
        <v>2367</v>
      </c>
      <c r="E1139" s="18" t="str">
        <f>INDEX('Attribute Definition'!$B:$B,MATCH($D1139,'Attribute Definition'!$A:$A,0))</f>
        <v>Chất liệu</v>
      </c>
      <c r="F1139" s="34" t="s">
        <v>2516</v>
      </c>
    </row>
    <row r="1140" spans="1:6" x14ac:dyDescent="0.25">
      <c r="A1140" t="s">
        <v>2016</v>
      </c>
      <c r="B1140" s="18" t="str">
        <f>INDEX('Product Variant'!$B:$B,MATCH($A1140,'Product Variant'!$A:$A,0))</f>
        <v>PRODUCT-00225</v>
      </c>
      <c r="C1140" s="18" t="str">
        <f>INDEX(Product!$B:$B,MATCH($B1140,Product!$A:$A,0))</f>
        <v>[Mepro] Dây xông dạ dày nuôi ăn silicone 30 ngày</v>
      </c>
      <c r="D1140" t="s">
        <v>2374</v>
      </c>
      <c r="E1140" s="18" t="str">
        <f>INDEX('Attribute Definition'!$B:$B,MATCH($D1140,'Attribute Definition'!$A:$A,0))</f>
        <v>Vô trùng</v>
      </c>
      <c r="F1140" s="34" t="s">
        <v>2485</v>
      </c>
    </row>
    <row r="1141" spans="1:6" x14ac:dyDescent="0.25">
      <c r="A1141" t="s">
        <v>2016</v>
      </c>
      <c r="B1141" s="18" t="str">
        <f>INDEX('Product Variant'!$B:$B,MATCH($A1141,'Product Variant'!$A:$A,0))</f>
        <v>PRODUCT-00225</v>
      </c>
      <c r="C1141" s="18" t="str">
        <f>INDEX(Product!$B:$B,MATCH($B1141,Product!$A:$A,0))</f>
        <v>[Mepro] Dây xông dạ dày nuôi ăn silicone 30 ngày</v>
      </c>
      <c r="D1141" t="s">
        <v>2454</v>
      </c>
      <c r="E1141" s="18" t="str">
        <f>INDEX('Attribute Definition'!$B:$B,MATCH($D1141,'Attribute Definition'!$A:$A,0))</f>
        <v>Thời gian sử dụng</v>
      </c>
      <c r="F1141" s="34" t="s">
        <v>2608</v>
      </c>
    </row>
    <row r="1142" spans="1:6" x14ac:dyDescent="0.25">
      <c r="A1142" t="s">
        <v>2016</v>
      </c>
      <c r="B1142" s="18" t="str">
        <f>INDEX('Product Variant'!$B:$B,MATCH($A1142,'Product Variant'!$A:$A,0))</f>
        <v>PRODUCT-00225</v>
      </c>
      <c r="C1142" s="18" t="str">
        <f>INDEX(Product!$B:$B,MATCH($B1142,Product!$A:$A,0))</f>
        <v>[Mepro] Dây xông dạ dày nuôi ăn silicone 30 ngày</v>
      </c>
      <c r="D1142" t="s">
        <v>2471</v>
      </c>
      <c r="E1142" s="18" t="str">
        <f>INDEX('Attribute Definition'!$B:$B,MATCH($D1142,'Attribute Definition'!$A:$A,0))</f>
        <v>Dạng sản phẩm</v>
      </c>
      <c r="F1142" s="34" t="s">
        <v>2574</v>
      </c>
    </row>
    <row r="1143" spans="1:6" x14ac:dyDescent="0.25">
      <c r="A1143" t="s">
        <v>2016</v>
      </c>
      <c r="B1143" s="18" t="str">
        <f>INDEX('Product Variant'!$B:$B,MATCH($A1143,'Product Variant'!$A:$A,0))</f>
        <v>PRODUCT-00225</v>
      </c>
      <c r="C1143" s="18" t="str">
        <f>INDEX(Product!$B:$B,MATCH($B1143,Product!$A:$A,0))</f>
        <v>[Mepro] Dây xông dạ dày nuôi ăn silicone 30 ngày</v>
      </c>
      <c r="D1143" t="s">
        <v>2656</v>
      </c>
      <c r="E1143" s="18" t="str">
        <f>INDEX('Attribute Definition'!$B:$B,MATCH($D1143,'Attribute Definition'!$A:$A,0))</f>
        <v>Kích cỡ</v>
      </c>
      <c r="F1143" s="34" t="s">
        <v>1180</v>
      </c>
    </row>
    <row r="1144" spans="1:6" x14ac:dyDescent="0.25">
      <c r="A1144" t="s">
        <v>2017</v>
      </c>
      <c r="B1144" s="18" t="str">
        <f>INDEX('Product Variant'!$B:$B,MATCH($A1144,'Product Variant'!$A:$A,0))</f>
        <v>PRODUCT-00225</v>
      </c>
      <c r="C1144" s="18" t="str">
        <f>INDEX(Product!$B:$B,MATCH($B1144,Product!$A:$A,0))</f>
        <v>[Mepro] Dây xông dạ dày nuôi ăn silicone 30 ngày</v>
      </c>
      <c r="D1144" t="s">
        <v>2367</v>
      </c>
      <c r="E1144" s="18" t="str">
        <f>INDEX('Attribute Definition'!$B:$B,MATCH($D1144,'Attribute Definition'!$A:$A,0))</f>
        <v>Chất liệu</v>
      </c>
      <c r="F1144" s="34" t="s">
        <v>2516</v>
      </c>
    </row>
    <row r="1145" spans="1:6" x14ac:dyDescent="0.25">
      <c r="A1145" t="s">
        <v>2017</v>
      </c>
      <c r="B1145" s="18" t="str">
        <f>INDEX('Product Variant'!$B:$B,MATCH($A1145,'Product Variant'!$A:$A,0))</f>
        <v>PRODUCT-00225</v>
      </c>
      <c r="C1145" s="18" t="str">
        <f>INDEX(Product!$B:$B,MATCH($B1145,Product!$A:$A,0))</f>
        <v>[Mepro] Dây xông dạ dày nuôi ăn silicone 30 ngày</v>
      </c>
      <c r="D1145" t="s">
        <v>2374</v>
      </c>
      <c r="E1145" s="18" t="str">
        <f>INDEX('Attribute Definition'!$B:$B,MATCH($D1145,'Attribute Definition'!$A:$A,0))</f>
        <v>Vô trùng</v>
      </c>
      <c r="F1145" s="34" t="s">
        <v>2485</v>
      </c>
    </row>
    <row r="1146" spans="1:6" x14ac:dyDescent="0.25">
      <c r="A1146" t="s">
        <v>2017</v>
      </c>
      <c r="B1146" s="18" t="str">
        <f>INDEX('Product Variant'!$B:$B,MATCH($A1146,'Product Variant'!$A:$A,0))</f>
        <v>PRODUCT-00225</v>
      </c>
      <c r="C1146" s="18" t="str">
        <f>INDEX(Product!$B:$B,MATCH($B1146,Product!$A:$A,0))</f>
        <v>[Mepro] Dây xông dạ dày nuôi ăn silicone 30 ngày</v>
      </c>
      <c r="D1146" t="s">
        <v>2454</v>
      </c>
      <c r="E1146" s="18" t="str">
        <f>INDEX('Attribute Definition'!$B:$B,MATCH($D1146,'Attribute Definition'!$A:$A,0))</f>
        <v>Thời gian sử dụng</v>
      </c>
      <c r="F1146" s="34" t="s">
        <v>2608</v>
      </c>
    </row>
    <row r="1147" spans="1:6" x14ac:dyDescent="0.25">
      <c r="A1147" t="s">
        <v>2017</v>
      </c>
      <c r="B1147" s="18" t="str">
        <f>INDEX('Product Variant'!$B:$B,MATCH($A1147,'Product Variant'!$A:$A,0))</f>
        <v>PRODUCT-00225</v>
      </c>
      <c r="C1147" s="18" t="str">
        <f>INDEX(Product!$B:$B,MATCH($B1147,Product!$A:$A,0))</f>
        <v>[Mepro] Dây xông dạ dày nuôi ăn silicone 30 ngày</v>
      </c>
      <c r="D1147" t="s">
        <v>2471</v>
      </c>
      <c r="E1147" s="18" t="str">
        <f>INDEX('Attribute Definition'!$B:$B,MATCH($D1147,'Attribute Definition'!$A:$A,0))</f>
        <v>Dạng sản phẩm</v>
      </c>
      <c r="F1147" s="34" t="s">
        <v>2574</v>
      </c>
    </row>
    <row r="1148" spans="1:6" x14ac:dyDescent="0.25">
      <c r="A1148" t="s">
        <v>2017</v>
      </c>
      <c r="B1148" s="18" t="str">
        <f>INDEX('Product Variant'!$B:$B,MATCH($A1148,'Product Variant'!$A:$A,0))</f>
        <v>PRODUCT-00225</v>
      </c>
      <c r="C1148" s="18" t="str">
        <f>INDEX(Product!$B:$B,MATCH($B1148,Product!$A:$A,0))</f>
        <v>[Mepro] Dây xông dạ dày nuôi ăn silicone 30 ngày</v>
      </c>
      <c r="D1148" t="s">
        <v>2656</v>
      </c>
      <c r="E1148" s="18" t="str">
        <f>INDEX('Attribute Definition'!$B:$B,MATCH($D1148,'Attribute Definition'!$A:$A,0))</f>
        <v>Kích cỡ</v>
      </c>
      <c r="F1148" s="34" t="s">
        <v>1181</v>
      </c>
    </row>
    <row r="1149" spans="1:6" x14ac:dyDescent="0.25">
      <c r="A1149" t="s">
        <v>2018</v>
      </c>
      <c r="B1149" s="18" t="str">
        <f>INDEX('Product Variant'!$B:$B,MATCH($A1149,'Product Variant'!$A:$A,0))</f>
        <v>PRODUCT-00226</v>
      </c>
      <c r="C1149" s="18" t="str">
        <f>INDEX(Product!$B:$B,MATCH($B1149,Product!$A:$A,0))</f>
        <v>[Nutricia] Sữa dinh dưỡng - Fortimel Power (335g)</v>
      </c>
      <c r="D1149" t="s">
        <v>2356</v>
      </c>
      <c r="E1149" s="18" t="str">
        <f>INDEX('Attribute Definition'!$B:$B,MATCH($D1149,'Attribute Definition'!$A:$A,0))</f>
        <v>Khối lượng tịnh</v>
      </c>
      <c r="F1149" s="34" t="s">
        <v>1118</v>
      </c>
    </row>
    <row r="1150" spans="1:6" x14ac:dyDescent="0.25">
      <c r="A1150" t="s">
        <v>2018</v>
      </c>
      <c r="B1150" s="18" t="str">
        <f>INDEX('Product Variant'!$B:$B,MATCH($A1150,'Product Variant'!$A:$A,0))</f>
        <v>PRODUCT-00226</v>
      </c>
      <c r="C1150" s="18" t="str">
        <f>INDEX(Product!$B:$B,MATCH($B1150,Product!$A:$A,0))</f>
        <v>[Nutricia] Sữa dinh dưỡng - Fortimel Power (335g)</v>
      </c>
      <c r="D1150" t="s">
        <v>2471</v>
      </c>
      <c r="E1150" s="18" t="str">
        <f>INDEX('Attribute Definition'!$B:$B,MATCH($D1150,'Attribute Definition'!$A:$A,0))</f>
        <v>Dạng sản phẩm</v>
      </c>
      <c r="F1150" s="34" t="s">
        <v>106</v>
      </c>
    </row>
    <row r="1151" spans="1:6" x14ac:dyDescent="0.25">
      <c r="A1151" t="s">
        <v>2019</v>
      </c>
      <c r="B1151" s="18" t="str">
        <f>INDEX('Product Variant'!$B:$B,MATCH($A1151,'Product Variant'!$A:$A,0))</f>
        <v>PRODUCT-00227</v>
      </c>
      <c r="C1151" s="18" t="str">
        <f>INDEX(Product!$B:$B,MATCH($B1151,Product!$A:$A,0))</f>
        <v>[Nutricia] Sữa dinh dưỡng dành cho bệnh nhân ung thư - Forticare (125ml)</v>
      </c>
      <c r="D1151" t="s">
        <v>2349</v>
      </c>
      <c r="E1151" s="18" t="str">
        <f>INDEX('Attribute Definition'!$B:$B,MATCH($D1151,'Attribute Definition'!$A:$A,0))</f>
        <v>Dung tích</v>
      </c>
      <c r="F1151" s="34" t="s">
        <v>2609</v>
      </c>
    </row>
    <row r="1152" spans="1:6" x14ac:dyDescent="0.25">
      <c r="A1152" t="s">
        <v>2019</v>
      </c>
      <c r="B1152" s="18" t="str">
        <f>INDEX('Product Variant'!$B:$B,MATCH($A1152,'Product Variant'!$A:$A,0))</f>
        <v>PRODUCT-00227</v>
      </c>
      <c r="C1152" s="18" t="str">
        <f>INDEX(Product!$B:$B,MATCH($B1152,Product!$A:$A,0))</f>
        <v>[Nutricia] Sữa dinh dưỡng dành cho bệnh nhân ung thư - Forticare (125ml)</v>
      </c>
      <c r="D1152" t="s">
        <v>2449</v>
      </c>
      <c r="E1152" s="18" t="str">
        <f>INDEX('Attribute Definition'!$B:$B,MATCH($D1152,'Attribute Definition'!$A:$A,0))</f>
        <v>Đối tượng sử dụng</v>
      </c>
      <c r="F1152" s="34" t="s">
        <v>2610</v>
      </c>
    </row>
    <row r="1153" spans="1:6" x14ac:dyDescent="0.25">
      <c r="A1153" t="s">
        <v>2019</v>
      </c>
      <c r="B1153" s="18" t="str">
        <f>INDEX('Product Variant'!$B:$B,MATCH($A1153,'Product Variant'!$A:$A,0))</f>
        <v>PRODUCT-00227</v>
      </c>
      <c r="C1153" s="18" t="str">
        <f>INDEX(Product!$B:$B,MATCH($B1153,Product!$A:$A,0))</f>
        <v>[Nutricia] Sữa dinh dưỡng dành cho bệnh nhân ung thư - Forticare (125ml)</v>
      </c>
      <c r="D1153" t="s">
        <v>2471</v>
      </c>
      <c r="E1153" s="18" t="str">
        <f>INDEX('Attribute Definition'!$B:$B,MATCH($D1153,'Attribute Definition'!$A:$A,0))</f>
        <v>Dạng sản phẩm</v>
      </c>
      <c r="F1153" s="34" t="s">
        <v>106</v>
      </c>
    </row>
    <row r="1154" spans="1:6" x14ac:dyDescent="0.25">
      <c r="A1154" t="s">
        <v>2020</v>
      </c>
      <c r="B1154" s="18" t="str">
        <f>INDEX('Product Variant'!$B:$B,MATCH($A1154,'Product Variant'!$A:$A,0))</f>
        <v>PRODUCT-00228</v>
      </c>
      <c r="C1154" s="18" t="str">
        <f>INDEX(Product!$B:$B,MATCH($B1154,Product!$A:$A,0))</f>
        <v>[Nutricia] Sữa dinh dưỡng nuôi ăn qua ống thông - Nutrison (1000ml)</v>
      </c>
      <c r="D1154" t="s">
        <v>2349</v>
      </c>
      <c r="E1154" s="18" t="str">
        <f>INDEX('Attribute Definition'!$B:$B,MATCH($D1154,'Attribute Definition'!$A:$A,0))</f>
        <v>Dung tích</v>
      </c>
      <c r="F1154" s="34" t="s">
        <v>1122</v>
      </c>
    </row>
    <row r="1155" spans="1:6" x14ac:dyDescent="0.25">
      <c r="A1155" t="s">
        <v>2020</v>
      </c>
      <c r="B1155" s="18" t="str">
        <f>INDEX('Product Variant'!$B:$B,MATCH($A1155,'Product Variant'!$A:$A,0))</f>
        <v>PRODUCT-00228</v>
      </c>
      <c r="C1155" s="18" t="str">
        <f>INDEX(Product!$B:$B,MATCH($B1155,Product!$A:$A,0))</f>
        <v>[Nutricia] Sữa dinh dưỡng nuôi ăn qua ống thông - Nutrison (1000ml)</v>
      </c>
      <c r="D1155" t="s">
        <v>2471</v>
      </c>
      <c r="E1155" s="18" t="str">
        <f>INDEX('Attribute Definition'!$B:$B,MATCH($D1155,'Attribute Definition'!$A:$A,0))</f>
        <v>Dạng sản phẩm</v>
      </c>
      <c r="F1155" s="34" t="s">
        <v>106</v>
      </c>
    </row>
    <row r="1156" spans="1:6" x14ac:dyDescent="0.25">
      <c r="A1156" t="s">
        <v>2021</v>
      </c>
      <c r="B1156" s="18" t="str">
        <f>INDEX('Product Variant'!$B:$B,MATCH($A1156,'Product Variant'!$A:$A,0))</f>
        <v>PRODUCT-00229</v>
      </c>
      <c r="C1156" s="18" t="str">
        <f>INDEX(Product!$B:$B,MATCH($B1156,Product!$A:$A,0))</f>
        <v>[SeaSight] Bộ mở dạ dày qua da</v>
      </c>
      <c r="D1156" t="s">
        <v>2367</v>
      </c>
      <c r="E1156" s="18" t="str">
        <f>INDEX('Attribute Definition'!$B:$B,MATCH($D1156,'Attribute Definition'!$A:$A,0))</f>
        <v>Chất liệu</v>
      </c>
      <c r="F1156" s="34" t="s">
        <v>2516</v>
      </c>
    </row>
    <row r="1157" spans="1:6" x14ac:dyDescent="0.25">
      <c r="A1157" t="s">
        <v>2021</v>
      </c>
      <c r="B1157" s="18" t="str">
        <f>INDEX('Product Variant'!$B:$B,MATCH($A1157,'Product Variant'!$A:$A,0))</f>
        <v>PRODUCT-00229</v>
      </c>
      <c r="C1157" s="18" t="str">
        <f>INDEX(Product!$B:$B,MATCH($B1157,Product!$A:$A,0))</f>
        <v>[SeaSight] Bộ mở dạ dày qua da</v>
      </c>
      <c r="D1157" t="s">
        <v>2471</v>
      </c>
      <c r="E1157" s="18" t="str">
        <f>INDEX('Attribute Definition'!$B:$B,MATCH($D1157,'Attribute Definition'!$A:$A,0))</f>
        <v>Dạng sản phẩm</v>
      </c>
      <c r="F1157" s="34" t="s">
        <v>2490</v>
      </c>
    </row>
    <row r="1158" spans="1:6" x14ac:dyDescent="0.25">
      <c r="A1158" t="s">
        <v>2021</v>
      </c>
      <c r="B1158" s="18" t="str">
        <f>INDEX('Product Variant'!$B:$B,MATCH($A1158,'Product Variant'!$A:$A,0))</f>
        <v>PRODUCT-00229</v>
      </c>
      <c r="C1158" s="18" t="str">
        <f>INDEX(Product!$B:$B,MATCH($B1158,Product!$A:$A,0))</f>
        <v>[SeaSight] Bộ mở dạ dày qua da</v>
      </c>
      <c r="D1158" t="s">
        <v>2656</v>
      </c>
      <c r="E1158" s="18" t="str">
        <f>INDEX('Attribute Definition'!$B:$B,MATCH($D1158,'Attribute Definition'!$A:$A,0))</f>
        <v>Kích cỡ</v>
      </c>
      <c r="F1158" s="34" t="s">
        <v>1184</v>
      </c>
    </row>
    <row r="1159" spans="1:6" x14ac:dyDescent="0.25">
      <c r="A1159" t="s">
        <v>2022</v>
      </c>
      <c r="B1159" s="18" t="str">
        <f>INDEX('Product Variant'!$B:$B,MATCH($A1159,'Product Variant'!$A:$A,0))</f>
        <v>PRODUCT-00229</v>
      </c>
      <c r="C1159" s="18" t="str">
        <f>INDEX(Product!$B:$B,MATCH($B1159,Product!$A:$A,0))</f>
        <v>[SeaSight] Bộ mở dạ dày qua da</v>
      </c>
      <c r="D1159" t="s">
        <v>2367</v>
      </c>
      <c r="E1159" s="18" t="str">
        <f>INDEX('Attribute Definition'!$B:$B,MATCH($D1159,'Attribute Definition'!$A:$A,0))</f>
        <v>Chất liệu</v>
      </c>
      <c r="F1159" s="34" t="s">
        <v>2516</v>
      </c>
    </row>
    <row r="1160" spans="1:6" x14ac:dyDescent="0.25">
      <c r="A1160" t="s">
        <v>2022</v>
      </c>
      <c r="B1160" s="18" t="str">
        <f>INDEX('Product Variant'!$B:$B,MATCH($A1160,'Product Variant'!$A:$A,0))</f>
        <v>PRODUCT-00229</v>
      </c>
      <c r="C1160" s="18" t="str">
        <f>INDEX(Product!$B:$B,MATCH($B1160,Product!$A:$A,0))</f>
        <v>[SeaSight] Bộ mở dạ dày qua da</v>
      </c>
      <c r="D1160" t="s">
        <v>2471</v>
      </c>
      <c r="E1160" s="18" t="str">
        <f>INDEX('Attribute Definition'!$B:$B,MATCH($D1160,'Attribute Definition'!$A:$A,0))</f>
        <v>Dạng sản phẩm</v>
      </c>
      <c r="F1160" s="34" t="s">
        <v>2490</v>
      </c>
    </row>
    <row r="1161" spans="1:6" x14ac:dyDescent="0.25">
      <c r="A1161" t="s">
        <v>2022</v>
      </c>
      <c r="B1161" s="18" t="str">
        <f>INDEX('Product Variant'!$B:$B,MATCH($A1161,'Product Variant'!$A:$A,0))</f>
        <v>PRODUCT-00229</v>
      </c>
      <c r="C1161" s="18" t="str">
        <f>INDEX(Product!$B:$B,MATCH($B1161,Product!$A:$A,0))</f>
        <v>[SeaSight] Bộ mở dạ dày qua da</v>
      </c>
      <c r="D1161" t="s">
        <v>2656</v>
      </c>
      <c r="E1161" s="18" t="str">
        <f>INDEX('Attribute Definition'!$B:$B,MATCH($D1161,'Attribute Definition'!$A:$A,0))</f>
        <v>Kích cỡ</v>
      </c>
      <c r="F1161" s="34" t="s">
        <v>1183</v>
      </c>
    </row>
    <row r="1162" spans="1:6" x14ac:dyDescent="0.25">
      <c r="A1162" t="s">
        <v>2023</v>
      </c>
      <c r="B1162" s="18" t="str">
        <f>INDEX('Product Variant'!$B:$B,MATCH($A1162,'Product Variant'!$A:$A,0))</f>
        <v>PRODUCT-00230</v>
      </c>
      <c r="C1162" s="18" t="str">
        <f>INDEX(Product!$B:$B,MATCH($B1162,Product!$A:$A,0))</f>
        <v>[SeaSight] Dây nuôi ăn mũi - dạ dày silicone dài ngày</v>
      </c>
      <c r="D1162" t="s">
        <v>2367</v>
      </c>
      <c r="E1162" s="18" t="str">
        <f>INDEX('Attribute Definition'!$B:$B,MATCH($D1162,'Attribute Definition'!$A:$A,0))</f>
        <v>Chất liệu</v>
      </c>
      <c r="F1162" s="34" t="s">
        <v>2516</v>
      </c>
    </row>
    <row r="1163" spans="1:6" x14ac:dyDescent="0.25">
      <c r="A1163" t="s">
        <v>2023</v>
      </c>
      <c r="B1163" s="18" t="str">
        <f>INDEX('Product Variant'!$B:$B,MATCH($A1163,'Product Variant'!$A:$A,0))</f>
        <v>PRODUCT-00230</v>
      </c>
      <c r="C1163" s="18" t="str">
        <f>INDEX(Product!$B:$B,MATCH($B1163,Product!$A:$A,0))</f>
        <v>[SeaSight] Dây nuôi ăn mũi - dạ dày silicone dài ngày</v>
      </c>
      <c r="D1163" t="s">
        <v>2374</v>
      </c>
      <c r="E1163" s="18" t="str">
        <f>INDEX('Attribute Definition'!$B:$B,MATCH($D1163,'Attribute Definition'!$A:$A,0))</f>
        <v>Vô trùng</v>
      </c>
      <c r="F1163" s="34" t="s">
        <v>2485</v>
      </c>
    </row>
    <row r="1164" spans="1:6" x14ac:dyDescent="0.25">
      <c r="A1164" t="s">
        <v>2023</v>
      </c>
      <c r="B1164" s="18" t="str">
        <f>INDEX('Product Variant'!$B:$B,MATCH($A1164,'Product Variant'!$A:$A,0))</f>
        <v>PRODUCT-00230</v>
      </c>
      <c r="C1164" s="18" t="str">
        <f>INDEX(Product!$B:$B,MATCH($B1164,Product!$A:$A,0))</f>
        <v>[SeaSight] Dây nuôi ăn mũi - dạ dày silicone dài ngày</v>
      </c>
      <c r="D1164" t="s">
        <v>2454</v>
      </c>
      <c r="E1164" s="18" t="str">
        <f>INDEX('Attribute Definition'!$B:$B,MATCH($D1164,'Attribute Definition'!$A:$A,0))</f>
        <v>Thời gian sử dụng</v>
      </c>
      <c r="F1164" s="34" t="s">
        <v>2602</v>
      </c>
    </row>
    <row r="1165" spans="1:6" x14ac:dyDescent="0.25">
      <c r="A1165" t="s">
        <v>2023</v>
      </c>
      <c r="B1165" s="18" t="str">
        <f>INDEX('Product Variant'!$B:$B,MATCH($A1165,'Product Variant'!$A:$A,0))</f>
        <v>PRODUCT-00230</v>
      </c>
      <c r="C1165" s="18" t="str">
        <f>INDEX(Product!$B:$B,MATCH($B1165,Product!$A:$A,0))</f>
        <v>[SeaSight] Dây nuôi ăn mũi - dạ dày silicone dài ngày</v>
      </c>
      <c r="D1165" t="s">
        <v>2471</v>
      </c>
      <c r="E1165" s="18" t="str">
        <f>INDEX('Attribute Definition'!$B:$B,MATCH($D1165,'Attribute Definition'!$A:$A,0))</f>
        <v>Dạng sản phẩm</v>
      </c>
      <c r="F1165" s="34" t="s">
        <v>2574</v>
      </c>
    </row>
    <row r="1166" spans="1:6" x14ac:dyDescent="0.25">
      <c r="A1166" t="s">
        <v>2023</v>
      </c>
      <c r="B1166" s="18" t="str">
        <f>INDEX('Product Variant'!$B:$B,MATCH($A1166,'Product Variant'!$A:$A,0))</f>
        <v>PRODUCT-00230</v>
      </c>
      <c r="C1166" s="18" t="str">
        <f>INDEX(Product!$B:$B,MATCH($B1166,Product!$A:$A,0))</f>
        <v>[SeaSight] Dây nuôi ăn mũi - dạ dày silicone dài ngày</v>
      </c>
      <c r="D1166" t="s">
        <v>2656</v>
      </c>
      <c r="E1166" s="18" t="str">
        <f>INDEX('Attribute Definition'!$B:$B,MATCH($D1166,'Attribute Definition'!$A:$A,0))</f>
        <v>Kích cỡ</v>
      </c>
      <c r="F1166" s="34" t="s">
        <v>1180</v>
      </c>
    </row>
    <row r="1167" spans="1:6" x14ac:dyDescent="0.25">
      <c r="A1167" t="s">
        <v>2024</v>
      </c>
      <c r="B1167" s="18" t="str">
        <f>INDEX('Product Variant'!$B:$B,MATCH($A1167,'Product Variant'!$A:$A,0))</f>
        <v>PRODUCT-00230</v>
      </c>
      <c r="C1167" s="18" t="str">
        <f>INDEX(Product!$B:$B,MATCH($B1167,Product!$A:$A,0))</f>
        <v>[SeaSight] Dây nuôi ăn mũi - dạ dày silicone dài ngày</v>
      </c>
      <c r="D1167" t="s">
        <v>2367</v>
      </c>
      <c r="E1167" s="18" t="str">
        <f>INDEX('Attribute Definition'!$B:$B,MATCH($D1167,'Attribute Definition'!$A:$A,0))</f>
        <v>Chất liệu</v>
      </c>
      <c r="F1167" s="34" t="s">
        <v>2516</v>
      </c>
    </row>
    <row r="1168" spans="1:6" x14ac:dyDescent="0.25">
      <c r="A1168" t="s">
        <v>2024</v>
      </c>
      <c r="B1168" s="18" t="str">
        <f>INDEX('Product Variant'!$B:$B,MATCH($A1168,'Product Variant'!$A:$A,0))</f>
        <v>PRODUCT-00230</v>
      </c>
      <c r="C1168" s="18" t="str">
        <f>INDEX(Product!$B:$B,MATCH($B1168,Product!$A:$A,0))</f>
        <v>[SeaSight] Dây nuôi ăn mũi - dạ dày silicone dài ngày</v>
      </c>
      <c r="D1168" t="s">
        <v>2374</v>
      </c>
      <c r="E1168" s="18" t="str">
        <f>INDEX('Attribute Definition'!$B:$B,MATCH($D1168,'Attribute Definition'!$A:$A,0))</f>
        <v>Vô trùng</v>
      </c>
      <c r="F1168" s="34" t="s">
        <v>2485</v>
      </c>
    </row>
    <row r="1169" spans="1:6" x14ac:dyDescent="0.25">
      <c r="A1169" t="s">
        <v>2024</v>
      </c>
      <c r="B1169" s="18" t="str">
        <f>INDEX('Product Variant'!$B:$B,MATCH($A1169,'Product Variant'!$A:$A,0))</f>
        <v>PRODUCT-00230</v>
      </c>
      <c r="C1169" s="18" t="str">
        <f>INDEX(Product!$B:$B,MATCH($B1169,Product!$A:$A,0))</f>
        <v>[SeaSight] Dây nuôi ăn mũi - dạ dày silicone dài ngày</v>
      </c>
      <c r="D1169" t="s">
        <v>2454</v>
      </c>
      <c r="E1169" s="18" t="str">
        <f>INDEX('Attribute Definition'!$B:$B,MATCH($D1169,'Attribute Definition'!$A:$A,0))</f>
        <v>Thời gian sử dụng</v>
      </c>
      <c r="F1169" s="34" t="s">
        <v>2602</v>
      </c>
    </row>
    <row r="1170" spans="1:6" x14ac:dyDescent="0.25">
      <c r="A1170" t="s">
        <v>2024</v>
      </c>
      <c r="B1170" s="18" t="str">
        <f>INDEX('Product Variant'!$B:$B,MATCH($A1170,'Product Variant'!$A:$A,0))</f>
        <v>PRODUCT-00230</v>
      </c>
      <c r="C1170" s="18" t="str">
        <f>INDEX(Product!$B:$B,MATCH($B1170,Product!$A:$A,0))</f>
        <v>[SeaSight] Dây nuôi ăn mũi - dạ dày silicone dài ngày</v>
      </c>
      <c r="D1170" t="s">
        <v>2471</v>
      </c>
      <c r="E1170" s="18" t="str">
        <f>INDEX('Attribute Definition'!$B:$B,MATCH($D1170,'Attribute Definition'!$A:$A,0))</f>
        <v>Dạng sản phẩm</v>
      </c>
      <c r="F1170" s="34" t="s">
        <v>2574</v>
      </c>
    </row>
    <row r="1171" spans="1:6" x14ac:dyDescent="0.25">
      <c r="A1171" t="s">
        <v>2024</v>
      </c>
      <c r="B1171" s="18" t="str">
        <f>INDEX('Product Variant'!$B:$B,MATCH($A1171,'Product Variant'!$A:$A,0))</f>
        <v>PRODUCT-00230</v>
      </c>
      <c r="C1171" s="18" t="str">
        <f>INDEX(Product!$B:$B,MATCH($B1171,Product!$A:$A,0))</f>
        <v>[SeaSight] Dây nuôi ăn mũi - dạ dày silicone dài ngày</v>
      </c>
      <c r="D1171" t="s">
        <v>2656</v>
      </c>
      <c r="E1171" s="18" t="str">
        <f>INDEX('Attribute Definition'!$B:$B,MATCH($D1171,'Attribute Definition'!$A:$A,0))</f>
        <v>Kích cỡ</v>
      </c>
      <c r="F1171" s="34" t="s">
        <v>1181</v>
      </c>
    </row>
    <row r="1172" spans="1:6" x14ac:dyDescent="0.25">
      <c r="A1172" t="s">
        <v>2025</v>
      </c>
      <c r="B1172" s="18" t="str">
        <f>INDEX('Product Variant'!$B:$B,MATCH($A1172,'Product Variant'!$A:$A,0))</f>
        <v>PRODUCT-00231</v>
      </c>
      <c r="C1172" s="18" t="str">
        <f>INDEX(Product!$B:$B,MATCH($B1172,Product!$A:$A,0))</f>
        <v>[Teleflex] Ống chẹn thực quản, dạ dày - Sengstaken-Blakemore Tube</v>
      </c>
      <c r="D1172" t="s">
        <v>2471</v>
      </c>
      <c r="E1172" s="18" t="str">
        <f>INDEX('Attribute Definition'!$B:$B,MATCH($D1172,'Attribute Definition'!$A:$A,0))</f>
        <v>Dạng sản phẩm</v>
      </c>
      <c r="F1172" s="34" t="s">
        <v>2574</v>
      </c>
    </row>
    <row r="1173" spans="1:6" x14ac:dyDescent="0.25">
      <c r="A1173" t="s">
        <v>2026</v>
      </c>
      <c r="B1173" s="18" t="str">
        <f>INDEX('Product Variant'!$B:$B,MATCH($A1173,'Product Variant'!$A:$A,0))</f>
        <v>PRODUCT-00232</v>
      </c>
      <c r="C1173" s="18" t="str">
        <f>INDEX(Product!$B:$B,MATCH($B1173,Product!$A:$A,0))</f>
        <v>[Vinahankook] Bơm tiêm cho ăn sử dụng 1 lần - 50cc (50ml)</v>
      </c>
      <c r="D1173" t="s">
        <v>2349</v>
      </c>
      <c r="E1173" s="18" t="str">
        <f>INDEX('Attribute Definition'!$B:$B,MATCH($D1173,'Attribute Definition'!$A:$A,0))</f>
        <v>Dung tích</v>
      </c>
      <c r="F1173" s="34" t="s">
        <v>2611</v>
      </c>
    </row>
    <row r="1174" spans="1:6" x14ac:dyDescent="0.25">
      <c r="A1174" t="s">
        <v>2026</v>
      </c>
      <c r="B1174" s="18" t="str">
        <f>INDEX('Product Variant'!$B:$B,MATCH($A1174,'Product Variant'!$A:$A,0))</f>
        <v>PRODUCT-00232</v>
      </c>
      <c r="C1174" s="18" t="str">
        <f>INDEX(Product!$B:$B,MATCH($B1174,Product!$A:$A,0))</f>
        <v>[Vinahankook] Bơm tiêm cho ăn sử dụng 1 lần - 50cc (50ml)</v>
      </c>
      <c r="D1174" t="s">
        <v>2374</v>
      </c>
      <c r="E1174" s="18" t="str">
        <f>INDEX('Attribute Definition'!$B:$B,MATCH($D1174,'Attribute Definition'!$A:$A,0))</f>
        <v>Vô trùng</v>
      </c>
      <c r="F1174" s="34" t="s">
        <v>2485</v>
      </c>
    </row>
    <row r="1175" spans="1:6" x14ac:dyDescent="0.25">
      <c r="A1175" t="s">
        <v>2026</v>
      </c>
      <c r="B1175" s="18" t="str">
        <f>INDEX('Product Variant'!$B:$B,MATCH($A1175,'Product Variant'!$A:$A,0))</f>
        <v>PRODUCT-00232</v>
      </c>
      <c r="C1175" s="18" t="str">
        <f>INDEX(Product!$B:$B,MATCH($B1175,Product!$A:$A,0))</f>
        <v>[Vinahankook] Bơm tiêm cho ăn sử dụng 1 lần - 50cc (50ml)</v>
      </c>
      <c r="D1175" t="s">
        <v>2454</v>
      </c>
      <c r="E1175" s="18" t="str">
        <f>INDEX('Attribute Definition'!$B:$B,MATCH($D1175,'Attribute Definition'!$A:$A,0))</f>
        <v>Thời gian sử dụng</v>
      </c>
      <c r="F1175" s="34" t="s">
        <v>2578</v>
      </c>
    </row>
    <row r="1176" spans="1:6" x14ac:dyDescent="0.25">
      <c r="A1176" t="s">
        <v>2026</v>
      </c>
      <c r="B1176" s="18" t="str">
        <f>INDEX('Product Variant'!$B:$B,MATCH($A1176,'Product Variant'!$A:$A,0))</f>
        <v>PRODUCT-00232</v>
      </c>
      <c r="C1176" s="18" t="str">
        <f>INDEX(Product!$B:$B,MATCH($B1176,Product!$A:$A,0))</f>
        <v>[Vinahankook] Bơm tiêm cho ăn sử dụng 1 lần - 50cc (50ml)</v>
      </c>
      <c r="D1176" t="s">
        <v>2471</v>
      </c>
      <c r="E1176" s="18" t="str">
        <f>INDEX('Attribute Definition'!$B:$B,MATCH($D1176,'Attribute Definition'!$A:$A,0))</f>
        <v>Dạng sản phẩm</v>
      </c>
      <c r="F1176" s="34" t="s">
        <v>2612</v>
      </c>
    </row>
    <row r="1177" spans="1:6" x14ac:dyDescent="0.25">
      <c r="A1177" t="s">
        <v>2027</v>
      </c>
      <c r="B1177" s="18" t="str">
        <f>INDEX('Product Variant'!$B:$B,MATCH($A1177,'Product Variant'!$A:$A,0))</f>
        <v>PRODUCT-00233</v>
      </c>
      <c r="C1177" s="18" t="str">
        <f>INDEX(Product!$B:$B,MATCH($B1177,Product!$A:$A,0))</f>
        <v>Dây nuôi ăn đầu nặng silicon</v>
      </c>
      <c r="D1177" t="s">
        <v>2367</v>
      </c>
      <c r="E1177" s="18" t="str">
        <f>INDEX('Attribute Definition'!$B:$B,MATCH($D1177,'Attribute Definition'!$A:$A,0))</f>
        <v>Chất liệu</v>
      </c>
      <c r="F1177" s="34" t="s">
        <v>2516</v>
      </c>
    </row>
    <row r="1178" spans="1:6" x14ac:dyDescent="0.25">
      <c r="A1178" t="s">
        <v>2027</v>
      </c>
      <c r="B1178" s="18" t="str">
        <f>INDEX('Product Variant'!$B:$B,MATCH($A1178,'Product Variant'!$A:$A,0))</f>
        <v>PRODUCT-00233</v>
      </c>
      <c r="C1178" s="18" t="str">
        <f>INDEX(Product!$B:$B,MATCH($B1178,Product!$A:$A,0))</f>
        <v>Dây nuôi ăn đầu nặng silicon</v>
      </c>
      <c r="D1178" t="s">
        <v>2374</v>
      </c>
      <c r="E1178" s="18" t="str">
        <f>INDEX('Attribute Definition'!$B:$B,MATCH($D1178,'Attribute Definition'!$A:$A,0))</f>
        <v>Vô trùng</v>
      </c>
      <c r="F1178" s="34" t="s">
        <v>2485</v>
      </c>
    </row>
    <row r="1179" spans="1:6" x14ac:dyDescent="0.25">
      <c r="A1179" t="s">
        <v>2027</v>
      </c>
      <c r="B1179" s="18" t="str">
        <f>INDEX('Product Variant'!$B:$B,MATCH($A1179,'Product Variant'!$A:$A,0))</f>
        <v>PRODUCT-00233</v>
      </c>
      <c r="C1179" s="18" t="str">
        <f>INDEX(Product!$B:$B,MATCH($B1179,Product!$A:$A,0))</f>
        <v>Dây nuôi ăn đầu nặng silicon</v>
      </c>
      <c r="D1179" t="s">
        <v>2471</v>
      </c>
      <c r="E1179" s="18" t="str">
        <f>INDEX('Attribute Definition'!$B:$B,MATCH($D1179,'Attribute Definition'!$A:$A,0))</f>
        <v>Dạng sản phẩm</v>
      </c>
      <c r="F1179" s="34" t="s">
        <v>2574</v>
      </c>
    </row>
    <row r="1180" spans="1:6" x14ac:dyDescent="0.25">
      <c r="A1180" t="s">
        <v>2027</v>
      </c>
      <c r="B1180" s="18" t="str">
        <f>INDEX('Product Variant'!$B:$B,MATCH($A1180,'Product Variant'!$A:$A,0))</f>
        <v>PRODUCT-00233</v>
      </c>
      <c r="C1180" s="18" t="str">
        <f>INDEX(Product!$B:$B,MATCH($B1180,Product!$A:$A,0))</f>
        <v>Dây nuôi ăn đầu nặng silicon</v>
      </c>
      <c r="D1180" t="s">
        <v>2656</v>
      </c>
      <c r="E1180" s="18" t="str">
        <f>INDEX('Attribute Definition'!$B:$B,MATCH($D1180,'Attribute Definition'!$A:$A,0))</f>
        <v>Kích cỡ</v>
      </c>
      <c r="F1180" s="34" t="s">
        <v>1180</v>
      </c>
    </row>
    <row r="1181" spans="1:6" x14ac:dyDescent="0.25">
      <c r="A1181" t="s">
        <v>2028</v>
      </c>
      <c r="B1181" s="18" t="str">
        <f>INDEX('Product Variant'!$B:$B,MATCH($A1181,'Product Variant'!$A:$A,0))</f>
        <v>PRODUCT-00233</v>
      </c>
      <c r="C1181" s="18" t="str">
        <f>INDEX(Product!$B:$B,MATCH($B1181,Product!$A:$A,0))</f>
        <v>Dây nuôi ăn đầu nặng silicon</v>
      </c>
      <c r="D1181" t="s">
        <v>2367</v>
      </c>
      <c r="E1181" s="18" t="str">
        <f>INDEX('Attribute Definition'!$B:$B,MATCH($D1181,'Attribute Definition'!$A:$A,0))</f>
        <v>Chất liệu</v>
      </c>
      <c r="F1181" s="34" t="s">
        <v>2516</v>
      </c>
    </row>
    <row r="1182" spans="1:6" x14ac:dyDescent="0.25">
      <c r="A1182" t="s">
        <v>2028</v>
      </c>
      <c r="B1182" s="18" t="str">
        <f>INDEX('Product Variant'!$B:$B,MATCH($A1182,'Product Variant'!$A:$A,0))</f>
        <v>PRODUCT-00233</v>
      </c>
      <c r="C1182" s="18" t="str">
        <f>INDEX(Product!$B:$B,MATCH($B1182,Product!$A:$A,0))</f>
        <v>Dây nuôi ăn đầu nặng silicon</v>
      </c>
      <c r="D1182" t="s">
        <v>2374</v>
      </c>
      <c r="E1182" s="18" t="str">
        <f>INDEX('Attribute Definition'!$B:$B,MATCH($D1182,'Attribute Definition'!$A:$A,0))</f>
        <v>Vô trùng</v>
      </c>
      <c r="F1182" s="34" t="s">
        <v>2485</v>
      </c>
    </row>
    <row r="1183" spans="1:6" x14ac:dyDescent="0.25">
      <c r="A1183" t="s">
        <v>2028</v>
      </c>
      <c r="B1183" s="18" t="str">
        <f>INDEX('Product Variant'!$B:$B,MATCH($A1183,'Product Variant'!$A:$A,0))</f>
        <v>PRODUCT-00233</v>
      </c>
      <c r="C1183" s="18" t="str">
        <f>INDEX(Product!$B:$B,MATCH($B1183,Product!$A:$A,0))</f>
        <v>Dây nuôi ăn đầu nặng silicon</v>
      </c>
      <c r="D1183" t="s">
        <v>2471</v>
      </c>
      <c r="E1183" s="18" t="str">
        <f>INDEX('Attribute Definition'!$B:$B,MATCH($D1183,'Attribute Definition'!$A:$A,0))</f>
        <v>Dạng sản phẩm</v>
      </c>
      <c r="F1183" s="34" t="s">
        <v>2574</v>
      </c>
    </row>
    <row r="1184" spans="1:6" x14ac:dyDescent="0.25">
      <c r="A1184" t="s">
        <v>2028</v>
      </c>
      <c r="B1184" s="18" t="str">
        <f>INDEX('Product Variant'!$B:$B,MATCH($A1184,'Product Variant'!$A:$A,0))</f>
        <v>PRODUCT-00233</v>
      </c>
      <c r="C1184" s="18" t="str">
        <f>INDEX(Product!$B:$B,MATCH($B1184,Product!$A:$A,0))</f>
        <v>Dây nuôi ăn đầu nặng silicon</v>
      </c>
      <c r="D1184" t="s">
        <v>2656</v>
      </c>
      <c r="E1184" s="18" t="str">
        <f>INDEX('Attribute Definition'!$B:$B,MATCH($D1184,'Attribute Definition'!$A:$A,0))</f>
        <v>Kích cỡ</v>
      </c>
      <c r="F1184" s="34" t="s">
        <v>1181</v>
      </c>
    </row>
    <row r="1185" spans="1:6" x14ac:dyDescent="0.25">
      <c r="A1185" t="s">
        <v>2029</v>
      </c>
      <c r="B1185" s="18" t="str">
        <f>INDEX('Product Variant'!$B:$B,MATCH($A1185,'Product Variant'!$A:$A,0))</f>
        <v>PRODUCT-00234</v>
      </c>
      <c r="C1185" s="18" t="str">
        <f>INDEX(Product!$B:$B,MATCH($B1185,Product!$A:$A,0))</f>
        <v>[Lepu Medical] Catheter chạy thận nhân tạo 2 nòng, đầu thẳng</v>
      </c>
      <c r="D1185" t="s">
        <v>2367</v>
      </c>
      <c r="E1185" s="18" t="str">
        <f>INDEX('Attribute Definition'!$B:$B,MATCH($D1185,'Attribute Definition'!$A:$A,0))</f>
        <v>Chất liệu</v>
      </c>
      <c r="F1185" s="34" t="s">
        <v>2613</v>
      </c>
    </row>
    <row r="1186" spans="1:6" x14ac:dyDescent="0.25">
      <c r="A1186" t="s">
        <v>2029</v>
      </c>
      <c r="B1186" s="18" t="str">
        <f>INDEX('Product Variant'!$B:$B,MATCH($A1186,'Product Variant'!$A:$A,0))</f>
        <v>PRODUCT-00234</v>
      </c>
      <c r="C1186" s="18" t="str">
        <f>INDEX(Product!$B:$B,MATCH($B1186,Product!$A:$A,0))</f>
        <v>[Lepu Medical] Catheter chạy thận nhân tạo 2 nòng, đầu thẳng</v>
      </c>
      <c r="D1186" t="s">
        <v>2374</v>
      </c>
      <c r="E1186" s="18" t="str">
        <f>INDEX('Attribute Definition'!$B:$B,MATCH($D1186,'Attribute Definition'!$A:$A,0))</f>
        <v>Vô trùng</v>
      </c>
      <c r="F1186" s="34" t="s">
        <v>2485</v>
      </c>
    </row>
    <row r="1187" spans="1:6" x14ac:dyDescent="0.25">
      <c r="A1187" t="s">
        <v>2029</v>
      </c>
      <c r="B1187" s="18" t="str">
        <f>INDEX('Product Variant'!$B:$B,MATCH($A1187,'Product Variant'!$A:$A,0))</f>
        <v>PRODUCT-00234</v>
      </c>
      <c r="C1187" s="18" t="str">
        <f>INDEX(Product!$B:$B,MATCH($B1187,Product!$A:$A,0))</f>
        <v>[Lepu Medical] Catheter chạy thận nhân tạo 2 nòng, đầu thẳng</v>
      </c>
      <c r="D1187" t="s">
        <v>2411</v>
      </c>
      <c r="E1187" s="18" t="str">
        <f>INDEX('Attribute Definition'!$B:$B,MATCH($D1187,'Attribute Definition'!$A:$A,0))</f>
        <v>Số nòng / nhánh</v>
      </c>
      <c r="F1187" s="34" t="s">
        <v>2571</v>
      </c>
    </row>
    <row r="1188" spans="1:6" x14ac:dyDescent="0.25">
      <c r="A1188" t="s">
        <v>2029</v>
      </c>
      <c r="B1188" s="18" t="str">
        <f>INDEX('Product Variant'!$B:$B,MATCH($A1188,'Product Variant'!$A:$A,0))</f>
        <v>PRODUCT-00234</v>
      </c>
      <c r="C1188" s="18" t="str">
        <f>INDEX(Product!$B:$B,MATCH($B1188,Product!$A:$A,0))</f>
        <v>[Lepu Medical] Catheter chạy thận nhân tạo 2 nòng, đầu thẳng</v>
      </c>
      <c r="D1188" t="s">
        <v>2471</v>
      </c>
      <c r="E1188" s="18" t="str">
        <f>INDEX('Attribute Definition'!$B:$B,MATCH($D1188,'Attribute Definition'!$A:$A,0))</f>
        <v>Dạng sản phẩm</v>
      </c>
      <c r="F1188" s="34" t="s">
        <v>2574</v>
      </c>
    </row>
    <row r="1189" spans="1:6" x14ac:dyDescent="0.25">
      <c r="A1189" t="s">
        <v>2030</v>
      </c>
      <c r="B1189" s="18" t="str">
        <f>INDEX('Product Variant'!$B:$B,MATCH($A1189,'Product Variant'!$A:$A,0))</f>
        <v>PRODUCT-00235</v>
      </c>
      <c r="C1189" s="18" t="str">
        <f>INDEX(Product!$B:$B,MATCH($B1189,Product!$A:$A,0))</f>
        <v>[Lepu Medical] Catheter chạy thận nhân tạo 3 nòng, đầu thẳng</v>
      </c>
      <c r="D1189" t="s">
        <v>2367</v>
      </c>
      <c r="E1189" s="18" t="str">
        <f>INDEX('Attribute Definition'!$B:$B,MATCH($D1189,'Attribute Definition'!$A:$A,0))</f>
        <v>Chất liệu</v>
      </c>
      <c r="F1189" s="34" t="s">
        <v>2613</v>
      </c>
    </row>
    <row r="1190" spans="1:6" x14ac:dyDescent="0.25">
      <c r="A1190" t="s">
        <v>2030</v>
      </c>
      <c r="B1190" s="18" t="str">
        <f>INDEX('Product Variant'!$B:$B,MATCH($A1190,'Product Variant'!$A:$A,0))</f>
        <v>PRODUCT-00235</v>
      </c>
      <c r="C1190" s="18" t="str">
        <f>INDEX(Product!$B:$B,MATCH($B1190,Product!$A:$A,0))</f>
        <v>[Lepu Medical] Catheter chạy thận nhân tạo 3 nòng, đầu thẳng</v>
      </c>
      <c r="D1190" t="s">
        <v>2374</v>
      </c>
      <c r="E1190" s="18" t="str">
        <f>INDEX('Attribute Definition'!$B:$B,MATCH($D1190,'Attribute Definition'!$A:$A,0))</f>
        <v>Vô trùng</v>
      </c>
      <c r="F1190" s="34" t="s">
        <v>2485</v>
      </c>
    </row>
    <row r="1191" spans="1:6" x14ac:dyDescent="0.25">
      <c r="A1191" t="s">
        <v>2030</v>
      </c>
      <c r="B1191" s="18" t="str">
        <f>INDEX('Product Variant'!$B:$B,MATCH($A1191,'Product Variant'!$A:$A,0))</f>
        <v>PRODUCT-00235</v>
      </c>
      <c r="C1191" s="18" t="str">
        <f>INDEX(Product!$B:$B,MATCH($B1191,Product!$A:$A,0))</f>
        <v>[Lepu Medical] Catheter chạy thận nhân tạo 3 nòng, đầu thẳng</v>
      </c>
      <c r="D1191" t="s">
        <v>2411</v>
      </c>
      <c r="E1191" s="18" t="str">
        <f>INDEX('Attribute Definition'!$B:$B,MATCH($D1191,'Attribute Definition'!$A:$A,0))</f>
        <v>Số nòng / nhánh</v>
      </c>
      <c r="F1191" s="34" t="s">
        <v>2614</v>
      </c>
    </row>
    <row r="1192" spans="1:6" x14ac:dyDescent="0.25">
      <c r="A1192" t="s">
        <v>2030</v>
      </c>
      <c r="B1192" s="18" t="str">
        <f>INDEX('Product Variant'!$B:$B,MATCH($A1192,'Product Variant'!$A:$A,0))</f>
        <v>PRODUCT-00235</v>
      </c>
      <c r="C1192" s="18" t="str">
        <f>INDEX(Product!$B:$B,MATCH($B1192,Product!$A:$A,0))</f>
        <v>[Lepu Medical] Catheter chạy thận nhân tạo 3 nòng, đầu thẳng</v>
      </c>
      <c r="D1192" t="s">
        <v>2471</v>
      </c>
      <c r="E1192" s="18" t="str">
        <f>INDEX('Attribute Definition'!$B:$B,MATCH($D1192,'Attribute Definition'!$A:$A,0))</f>
        <v>Dạng sản phẩm</v>
      </c>
      <c r="F1192" s="34" t="s">
        <v>2574</v>
      </c>
    </row>
    <row r="1193" spans="1:6" x14ac:dyDescent="0.25">
      <c r="A1193" t="s">
        <v>2031</v>
      </c>
      <c r="B1193" s="18" t="str">
        <f>INDEX('Product Variant'!$B:$B,MATCH($A1193,'Product Variant'!$A:$A,0))</f>
        <v>PRODUCT-00236</v>
      </c>
      <c r="C1193" s="18" t="str">
        <f>INDEX(Product!$B:$B,MATCH($B1193,Product!$A:$A,0))</f>
        <v>[Medtronic] Bình chứa insulin - MiniMed Reservoir 3.0ml MMT-332A (3ml)</v>
      </c>
      <c r="D1193" t="s">
        <v>2349</v>
      </c>
      <c r="E1193" s="18" t="str">
        <f>INDEX('Attribute Definition'!$B:$B,MATCH($D1193,'Attribute Definition'!$A:$A,0))</f>
        <v>Dung tích</v>
      </c>
      <c r="F1193" s="34" t="s">
        <v>2615</v>
      </c>
    </row>
    <row r="1194" spans="1:6" x14ac:dyDescent="0.25">
      <c r="A1194" t="s">
        <v>2031</v>
      </c>
      <c r="B1194" s="18" t="str">
        <f>INDEX('Product Variant'!$B:$B,MATCH($A1194,'Product Variant'!$A:$A,0))</f>
        <v>PRODUCT-00236</v>
      </c>
      <c r="C1194" s="18" t="str">
        <f>INDEX(Product!$B:$B,MATCH($B1194,Product!$A:$A,0))</f>
        <v>[Medtronic] Bình chứa insulin - MiniMed Reservoir 3.0ml MMT-332A (3ml)</v>
      </c>
      <c r="D1194" t="s">
        <v>2471</v>
      </c>
      <c r="E1194" s="18" t="str">
        <f>INDEX('Attribute Definition'!$B:$B,MATCH($D1194,'Attribute Definition'!$A:$A,0))</f>
        <v>Dạng sản phẩm</v>
      </c>
      <c r="F1194" s="34" t="s">
        <v>2612</v>
      </c>
    </row>
    <row r="1195" spans="1:6" x14ac:dyDescent="0.25">
      <c r="A1195" t="s">
        <v>2032</v>
      </c>
      <c r="B1195" s="18" t="str">
        <f>INDEX('Product Variant'!$B:$B,MATCH($A1195,'Product Variant'!$A:$A,0))</f>
        <v>PRODUCT-00237</v>
      </c>
      <c r="C1195" s="18" t="str">
        <f>INDEX(Product!$B:$B,MATCH($B1195,Product!$A:$A,0))</f>
        <v>[Medtronic] Bộ dụng cụ gắn cảm biến đo đường huyết liên tục - One-Press Serter</v>
      </c>
      <c r="D1195" t="s">
        <v>2471</v>
      </c>
      <c r="E1195" s="18" t="str">
        <f>INDEX('Attribute Definition'!$B:$B,MATCH($D1195,'Attribute Definition'!$A:$A,0))</f>
        <v>Dạng sản phẩm</v>
      </c>
      <c r="F1195" s="34" t="s">
        <v>2589</v>
      </c>
    </row>
    <row r="1196" spans="1:6" x14ac:dyDescent="0.25">
      <c r="A1196" t="s">
        <v>2033</v>
      </c>
      <c r="B1196" s="18" t="str">
        <f>INDEX('Product Variant'!$B:$B,MATCH($A1196,'Product Variant'!$A:$A,0))</f>
        <v>PRODUCT-00238</v>
      </c>
      <c r="C1196" s="18" t="str">
        <f>INDEX(Product!$B:$B,MATCH($B1196,Product!$A:$A,0))</f>
        <v>[Medtronic] Bộ dụng cụ gắn cổng tiêm insulin - Quick-Serter</v>
      </c>
      <c r="D1196" t="s">
        <v>2471</v>
      </c>
      <c r="E1196" s="18" t="str">
        <f>INDEX('Attribute Definition'!$B:$B,MATCH($D1196,'Attribute Definition'!$A:$A,0))</f>
        <v>Dạng sản phẩm</v>
      </c>
      <c r="F1196" s="34" t="s">
        <v>2490</v>
      </c>
    </row>
    <row r="1197" spans="1:6" x14ac:dyDescent="0.25">
      <c r="A1197" t="s">
        <v>2034</v>
      </c>
      <c r="B1197" s="18" t="str">
        <f>INDEX('Product Variant'!$B:$B,MATCH($A1197,'Product Variant'!$A:$A,0))</f>
        <v>PRODUCT-00239</v>
      </c>
      <c r="C1197" s="18" t="str">
        <f>INDEX(Product!$B:$B,MATCH($B1197,Product!$A:$A,0))</f>
        <v>[Medtronic] Dây truyền insulin - Paradigm Quick Set Infusion</v>
      </c>
      <c r="D1197" t="s">
        <v>2471</v>
      </c>
      <c r="E1197" s="18" t="str">
        <f>INDEX('Attribute Definition'!$B:$B,MATCH($D1197,'Attribute Definition'!$A:$A,0))</f>
        <v>Dạng sản phẩm</v>
      </c>
      <c r="F1197" s="34" t="s">
        <v>2574</v>
      </c>
    </row>
    <row r="1198" spans="1:6" x14ac:dyDescent="0.25">
      <c r="A1198" t="s">
        <v>2035</v>
      </c>
      <c r="B1198" s="18" t="str">
        <f>INDEX('Product Variant'!$B:$B,MATCH($A1198,'Product Variant'!$A:$A,0))</f>
        <v>PRODUCT-00240</v>
      </c>
      <c r="C1198" s="18" t="str">
        <f>INDEX(Product!$B:$B,MATCH($B1198,Product!$A:$A,0))</f>
        <v>[Medtronic] Máy bơm insulin tự động - MiniMed 640G Black MMOL</v>
      </c>
      <c r="D1198" t="s">
        <v>2464</v>
      </c>
      <c r="E1198" s="18" t="str">
        <f>INDEX('Attribute Definition'!$B:$B,MATCH($D1198,'Attribute Definition'!$A:$A,0))</f>
        <v>Màu sắc</v>
      </c>
      <c r="F1198" s="34" t="s">
        <v>2616</v>
      </c>
    </row>
    <row r="1199" spans="1:6" x14ac:dyDescent="0.25">
      <c r="A1199" t="s">
        <v>2035</v>
      </c>
      <c r="B1199" s="18" t="str">
        <f>INDEX('Product Variant'!$B:$B,MATCH($A1199,'Product Variant'!$A:$A,0))</f>
        <v>PRODUCT-00240</v>
      </c>
      <c r="C1199" s="18" t="str">
        <f>INDEX(Product!$B:$B,MATCH($B1199,Product!$A:$A,0))</f>
        <v>[Medtronic] Máy bơm insulin tự động - MiniMed 640G Black MMOL</v>
      </c>
      <c r="D1199" t="s">
        <v>2471</v>
      </c>
      <c r="E1199" s="18" t="str">
        <f>INDEX('Attribute Definition'!$B:$B,MATCH($D1199,'Attribute Definition'!$A:$A,0))</f>
        <v>Dạng sản phẩm</v>
      </c>
      <c r="F1199" s="34" t="s">
        <v>2481</v>
      </c>
    </row>
    <row r="1200" spans="1:6" x14ac:dyDescent="0.25">
      <c r="A1200" t="s">
        <v>2036</v>
      </c>
      <c r="B1200" s="18" t="str">
        <f>INDEX('Product Variant'!$B:$B,MATCH($A1200,'Product Variant'!$A:$A,0))</f>
        <v>PRODUCT-00241</v>
      </c>
      <c r="C1200" s="18" t="str">
        <f>INDEX(Product!$B:$B,MATCH($B1200,Product!$A:$A,0))</f>
        <v>[Medtronic] Máy bơm insulin tự động - MiniMed Paradigm 715</v>
      </c>
      <c r="D1200" t="s">
        <v>2471</v>
      </c>
      <c r="E1200" s="18" t="str">
        <f>INDEX('Attribute Definition'!$B:$B,MATCH($D1200,'Attribute Definition'!$A:$A,0))</f>
        <v>Dạng sản phẩm</v>
      </c>
      <c r="F1200" s="34" t="s">
        <v>2481</v>
      </c>
    </row>
    <row r="1201" spans="1:6" x14ac:dyDescent="0.25">
      <c r="A1201" t="s">
        <v>2037</v>
      </c>
      <c r="B1201" s="18" t="str">
        <f>INDEX('Product Variant'!$B:$B,MATCH($A1201,'Product Variant'!$A:$A,0))</f>
        <v>PRODUCT-00242</v>
      </c>
      <c r="C1201" s="18" t="str">
        <f>INDEX(Product!$B:$B,MATCH($B1201,Product!$A:$A,0))</f>
        <v>[Profit Royal] Khẩu trang y tế N95 sợi Nanofiber - Nask</v>
      </c>
      <c r="D1201" t="s">
        <v>2367</v>
      </c>
      <c r="E1201" s="18" t="str">
        <f>INDEX('Attribute Definition'!$B:$B,MATCH($D1201,'Attribute Definition'!$A:$A,0))</f>
        <v>Chất liệu</v>
      </c>
      <c r="F1201" s="34" t="s">
        <v>2617</v>
      </c>
    </row>
    <row r="1202" spans="1:6" x14ac:dyDescent="0.25">
      <c r="A1202" t="s">
        <v>2037</v>
      </c>
      <c r="B1202" s="18" t="str">
        <f>INDEX('Product Variant'!$B:$B,MATCH($A1202,'Product Variant'!$A:$A,0))</f>
        <v>PRODUCT-00242</v>
      </c>
      <c r="C1202" s="18" t="str">
        <f>INDEX(Product!$B:$B,MATCH($B1202,Product!$A:$A,0))</f>
        <v>[Profit Royal] Khẩu trang y tế N95 sợi Nanofiber - Nask</v>
      </c>
      <c r="D1202" t="s">
        <v>2471</v>
      </c>
      <c r="E1202" s="18" t="str">
        <f>INDEX('Attribute Definition'!$B:$B,MATCH($D1202,'Attribute Definition'!$A:$A,0))</f>
        <v>Dạng sản phẩm</v>
      </c>
      <c r="F1202" s="34" t="s">
        <v>2570</v>
      </c>
    </row>
    <row r="1203" spans="1:6" x14ac:dyDescent="0.25">
      <c r="A1203" t="s">
        <v>2038</v>
      </c>
      <c r="B1203" s="18" t="str">
        <f>INDEX('Product Variant'!$B:$B,MATCH($A1203,'Product Variant'!$A:$A,0))</f>
        <v>PRODUCT-00243</v>
      </c>
      <c r="C1203" s="18" t="str">
        <f>INDEX(Product!$B:$B,MATCH($B1203,Product!$A:$A,0))</f>
        <v>[Roche] Thiết bị lấy máu tích hợp kim - Accu-Chek Safe-T-Pro Uno (Ø0.36mm)</v>
      </c>
      <c r="D1203" t="s">
        <v>2342</v>
      </c>
      <c r="E1203" s="18" t="str">
        <f>INDEX('Attribute Definition'!$B:$B,MATCH($D1203,'Attribute Definition'!$A:$A,0))</f>
        <v>Kích thước</v>
      </c>
      <c r="F1203" s="34" t="s">
        <v>2618</v>
      </c>
    </row>
    <row r="1204" spans="1:6" x14ac:dyDescent="0.25">
      <c r="A1204" t="s">
        <v>2038</v>
      </c>
      <c r="B1204" s="18" t="str">
        <f>INDEX('Product Variant'!$B:$B,MATCH($A1204,'Product Variant'!$A:$A,0))</f>
        <v>PRODUCT-00243</v>
      </c>
      <c r="C1204" s="18" t="str">
        <f>INDEX(Product!$B:$B,MATCH($B1204,Product!$A:$A,0))</f>
        <v>[Roche] Thiết bị lấy máu tích hợp kim - Accu-Chek Safe-T-Pro Uno (Ø0.36mm)</v>
      </c>
      <c r="D1204" t="s">
        <v>2374</v>
      </c>
      <c r="E1204" s="18" t="str">
        <f>INDEX('Attribute Definition'!$B:$B,MATCH($D1204,'Attribute Definition'!$A:$A,0))</f>
        <v>Vô trùng</v>
      </c>
      <c r="F1204" s="34" t="s">
        <v>2485</v>
      </c>
    </row>
    <row r="1205" spans="1:6" x14ac:dyDescent="0.25">
      <c r="A1205" t="s">
        <v>2038</v>
      </c>
      <c r="B1205" s="18" t="str">
        <f>INDEX('Product Variant'!$B:$B,MATCH($A1205,'Product Variant'!$A:$A,0))</f>
        <v>PRODUCT-00243</v>
      </c>
      <c r="C1205" s="18" t="str">
        <f>INDEX(Product!$B:$B,MATCH($B1205,Product!$A:$A,0))</f>
        <v>[Roche] Thiết bị lấy máu tích hợp kim - Accu-Chek Safe-T-Pro Uno (Ø0.36mm)</v>
      </c>
      <c r="D1205" t="s">
        <v>2471</v>
      </c>
      <c r="E1205" s="18" t="str">
        <f>INDEX('Attribute Definition'!$B:$B,MATCH($D1205,'Attribute Definition'!$A:$A,0))</f>
        <v>Dạng sản phẩm</v>
      </c>
      <c r="F1205" s="34" t="s">
        <v>2561</v>
      </c>
    </row>
    <row r="1206" spans="1:6" x14ac:dyDescent="0.25">
      <c r="A1206" t="s">
        <v>2039</v>
      </c>
      <c r="B1206" s="18" t="str">
        <f>INDEX('Product Variant'!$B:$B,MATCH($A1206,'Product Variant'!$A:$A,0))</f>
        <v>PRODUCT-00244</v>
      </c>
      <c r="C1206" s="18" t="str">
        <f>INDEX(Product!$B:$B,MATCH($B1206,Product!$A:$A,0))</f>
        <v>[Sinocare] Kim chích máu - Sinodraw</v>
      </c>
      <c r="D1206" t="s">
        <v>2471</v>
      </c>
      <c r="E1206" s="18" t="str">
        <f>INDEX('Attribute Definition'!$B:$B,MATCH($D1206,'Attribute Definition'!$A:$A,0))</f>
        <v>Dạng sản phẩm</v>
      </c>
      <c r="F1206" s="34" t="s">
        <v>2561</v>
      </c>
    </row>
    <row r="1207" spans="1:6" x14ac:dyDescent="0.25">
      <c r="A1207" t="s">
        <v>2040</v>
      </c>
      <c r="B1207" s="18" t="str">
        <f>INDEX('Product Variant'!$B:$B,MATCH($A1207,'Product Variant'!$A:$A,0))</f>
        <v>PRODUCT-00245</v>
      </c>
      <c r="C1207" s="18" t="str">
        <f>INDEX(Product!$B:$B,MATCH($B1207,Product!$A:$A,0))</f>
        <v>[SungShim] Bơm tiêm insulin (0.5ml)</v>
      </c>
      <c r="D1207" t="s">
        <v>2349</v>
      </c>
      <c r="E1207" s="18" t="str">
        <f>INDEX('Attribute Definition'!$B:$B,MATCH($D1207,'Attribute Definition'!$A:$A,0))</f>
        <v>Dung tích</v>
      </c>
      <c r="F1207" s="34" t="s">
        <v>2619</v>
      </c>
    </row>
    <row r="1208" spans="1:6" x14ac:dyDescent="0.25">
      <c r="A1208" t="s">
        <v>2040</v>
      </c>
      <c r="B1208" s="18" t="str">
        <f>INDEX('Product Variant'!$B:$B,MATCH($A1208,'Product Variant'!$A:$A,0))</f>
        <v>PRODUCT-00245</v>
      </c>
      <c r="C1208" s="18" t="str">
        <f>INDEX(Product!$B:$B,MATCH($B1208,Product!$A:$A,0))</f>
        <v>[SungShim] Bơm tiêm insulin (0.5ml)</v>
      </c>
      <c r="D1208" t="s">
        <v>2471</v>
      </c>
      <c r="E1208" s="18" t="str">
        <f>INDEX('Attribute Definition'!$B:$B,MATCH($D1208,'Attribute Definition'!$A:$A,0))</f>
        <v>Dạng sản phẩm</v>
      </c>
      <c r="F1208" s="34" t="s">
        <v>2612</v>
      </c>
    </row>
    <row r="1209" spans="1:6" x14ac:dyDescent="0.25">
      <c r="A1209" t="s">
        <v>2041</v>
      </c>
      <c r="B1209" s="18" t="str">
        <f>INDEX('Product Variant'!$B:$B,MATCH($A1209,'Product Variant'!$A:$A,0))</f>
        <v>PRODUCT-00294</v>
      </c>
      <c r="C1209" s="18" t="str">
        <f>INDEX(Product!$B:$B,MATCH($B1209,Product!$A:$A,0))</f>
        <v>[SungShim] Bơm tiêm insulin (1ml)</v>
      </c>
      <c r="D1209" t="s">
        <v>2349</v>
      </c>
      <c r="E1209" s="18" t="str">
        <f>INDEX('Attribute Definition'!$B:$B,MATCH($D1209,'Attribute Definition'!$A:$A,0))</f>
        <v>Dung tích</v>
      </c>
      <c r="F1209" s="34" t="s">
        <v>2620</v>
      </c>
    </row>
    <row r="1210" spans="1:6" x14ac:dyDescent="0.25">
      <c r="A1210" t="s">
        <v>2041</v>
      </c>
      <c r="B1210" s="18" t="str">
        <f>INDEX('Product Variant'!$B:$B,MATCH($A1210,'Product Variant'!$A:$A,0))</f>
        <v>PRODUCT-00294</v>
      </c>
      <c r="C1210" s="18" t="str">
        <f>INDEX(Product!$B:$B,MATCH($B1210,Product!$A:$A,0))</f>
        <v>[SungShim] Bơm tiêm insulin (1ml)</v>
      </c>
      <c r="D1210" t="s">
        <v>2471</v>
      </c>
      <c r="E1210" s="18" t="str">
        <f>INDEX('Attribute Definition'!$B:$B,MATCH($D1210,'Attribute Definition'!$A:$A,0))</f>
        <v>Dạng sản phẩm</v>
      </c>
      <c r="F1210" s="34" t="s">
        <v>2612</v>
      </c>
    </row>
    <row r="1211" spans="1:6" x14ac:dyDescent="0.25">
      <c r="A1211" t="s">
        <v>2042</v>
      </c>
      <c r="B1211" s="18" t="str">
        <f>INDEX('Product Variant'!$B:$B,MATCH($A1211,'Product Variant'!$A:$A,0))</f>
        <v>PRODUCT-00246</v>
      </c>
      <c r="C1211" s="18" t="str">
        <f>INDEX(Product!$B:$B,MATCH($B1211,Product!$A:$A,0))</f>
        <v>[Vinahankook] Bơm tiêm insulin sử dụng 1 lần - 1ml U100</v>
      </c>
      <c r="D1211" t="s">
        <v>2349</v>
      </c>
      <c r="E1211" s="18" t="str">
        <f>INDEX('Attribute Definition'!$B:$B,MATCH($D1211,'Attribute Definition'!$A:$A,0))</f>
        <v>Dung tích</v>
      </c>
      <c r="F1211" s="34" t="s">
        <v>2620</v>
      </c>
    </row>
    <row r="1212" spans="1:6" x14ac:dyDescent="0.25">
      <c r="A1212" t="s">
        <v>2042</v>
      </c>
      <c r="B1212" s="18" t="str">
        <f>INDEX('Product Variant'!$B:$B,MATCH($A1212,'Product Variant'!$A:$A,0))</f>
        <v>PRODUCT-00246</v>
      </c>
      <c r="C1212" s="18" t="str">
        <f>INDEX(Product!$B:$B,MATCH($B1212,Product!$A:$A,0))</f>
        <v>[Vinahankook] Bơm tiêm insulin sử dụng 1 lần - 1ml U100</v>
      </c>
      <c r="D1212" t="s">
        <v>2374</v>
      </c>
      <c r="E1212" s="18" t="str">
        <f>INDEX('Attribute Definition'!$B:$B,MATCH($D1212,'Attribute Definition'!$A:$A,0))</f>
        <v>Vô trùng</v>
      </c>
      <c r="F1212" s="34" t="s">
        <v>2485</v>
      </c>
    </row>
    <row r="1213" spans="1:6" x14ac:dyDescent="0.25">
      <c r="A1213" t="s">
        <v>2042</v>
      </c>
      <c r="B1213" s="18" t="str">
        <f>INDEX('Product Variant'!$B:$B,MATCH($A1213,'Product Variant'!$A:$A,0))</f>
        <v>PRODUCT-00246</v>
      </c>
      <c r="C1213" s="18" t="str">
        <f>INDEX(Product!$B:$B,MATCH($B1213,Product!$A:$A,0))</f>
        <v>[Vinahankook] Bơm tiêm insulin sử dụng 1 lần - 1ml U100</v>
      </c>
      <c r="D1213" t="s">
        <v>2454</v>
      </c>
      <c r="E1213" s="18" t="str">
        <f>INDEX('Attribute Definition'!$B:$B,MATCH($D1213,'Attribute Definition'!$A:$A,0))</f>
        <v>Thời gian sử dụng</v>
      </c>
      <c r="F1213" s="34" t="s">
        <v>2578</v>
      </c>
    </row>
    <row r="1214" spans="1:6" x14ac:dyDescent="0.25">
      <c r="A1214" t="s">
        <v>2042</v>
      </c>
      <c r="B1214" s="18" t="str">
        <f>INDEX('Product Variant'!$B:$B,MATCH($A1214,'Product Variant'!$A:$A,0))</f>
        <v>PRODUCT-00246</v>
      </c>
      <c r="C1214" s="18" t="str">
        <f>INDEX(Product!$B:$B,MATCH($B1214,Product!$A:$A,0))</f>
        <v>[Vinahankook] Bơm tiêm insulin sử dụng 1 lần - 1ml U100</v>
      </c>
      <c r="D1214" t="s">
        <v>2471</v>
      </c>
      <c r="E1214" s="18" t="str">
        <f>INDEX('Attribute Definition'!$B:$B,MATCH($D1214,'Attribute Definition'!$A:$A,0))</f>
        <v>Dạng sản phẩm</v>
      </c>
      <c r="F1214" s="34" t="s">
        <v>2612</v>
      </c>
    </row>
    <row r="1215" spans="1:6" x14ac:dyDescent="0.25">
      <c r="A1215" t="s">
        <v>2043</v>
      </c>
      <c r="B1215" s="18" t="str">
        <f>INDEX('Product Variant'!$B:$B,MATCH($A1215,'Product Variant'!$A:$A,0))</f>
        <v>PRODUCT-00247</v>
      </c>
      <c r="C1215" s="18" t="str">
        <f>INDEX(Product!$B:$B,MATCH($B1215,Product!$A:$A,0))</f>
        <v>[Welford] Dây truyền dịch đếm giọt - WELCARE IF6006</v>
      </c>
      <c r="D1215" t="s">
        <v>2374</v>
      </c>
      <c r="E1215" s="18" t="str">
        <f>INDEX('Attribute Definition'!$B:$B,MATCH($D1215,'Attribute Definition'!$A:$A,0))</f>
        <v>Vô trùng</v>
      </c>
      <c r="F1215" s="34" t="s">
        <v>2485</v>
      </c>
    </row>
    <row r="1216" spans="1:6" x14ac:dyDescent="0.25">
      <c r="A1216" t="s">
        <v>2043</v>
      </c>
      <c r="B1216" s="18" t="str">
        <f>INDEX('Product Variant'!$B:$B,MATCH($A1216,'Product Variant'!$A:$A,0))</f>
        <v>PRODUCT-00247</v>
      </c>
      <c r="C1216" s="18" t="str">
        <f>INDEX(Product!$B:$B,MATCH($B1216,Product!$A:$A,0))</f>
        <v>[Welford] Dây truyền dịch đếm giọt - WELCARE IF6006</v>
      </c>
      <c r="D1216" t="s">
        <v>2471</v>
      </c>
      <c r="E1216" s="18" t="str">
        <f>INDEX('Attribute Definition'!$B:$B,MATCH($D1216,'Attribute Definition'!$A:$A,0))</f>
        <v>Dạng sản phẩm</v>
      </c>
      <c r="F1216" s="34" t="s">
        <v>2574</v>
      </c>
    </row>
    <row r="1217" spans="1:6" x14ac:dyDescent="0.25">
      <c r="A1217" t="s">
        <v>2044</v>
      </c>
      <c r="B1217" s="18" t="str">
        <f>INDEX('Product Variant'!$B:$B,MATCH($A1217,'Product Variant'!$A:$A,0))</f>
        <v>PRODUCT-00248</v>
      </c>
      <c r="C1217" s="18" t="str">
        <f>INDEX(Product!$B:$B,MATCH($B1217,Product!$A:$A,0))</f>
        <v>[Young Chemical Vina] Băng keo cố định kim luồn có gạc - Wound - IV (6cmx7cm)</v>
      </c>
      <c r="D1217" t="s">
        <v>2342</v>
      </c>
      <c r="E1217" s="18" t="str">
        <f>INDEX('Attribute Definition'!$B:$B,MATCH($D1217,'Attribute Definition'!$A:$A,0))</f>
        <v>Kích thước</v>
      </c>
      <c r="F1217" s="34" t="s">
        <v>2519</v>
      </c>
    </row>
    <row r="1218" spans="1:6" x14ac:dyDescent="0.25">
      <c r="A1218" t="s">
        <v>2044</v>
      </c>
      <c r="B1218" s="18" t="str">
        <f>INDEX('Product Variant'!$B:$B,MATCH($A1218,'Product Variant'!$A:$A,0))</f>
        <v>PRODUCT-00248</v>
      </c>
      <c r="C1218" s="18" t="str">
        <f>INDEX(Product!$B:$B,MATCH($B1218,Product!$A:$A,0))</f>
        <v>[Young Chemical Vina] Băng keo cố định kim luồn có gạc - Wound - IV (6cmx7cm)</v>
      </c>
      <c r="D1218" t="s">
        <v>2367</v>
      </c>
      <c r="E1218" s="18" t="str">
        <f>INDEX('Attribute Definition'!$B:$B,MATCH($D1218,'Attribute Definition'!$A:$A,0))</f>
        <v>Chất liệu</v>
      </c>
      <c r="F1218" s="34" t="s">
        <v>2529</v>
      </c>
    </row>
    <row r="1219" spans="1:6" x14ac:dyDescent="0.25">
      <c r="A1219" t="s">
        <v>2044</v>
      </c>
      <c r="B1219" s="18" t="str">
        <f>INDEX('Product Variant'!$B:$B,MATCH($A1219,'Product Variant'!$A:$A,0))</f>
        <v>PRODUCT-00248</v>
      </c>
      <c r="C1219" s="18" t="str">
        <f>INDEX(Product!$B:$B,MATCH($B1219,Product!$A:$A,0))</f>
        <v>[Young Chemical Vina] Băng keo cố định kim luồn có gạc - Wound - IV (6cmx7cm)</v>
      </c>
      <c r="D1219" t="s">
        <v>2471</v>
      </c>
      <c r="E1219" s="18" t="str">
        <f>INDEX('Attribute Definition'!$B:$B,MATCH($D1219,'Attribute Definition'!$A:$A,0))</f>
        <v>Dạng sản phẩm</v>
      </c>
      <c r="F1219" s="34" t="s">
        <v>2486</v>
      </c>
    </row>
    <row r="1220" spans="1:6" x14ac:dyDescent="0.25">
      <c r="A1220" t="s">
        <v>2045</v>
      </c>
      <c r="B1220" s="18" t="str">
        <f>INDEX('Product Variant'!$B:$B,MATCH($A1220,'Product Variant'!$A:$A,0))</f>
        <v>PRODUCT-00249</v>
      </c>
      <c r="C1220" s="18" t="str">
        <f>INDEX(Product!$B:$B,MATCH($B1220,Product!$A:$A,0))</f>
        <v>[Young Chemical Vina] Băng keo cố định kim luồn không thấm nước không gạc - Adflex - IV (5.1cmx6cm)</v>
      </c>
      <c r="D1220" t="s">
        <v>2342</v>
      </c>
      <c r="E1220" s="18" t="str">
        <f>INDEX('Attribute Definition'!$B:$B,MATCH($D1220,'Attribute Definition'!$A:$A,0))</f>
        <v>Kích thước</v>
      </c>
      <c r="F1220" s="34" t="s">
        <v>2621</v>
      </c>
    </row>
    <row r="1221" spans="1:6" x14ac:dyDescent="0.25">
      <c r="A1221" t="s">
        <v>2045</v>
      </c>
      <c r="B1221" s="18" t="str">
        <f>INDEX('Product Variant'!$B:$B,MATCH($A1221,'Product Variant'!$A:$A,0))</f>
        <v>PRODUCT-00249</v>
      </c>
      <c r="C1221" s="18" t="str">
        <f>INDEX(Product!$B:$B,MATCH($B1221,Product!$A:$A,0))</f>
        <v>[Young Chemical Vina] Băng keo cố định kim luồn không thấm nước không gạc - Adflex - IV (5.1cmx6cm)</v>
      </c>
      <c r="D1221" t="s">
        <v>2381</v>
      </c>
      <c r="E1221" s="18" t="str">
        <f>INDEX('Attribute Definition'!$B:$B,MATCH($D1221,'Attribute Definition'!$A:$A,0))</f>
        <v>Chống nước</v>
      </c>
      <c r="F1221" s="34" t="s">
        <v>2485</v>
      </c>
    </row>
    <row r="1222" spans="1:6" x14ac:dyDescent="0.25">
      <c r="A1222" t="s">
        <v>2045</v>
      </c>
      <c r="B1222" s="18" t="str">
        <f>INDEX('Product Variant'!$B:$B,MATCH($A1222,'Product Variant'!$A:$A,0))</f>
        <v>PRODUCT-00249</v>
      </c>
      <c r="C1222" s="18" t="str">
        <f>INDEX(Product!$B:$B,MATCH($B1222,Product!$A:$A,0))</f>
        <v>[Young Chemical Vina] Băng keo cố định kim luồn không thấm nước không gạc - Adflex - IV (5.1cmx6cm)</v>
      </c>
      <c r="D1222" t="s">
        <v>2471</v>
      </c>
      <c r="E1222" s="18" t="str">
        <f>INDEX('Attribute Definition'!$B:$B,MATCH($D1222,'Attribute Definition'!$A:$A,0))</f>
        <v>Dạng sản phẩm</v>
      </c>
      <c r="F1222" s="34" t="s">
        <v>2486</v>
      </c>
    </row>
    <row r="1223" spans="1:6" x14ac:dyDescent="0.25">
      <c r="A1223" t="s">
        <v>2046</v>
      </c>
      <c r="B1223" s="18" t="str">
        <f>INDEX('Product Variant'!$B:$B,MATCH($A1223,'Product Variant'!$A:$A,0))</f>
        <v>PRODUCT-00295</v>
      </c>
      <c r="C1223" s="18" t="str">
        <f>INDEX(Product!$B:$B,MATCH($B1223,Product!$A:$A,0))</f>
        <v>[Young Chemical Vina] Băng keo cố định kim luồn không thấm nước không gạc - Adflex - IV (6.7cmx10cm)</v>
      </c>
      <c r="D1223" t="s">
        <v>2342</v>
      </c>
      <c r="E1223" s="18" t="str">
        <f>INDEX('Attribute Definition'!$B:$B,MATCH($D1223,'Attribute Definition'!$A:$A,0))</f>
        <v>Kích thước</v>
      </c>
      <c r="F1223" s="34" t="s">
        <v>2653</v>
      </c>
    </row>
    <row r="1224" spans="1:6" x14ac:dyDescent="0.25">
      <c r="A1224" t="s">
        <v>2046</v>
      </c>
      <c r="B1224" s="18" t="str">
        <f>INDEX('Product Variant'!$B:$B,MATCH($A1224,'Product Variant'!$A:$A,0))</f>
        <v>PRODUCT-00295</v>
      </c>
      <c r="C1224" s="18" t="str">
        <f>INDEX(Product!$B:$B,MATCH($B1224,Product!$A:$A,0))</f>
        <v>[Young Chemical Vina] Băng keo cố định kim luồn không thấm nước không gạc - Adflex - IV (6.7cmx10cm)</v>
      </c>
      <c r="D1224" t="s">
        <v>2381</v>
      </c>
      <c r="E1224" s="18" t="str">
        <f>INDEX('Attribute Definition'!$B:$B,MATCH($D1224,'Attribute Definition'!$A:$A,0))</f>
        <v>Chống nước</v>
      </c>
      <c r="F1224" s="34" t="s">
        <v>2485</v>
      </c>
    </row>
    <row r="1225" spans="1:6" x14ac:dyDescent="0.25">
      <c r="A1225" t="s">
        <v>2046</v>
      </c>
      <c r="B1225" s="18" t="str">
        <f>INDEX('Product Variant'!$B:$B,MATCH($A1225,'Product Variant'!$A:$A,0))</f>
        <v>PRODUCT-00295</v>
      </c>
      <c r="C1225" s="18" t="str">
        <f>INDEX(Product!$B:$B,MATCH($B1225,Product!$A:$A,0))</f>
        <v>[Young Chemical Vina] Băng keo cố định kim luồn không thấm nước không gạc - Adflex - IV (6.7cmx10cm)</v>
      </c>
      <c r="D1225" t="s">
        <v>2471</v>
      </c>
      <c r="E1225" s="18" t="str">
        <f>INDEX('Attribute Definition'!$B:$B,MATCH($D1225,'Attribute Definition'!$A:$A,0))</f>
        <v>Dạng sản phẩm</v>
      </c>
      <c r="F1225" s="34" t="s">
        <v>2486</v>
      </c>
    </row>
  </sheetData>
  <autoFilter ref="A1:F1225" xr:uid="{337E1BF1-1E31-4EBF-A83C-6E64630219C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Brand</vt:lpstr>
      <vt:lpstr>Product Category</vt:lpstr>
      <vt:lpstr>Product</vt:lpstr>
      <vt:lpstr>Product Variant</vt:lpstr>
      <vt:lpstr>Sellable Unit</vt:lpstr>
      <vt:lpstr>Campaign</vt:lpstr>
      <vt:lpstr>Attribute Definition</vt:lpstr>
      <vt:lpstr>Product Attribute</vt:lpstr>
      <vt:lpstr>Product Variant Attribute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The Quang</dc:creator>
  <cp:lastModifiedBy>Tran The Quang</cp:lastModifiedBy>
  <dcterms:created xsi:type="dcterms:W3CDTF">2026-09-29T14:26:49Z</dcterms:created>
  <dcterms:modified xsi:type="dcterms:W3CDTF">2026-10-01T09:53:55Z</dcterms:modified>
</cp:coreProperties>
</file>