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" sheetId="1" state="visible" r:id="rId1"/>
    <sheet name="Product Tag" sheetId="2" state="visible" r:id="rId2"/>
  </sheets>
  <definedNames>
    <definedName name="_xlnm._FilterDatabase" localSheetId="0" hidden="1">'Tag'!$A$1:$F$18</definedName>
    <definedName name="_xlnm._FilterDatabase" localSheetId="1" hidden="1">'Product Tag'!$A$1:$H$168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60" customWidth="1" min="4" max="4"/>
    <col width="8" customWidth="1" min="5" max="5"/>
    <col width="60" customWidth="1" min="6" max="6"/>
  </cols>
  <sheetData>
    <row r="1">
      <c r="A1" s="1" t="inlineStr">
        <is>
          <t>Mã tag</t>
        </is>
      </c>
      <c r="B1" s="1" t="inlineStr">
        <is>
          <t>Nhóm</t>
        </is>
      </c>
      <c r="C1" s="1" t="inlineStr">
        <is>
          <t>Tên tag</t>
        </is>
      </c>
      <c r="D1" s="1" t="inlineStr">
        <is>
          <t>Từ đồng nghĩa</t>
        </is>
      </c>
      <c r="E1" s="1" t="inlineStr">
        <is>
          <t>Thứ tự</t>
        </is>
      </c>
      <c r="F1" s="1" t="inlineStr">
        <is>
          <t>SQL</t>
        </is>
      </c>
    </row>
    <row r="2">
      <c r="A2" t="inlineStr">
        <is>
          <t>TAG-001</t>
        </is>
      </c>
      <c r="B2" t="inlineStr">
        <is>
          <t>Loại sản phẩm</t>
        </is>
      </c>
      <c r="C2" t="inlineStr">
        <is>
          <t>Túi</t>
        </is>
      </c>
      <c r="D2" t="inlineStr">
        <is>
          <t>túi đựng phân, túi liền đế, túi rời</t>
        </is>
      </c>
      <c r="E2" t="n">
        <v>10</v>
      </c>
      <c r="F2">
        <f>"INSERT INTO medical_supply_tag (code, tag_group, name, synonyms, sort_order) VALUES ('"&amp;A2&amp;"', '"&amp;B2&amp;"', '"&amp;C2&amp;"', '"&amp;SUBSTITUTE(D2,"'","''")&amp;"', "&amp;E2&amp;");"</f>
        <v/>
      </c>
    </row>
    <row r="3">
      <c r="A3" t="inlineStr">
        <is>
          <t>TAG-002</t>
        </is>
      </c>
      <c r="B3" t="inlineStr">
        <is>
          <t>Loại sản phẩm</t>
        </is>
      </c>
      <c r="C3" t="inlineStr">
        <is>
          <t>Đế</t>
        </is>
      </c>
      <c r="D3" t="inlineStr">
        <is>
          <t>đế rời, tấm đế, miếng đế</t>
        </is>
      </c>
      <c r="E3" t="n">
        <v>11</v>
      </c>
      <c r="F3">
        <f>"INSERT INTO medical_supply_tag (code, tag_group, name, synonyms, sort_order) VALUES ('"&amp;A3&amp;"', '"&amp;B3&amp;"', '"&amp;C3&amp;"', '"&amp;SUBSTITUTE(D3,"'","''")&amp;"', "&amp;E3&amp;");"</f>
        <v/>
      </c>
    </row>
    <row r="4">
      <c r="A4" t="inlineStr">
        <is>
          <t>TAG-003</t>
        </is>
      </c>
      <c r="B4" t="inlineStr">
        <is>
          <t>Loại sản phẩm</t>
        </is>
      </c>
      <c r="C4" t="inlineStr">
        <is>
          <t>Bộ túi và đế</t>
        </is>
      </c>
      <c r="D4" t="inlineStr">
        <is>
          <t>bộ, combo, túi kèm đế</t>
        </is>
      </c>
      <c r="E4" t="n">
        <v>12</v>
      </c>
      <c r="F4">
        <f>"INSERT INTO medical_supply_tag (code, tag_group, name, synonyms, sort_order) VALUES ('"&amp;A4&amp;"', '"&amp;B4&amp;"', '"&amp;C4&amp;"', '"&amp;SUBSTITUTE(D4,"'","''")&amp;"', "&amp;E4&amp;");"</f>
        <v/>
      </c>
    </row>
    <row r="5">
      <c r="A5" t="inlineStr">
        <is>
          <t>TAG-004</t>
        </is>
      </c>
      <c r="B5" t="inlineStr">
        <is>
          <t>Loại sản phẩm</t>
        </is>
      </c>
      <c r="C5" t="inlineStr">
        <is>
          <t>Phụ kiện</t>
        </is>
      </c>
      <c r="D5" t="inlineStr">
        <is>
          <t>bột, keo, kem, xịt tẩy keo, kẹp, dây đai, vòng bảo vệ da, kéo</t>
        </is>
      </c>
      <c r="E5" t="n">
        <v>13</v>
      </c>
      <c r="F5">
        <f>"INSERT INTO medical_supply_tag (code, tag_group, name, synonyms, sort_order) VALUES ('"&amp;A5&amp;"', '"&amp;B5&amp;"', '"&amp;C5&amp;"', '"&amp;SUBSTITUTE(D5,"'","''")&amp;"', "&amp;E5&amp;");"</f>
        <v/>
      </c>
    </row>
    <row r="6">
      <c r="A6" t="inlineStr">
        <is>
          <t>TAG-005</t>
        </is>
      </c>
      <c r="B6" t="inlineStr">
        <is>
          <t>Hệ</t>
        </is>
      </c>
      <c r="C6" t="inlineStr">
        <is>
          <t>1 mảnh</t>
        </is>
      </c>
      <c r="D6" t="inlineStr">
        <is>
          <t>một mảnh, túi liền đế</t>
        </is>
      </c>
      <c r="E6" t="n">
        <v>20</v>
      </c>
      <c r="F6">
        <f>"INSERT INTO medical_supply_tag (code, tag_group, name, synonyms, sort_order) VALUES ('"&amp;A6&amp;"', '"&amp;B6&amp;"', '"&amp;C6&amp;"', '"&amp;SUBSTITUTE(D6,"'","''")&amp;"', "&amp;E6&amp;");"</f>
        <v/>
      </c>
    </row>
    <row r="7">
      <c r="A7" t="inlineStr">
        <is>
          <t>TAG-006</t>
        </is>
      </c>
      <c r="B7" t="inlineStr">
        <is>
          <t>Hệ</t>
        </is>
      </c>
      <c r="C7" t="inlineStr">
        <is>
          <t>2 mảnh</t>
        </is>
      </c>
      <c r="D7" t="inlineStr">
        <is>
          <t>hai mảnh, túi và đế rời</t>
        </is>
      </c>
      <c r="E7" t="n">
        <v>21</v>
      </c>
      <c r="F7">
        <f>"INSERT INTO medical_supply_tag (code, tag_group, name, synonyms, sort_order) VALUES ('"&amp;A7&amp;"', '"&amp;B7&amp;"', '"&amp;C7&amp;"', '"&amp;SUBSTITUTE(D7,"'","''")&amp;"', "&amp;E7&amp;");"</f>
        <v/>
      </c>
    </row>
    <row r="8">
      <c r="A8" t="inlineStr">
        <is>
          <t>TAG-007</t>
        </is>
      </c>
      <c r="B8" t="inlineStr">
        <is>
          <t>Chất thải</t>
        </is>
      </c>
      <c r="C8" t="inlineStr">
        <is>
          <t>Phân</t>
        </is>
      </c>
      <c r="D8" t="inlineStr">
        <is>
          <t>hậu môn nhân tạo, đại tràng, hồi tràng</t>
        </is>
      </c>
      <c r="E8" t="n">
        <v>30</v>
      </c>
      <c r="F8">
        <f>"INSERT INTO medical_supply_tag (code, tag_group, name, synonyms, sort_order) VALUES ('"&amp;A8&amp;"', '"&amp;B8&amp;"', '"&amp;C8&amp;"', '"&amp;SUBSTITUTE(D8,"'","''")&amp;"', "&amp;E8&amp;");"</f>
        <v/>
      </c>
    </row>
    <row r="9">
      <c r="A9" t="inlineStr">
        <is>
          <t>TAG-008</t>
        </is>
      </c>
      <c r="B9" t="inlineStr">
        <is>
          <t>Chất thải</t>
        </is>
      </c>
      <c r="C9" t="inlineStr">
        <is>
          <t>Nước tiểu</t>
        </is>
      </c>
      <c r="D9" t="inlineStr">
        <is>
          <t>nước tiểu nhân tạo, niệu quản, tiết niệu</t>
        </is>
      </c>
      <c r="E9" t="n">
        <v>31</v>
      </c>
      <c r="F9">
        <f>"INSERT INTO medical_supply_tag (code, tag_group, name, synonyms, sort_order) VALUES ('"&amp;A9&amp;"', '"&amp;B9&amp;"', '"&amp;C9&amp;"', '"&amp;SUBSTITUTE(D9,"'","''")&amp;"', "&amp;E9&amp;");"</f>
        <v/>
      </c>
    </row>
    <row r="10">
      <c r="A10" t="inlineStr">
        <is>
          <t>TAG-009</t>
        </is>
      </c>
      <c r="B10" t="inlineStr">
        <is>
          <t>Đối tượng</t>
        </is>
      </c>
      <c r="C10" t="inlineStr">
        <is>
          <t>Người lớn</t>
        </is>
      </c>
      <c r="D10" t="inlineStr">
        <is>
          <t>người già, người trưởng thành</t>
        </is>
      </c>
      <c r="E10" t="n">
        <v>40</v>
      </c>
      <c r="F10">
        <f>"INSERT INTO medical_supply_tag (code, tag_group, name, synonyms, sort_order) VALUES ('"&amp;A10&amp;"', '"&amp;B10&amp;"', '"&amp;C10&amp;"', '"&amp;SUBSTITUTE(D10,"'","''")&amp;"', "&amp;E10&amp;");"</f>
        <v/>
      </c>
    </row>
    <row r="11">
      <c r="A11" t="inlineStr">
        <is>
          <t>TAG-010</t>
        </is>
      </c>
      <c r="B11" t="inlineStr">
        <is>
          <t>Đối tượng</t>
        </is>
      </c>
      <c r="C11" t="inlineStr">
        <is>
          <t>Trẻ em</t>
        </is>
      </c>
      <c r="D11" t="inlineStr">
        <is>
          <t>bé, em bé, con nhỏ, trẻ nhỏ</t>
        </is>
      </c>
      <c r="E11" t="n">
        <v>41</v>
      </c>
      <c r="F11">
        <f>"INSERT INTO medical_supply_tag (code, tag_group, name, synonyms, sort_order) VALUES ('"&amp;A11&amp;"', '"&amp;B11&amp;"', '"&amp;C11&amp;"', '"&amp;SUBSTITUTE(D11,"'","''")&amp;"', "&amp;E11&amp;");"</f>
        <v/>
      </c>
    </row>
    <row r="12">
      <c r="A12" t="inlineStr">
        <is>
          <t>TAG-011</t>
        </is>
      </c>
      <c r="B12" t="inlineStr">
        <is>
          <t>Đối tượng</t>
        </is>
      </c>
      <c r="C12" t="inlineStr">
        <is>
          <t>Trẻ sơ sinh</t>
        </is>
      </c>
      <c r="D12" t="inlineStr">
        <is>
          <t>sơ sinh, bé mới sinh</t>
        </is>
      </c>
      <c r="E12" t="n">
        <v>42</v>
      </c>
      <c r="F12">
        <f>"INSERT INTO medical_supply_tag (code, tag_group, name, synonyms, sort_order) VALUES ('"&amp;A12&amp;"', '"&amp;B12&amp;"', '"&amp;C12&amp;"', '"&amp;SUBSTITUTE(D12,"'","''")&amp;"', "&amp;E12&amp;");"</f>
        <v/>
      </c>
    </row>
    <row r="13">
      <c r="A13" t="inlineStr">
        <is>
          <t>TAG-012</t>
        </is>
      </c>
      <c r="B13" t="inlineStr">
        <is>
          <t>Độ trong</t>
        </is>
      </c>
      <c r="C13" t="inlineStr">
        <is>
          <t>Đục</t>
        </is>
      </c>
      <c r="D13" t="inlineStr">
        <is>
          <t>kín đáo, màu be, không nhìn thấy bên trong</t>
        </is>
      </c>
      <c r="E13" t="n">
        <v>50</v>
      </c>
      <c r="F13">
        <f>"INSERT INTO medical_supply_tag (code, tag_group, name, synonyms, sort_order) VALUES ('"&amp;A13&amp;"', '"&amp;B13&amp;"', '"&amp;C13&amp;"', '"&amp;SUBSTITUTE(D13,"'","''")&amp;"', "&amp;E13&amp;");"</f>
        <v/>
      </c>
    </row>
    <row r="14">
      <c r="A14" t="inlineStr">
        <is>
          <t>TAG-013</t>
        </is>
      </c>
      <c r="B14" t="inlineStr">
        <is>
          <t>Độ trong</t>
        </is>
      </c>
      <c r="C14" t="inlineStr">
        <is>
          <t>Trong suốt</t>
        </is>
      </c>
      <c r="D14" t="inlineStr">
        <is>
          <t>trong, nhìn thấy, dễ quan sát</t>
        </is>
      </c>
      <c r="E14" t="n">
        <v>51</v>
      </c>
      <c r="F14">
        <f>"INSERT INTO medical_supply_tag (code, tag_group, name, synonyms, sort_order) VALUES ('"&amp;A14&amp;"', '"&amp;B14&amp;"', '"&amp;C14&amp;"', '"&amp;SUBSTITUTE(D14,"'","''")&amp;"', "&amp;E14&amp;");"</f>
        <v/>
      </c>
    </row>
    <row r="15">
      <c r="A15" t="inlineStr">
        <is>
          <t>TAG-014</t>
        </is>
      </c>
      <c r="B15" t="inlineStr">
        <is>
          <t>Kiểu đóng túi</t>
        </is>
      </c>
      <c r="C15" t="inlineStr">
        <is>
          <t>Kẹp rời</t>
        </is>
      </c>
      <c r="D15" t="inlineStr">
        <is>
          <t>kẹp, khóa kẹp, kẹp cong</t>
        </is>
      </c>
      <c r="E15" t="n">
        <v>60</v>
      </c>
      <c r="F15">
        <f>"INSERT INTO medical_supply_tag (code, tag_group, name, synonyms, sort_order) VALUES ('"&amp;A15&amp;"', '"&amp;B15&amp;"', '"&amp;C15&amp;"', '"&amp;SUBSTITUTE(D15,"'","''")&amp;"', "&amp;E15&amp;");"</f>
        <v/>
      </c>
    </row>
    <row r="16">
      <c r="A16" t="inlineStr">
        <is>
          <t>TAG-015</t>
        </is>
      </c>
      <c r="B16" t="inlineStr">
        <is>
          <t>Kiểu đóng túi</t>
        </is>
      </c>
      <c r="C16" t="inlineStr">
        <is>
          <t>Khóa dán</t>
        </is>
      </c>
      <c r="D16" t="inlineStr">
        <is>
          <t>khóa cuộn, khóa dán liền, Lock 'n Roll, cuộn dán</t>
        </is>
      </c>
      <c r="E16" t="n">
        <v>61</v>
      </c>
      <c r="F16">
        <f>"INSERT INTO medical_supply_tag (code, tag_group, name, synonyms, sort_order) VALUES ('"&amp;A16&amp;"', '"&amp;B16&amp;"', '"&amp;C16&amp;"', '"&amp;SUBSTITUTE(D16,"'","''")&amp;"', "&amp;E16&amp;");"</f>
        <v/>
      </c>
    </row>
    <row r="17">
      <c r="A17" t="inlineStr">
        <is>
          <t>TAG-016</t>
        </is>
      </c>
      <c r="B17" t="inlineStr">
        <is>
          <t>Loại đế</t>
        </is>
      </c>
      <c r="C17" t="inlineStr">
        <is>
          <t>Đế phẳng</t>
        </is>
      </c>
      <c r="D17" t="inlineStr">
        <is>
          <t>đế bằng</t>
        </is>
      </c>
      <c r="E17" t="n">
        <v>70</v>
      </c>
      <c r="F17">
        <f>"INSERT INTO medical_supply_tag (code, tag_group, name, synonyms, sort_order) VALUES ('"&amp;A17&amp;"', '"&amp;B17&amp;"', '"&amp;C17&amp;"', '"&amp;SUBSTITUTE(D17,"'","''")&amp;"', "&amp;E17&amp;");"</f>
        <v/>
      </c>
    </row>
    <row r="18">
      <c r="A18" t="inlineStr">
        <is>
          <t>TAG-017</t>
        </is>
      </c>
      <c r="B18" t="inlineStr">
        <is>
          <t>Loại đế</t>
        </is>
      </c>
      <c r="C18" t="inlineStr">
        <is>
          <t>Đế lồi</t>
        </is>
      </c>
      <c r="D18" t="inlineStr">
        <is>
          <t>convex</t>
        </is>
      </c>
      <c r="E18" t="n">
        <v>71</v>
      </c>
      <c r="F18">
        <f>"INSERT INTO medical_supply_tag (code, tag_group, name, synonyms, sort_order) VALUES ('"&amp;A18&amp;"', '"&amp;B18&amp;"', '"&amp;C18&amp;"', '"&amp;SUBSTITUTE(D18,"'","''")&amp;"', "&amp;E18&amp;");"</f>
        <v/>
      </c>
    </row>
  </sheetData>
  <autoFilter ref="A1:F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5" customWidth="1" min="4" max="4"/>
    <col width="14" customWidth="1" min="5" max="5"/>
    <col width="12" customWidth="1" min="6" max="6"/>
    <col width="70" customWidth="1" min="7" max="7"/>
    <col width="50" customWidth="1" min="8" max="8"/>
  </cols>
  <sheetData>
    <row r="1">
      <c r="A1" s="1" t="inlineStr">
        <is>
          <t>Mã sản phẩm</t>
        </is>
      </c>
      <c r="B1" s="1" t="inlineStr">
        <is>
          <t>Tên sản phẩm (rút gọn)</t>
        </is>
      </c>
      <c r="C1" s="1" t="inlineStr">
        <is>
          <t>Mã tag</t>
        </is>
      </c>
      <c r="D1" s="1" t="inlineStr">
        <is>
          <t>Nhóm</t>
        </is>
      </c>
      <c r="E1" s="1" t="inlineStr">
        <is>
          <t>Tên tag</t>
        </is>
      </c>
      <c r="F1" s="1" t="inlineStr">
        <is>
          <t>Độ tin cậy</t>
        </is>
      </c>
      <c r="G1" s="1" t="inlineStr">
        <is>
          <t>Căn cứ</t>
        </is>
      </c>
      <c r="H1" s="1" t="inlineStr">
        <is>
          <t>SQL</t>
        </is>
      </c>
    </row>
    <row r="2">
      <c r="A2" t="inlineStr">
        <is>
          <t>PRODUCT-00074</t>
        </is>
      </c>
      <c r="B2" t="inlineStr">
        <is>
          <t>[ConvaTec] Túi hậu môn nhân tạo 1 mảnh loại đục</t>
        </is>
      </c>
      <c r="C2" t="inlineStr">
        <is>
          <t>TAG-001</t>
        </is>
      </c>
      <c r="D2">
        <f>IFERROR(INDEX(Tag!$B:$B,MATCH(C2,Tag!$A:$A,0)),"NOT FOUND")</f>
        <v/>
      </c>
      <c r="E2">
        <f>IFERROR(INDEX(Tag!$C:$C,MATCH(C2,Tag!$A:$A,0)),"NOT FOUND")</f>
        <v/>
      </c>
      <c r="F2" t="inlineStr">
        <is>
          <t>Chắc chắn</t>
        </is>
      </c>
      <c r="G2" t="inlineStr">
        <is>
          <t>Danh mục / tên sản phẩm</t>
        </is>
      </c>
      <c r="H2">
        <f>"INSERT INTO medical_supply_product_tag (product_code, tag_code) VALUES ('"&amp;A2&amp;"', '"&amp;C2&amp;"');"</f>
        <v/>
      </c>
    </row>
    <row r="3">
      <c r="A3" t="inlineStr">
        <is>
          <t>PRODUCT-00074</t>
        </is>
      </c>
      <c r="B3" t="inlineStr">
        <is>
          <t>[ConvaTec] Túi hậu môn nhân tạo 1 mảnh loại đục</t>
        </is>
      </c>
      <c r="C3" t="inlineStr">
        <is>
          <t>TAG-005</t>
        </is>
      </c>
      <c r="D3">
        <f>IFERROR(INDEX(Tag!$B:$B,MATCH(C3,Tag!$A:$A,0)),"NOT FOUND")</f>
        <v/>
      </c>
      <c r="E3">
        <f>IFERROR(INDEX(Tag!$C:$C,MATCH(C3,Tag!$A:$A,0)),"NOT FOUND")</f>
        <v/>
      </c>
      <c r="F3" t="inlineStr">
        <is>
          <t>Chắc chắn</t>
        </is>
      </c>
      <c r="G3" t="inlineStr">
        <is>
          <t>Danh mục: Túi/Đế HMNT 1 mảnh</t>
        </is>
      </c>
      <c r="H3">
        <f>"INSERT INTO medical_supply_product_tag (product_code, tag_code) VALUES ('"&amp;A3&amp;"', '"&amp;C3&amp;"');"</f>
        <v/>
      </c>
    </row>
    <row r="4">
      <c r="A4" t="inlineStr">
        <is>
          <t>PRODUCT-00074</t>
        </is>
      </c>
      <c r="B4" t="inlineStr">
        <is>
          <t>[ConvaTec] Túi hậu môn nhân tạo 1 mảnh loại đục</t>
        </is>
      </c>
      <c r="C4" t="inlineStr">
        <is>
          <t>TAG-007</t>
        </is>
      </c>
      <c r="D4">
        <f>IFERROR(INDEX(Tag!$B:$B,MATCH(C4,Tag!$A:$A,0)),"NOT FOUND")</f>
        <v/>
      </c>
      <c r="E4">
        <f>IFERROR(INDEX(Tag!$C:$C,MATCH(C4,Tag!$A:$A,0)),"NOT FOUND")</f>
        <v/>
      </c>
      <c r="F4" t="inlineStr">
        <is>
          <t>Chắc chắn</t>
        </is>
      </c>
      <c r="G4" t="inlineStr">
        <is>
          <t>Tên sản phẩm</t>
        </is>
      </c>
      <c r="H4">
        <f>"INSERT INTO medical_supply_product_tag (product_code, tag_code) VALUES ('"&amp;A4&amp;"', '"&amp;C4&amp;"');"</f>
        <v/>
      </c>
    </row>
    <row r="5">
      <c r="A5" s="2" t="inlineStr">
        <is>
          <t>PRODUCT-00074</t>
        </is>
      </c>
      <c r="B5" s="2" t="inlineStr">
        <is>
          <t>[ConvaTec] Túi hậu môn nhân tạo 1 mảnh loại đục</t>
        </is>
      </c>
      <c r="C5" s="2" t="inlineStr">
        <is>
          <t>TAG-009</t>
        </is>
      </c>
      <c r="D5" s="2">
        <f>IFERROR(INDEX(Tag!$B:$B,MATCH(C5,Tag!$A:$A,0)),"NOT FOUND")</f>
        <v/>
      </c>
      <c r="E5" s="2">
        <f>IFERROR(INDEX(Tag!$C:$C,MATCH(C5,Tag!$A:$A,0)),"NOT FOUND")</f>
        <v/>
      </c>
      <c r="F5" s="2" t="inlineStr">
        <is>
          <t>Suy đoán</t>
        </is>
      </c>
      <c r="G5" s="2" t="inlineStr">
        <is>
          <t>Mô tả không ghi đối tượng; mặc định người lớn</t>
        </is>
      </c>
      <c r="H5" s="2">
        <f>"INSERT INTO medical_supply_product_tag (product_code, tag_code) VALUES ('"&amp;A5&amp;"', '"&amp;C5&amp;"');"</f>
        <v/>
      </c>
    </row>
    <row r="6">
      <c r="A6" t="inlineStr">
        <is>
          <t>PRODUCT-00074</t>
        </is>
      </c>
      <c r="B6" t="inlineStr">
        <is>
          <t>[ConvaTec] Túi hậu môn nhân tạo 1 mảnh loại đục</t>
        </is>
      </c>
      <c r="C6" t="inlineStr">
        <is>
          <t>TAG-012</t>
        </is>
      </c>
      <c r="D6">
        <f>IFERROR(INDEX(Tag!$B:$B,MATCH(C6,Tag!$A:$A,0)),"NOT FOUND")</f>
        <v/>
      </c>
      <c r="E6">
        <f>IFERROR(INDEX(Tag!$C:$C,MATCH(C6,Tag!$A:$A,0)),"NOT FOUND")</f>
        <v/>
      </c>
      <c r="F6" t="inlineStr">
        <is>
          <t>Chắc chắn</t>
        </is>
      </c>
      <c r="G6" t="inlineStr">
        <is>
          <t>Tên: loại đục</t>
        </is>
      </c>
      <c r="H6">
        <f>"INSERT INTO medical_supply_product_tag (product_code, tag_code) VALUES ('"&amp;A6&amp;"', '"&amp;C6&amp;"');"</f>
        <v/>
      </c>
    </row>
    <row r="7">
      <c r="A7" s="2" t="inlineStr">
        <is>
          <t>PRODUCT-00074</t>
        </is>
      </c>
      <c r="B7" s="2" t="inlineStr">
        <is>
          <t>[ConvaTec] Túi hậu môn nhân tạo 1 mảnh loại đục</t>
        </is>
      </c>
      <c r="C7" s="2" t="inlineStr">
        <is>
          <t>TAG-014</t>
        </is>
      </c>
      <c r="D7" s="2">
        <f>IFERROR(INDEX(Tag!$B:$B,MATCH(C7,Tag!$A:$A,0)),"NOT FOUND")</f>
        <v/>
      </c>
      <c r="E7" s="2">
        <f>IFERROR(INDEX(Tag!$C:$C,MATCH(C7,Tag!$A:$A,0)),"NOT FOUND")</f>
        <v/>
      </c>
      <c r="F7" s="2" t="inlineStr">
        <is>
          <t>Suy đoán</t>
        </is>
      </c>
      <c r="G7" s="2" t="inlineStr">
        <is>
          <t>Mô tả: kẹp túi dùng lại nhiều lần</t>
        </is>
      </c>
      <c r="H7" s="2">
        <f>"INSERT INTO medical_supply_product_tag (product_code, tag_code) VALUES ('"&amp;A7&amp;"', '"&amp;C7&amp;"');"</f>
        <v/>
      </c>
    </row>
    <row r="8">
      <c r="A8" t="inlineStr">
        <is>
          <t>PRODUCT-00075</t>
        </is>
      </c>
      <c r="B8" t="inlineStr">
        <is>
          <t>[ConvaTec] Túi hậu môn nhân tạo 1 mảnh trong suốt</t>
        </is>
      </c>
      <c r="C8" t="inlineStr">
        <is>
          <t>TAG-001</t>
        </is>
      </c>
      <c r="D8">
        <f>IFERROR(INDEX(Tag!$B:$B,MATCH(C8,Tag!$A:$A,0)),"NOT FOUND")</f>
        <v/>
      </c>
      <c r="E8">
        <f>IFERROR(INDEX(Tag!$C:$C,MATCH(C8,Tag!$A:$A,0)),"NOT FOUND")</f>
        <v/>
      </c>
      <c r="F8" t="inlineStr">
        <is>
          <t>Chắc chắn</t>
        </is>
      </c>
      <c r="G8" t="inlineStr">
        <is>
          <t>Danh mục / tên sản phẩm</t>
        </is>
      </c>
      <c r="H8">
        <f>"INSERT INTO medical_supply_product_tag (product_code, tag_code) VALUES ('"&amp;A8&amp;"', '"&amp;C8&amp;"');"</f>
        <v/>
      </c>
    </row>
    <row r="9">
      <c r="A9" t="inlineStr">
        <is>
          <t>PRODUCT-00075</t>
        </is>
      </c>
      <c r="B9" t="inlineStr">
        <is>
          <t>[ConvaTec] Túi hậu môn nhân tạo 1 mảnh trong suốt</t>
        </is>
      </c>
      <c r="C9" t="inlineStr">
        <is>
          <t>TAG-005</t>
        </is>
      </c>
      <c r="D9">
        <f>IFERROR(INDEX(Tag!$B:$B,MATCH(C9,Tag!$A:$A,0)),"NOT FOUND")</f>
        <v/>
      </c>
      <c r="E9">
        <f>IFERROR(INDEX(Tag!$C:$C,MATCH(C9,Tag!$A:$A,0)),"NOT FOUND")</f>
        <v/>
      </c>
      <c r="F9" t="inlineStr">
        <is>
          <t>Chắc chắn</t>
        </is>
      </c>
      <c r="G9" t="inlineStr">
        <is>
          <t>Danh mục: Túi/Đế HMNT 1 mảnh</t>
        </is>
      </c>
      <c r="H9">
        <f>"INSERT INTO medical_supply_product_tag (product_code, tag_code) VALUES ('"&amp;A9&amp;"', '"&amp;C9&amp;"');"</f>
        <v/>
      </c>
    </row>
    <row r="10">
      <c r="A10" t="inlineStr">
        <is>
          <t>PRODUCT-00075</t>
        </is>
      </c>
      <c r="B10" t="inlineStr">
        <is>
          <t>[ConvaTec] Túi hậu môn nhân tạo 1 mảnh trong suốt</t>
        </is>
      </c>
      <c r="C10" t="inlineStr">
        <is>
          <t>TAG-007</t>
        </is>
      </c>
      <c r="D10">
        <f>IFERROR(INDEX(Tag!$B:$B,MATCH(C10,Tag!$A:$A,0)),"NOT FOUND")</f>
        <v/>
      </c>
      <c r="E10">
        <f>IFERROR(INDEX(Tag!$C:$C,MATCH(C10,Tag!$A:$A,0)),"NOT FOUND")</f>
        <v/>
      </c>
      <c r="F10" t="inlineStr">
        <is>
          <t>Chắc chắn</t>
        </is>
      </c>
      <c r="G10" t="inlineStr">
        <is>
          <t>Tên sản phẩm</t>
        </is>
      </c>
      <c r="H10">
        <f>"INSERT INTO medical_supply_product_tag (product_code, tag_code) VALUES ('"&amp;A10&amp;"', '"&amp;C10&amp;"');"</f>
        <v/>
      </c>
    </row>
    <row r="11">
      <c r="A11" s="2" t="inlineStr">
        <is>
          <t>PRODUCT-00075</t>
        </is>
      </c>
      <c r="B11" s="2" t="inlineStr">
        <is>
          <t>[ConvaTec] Túi hậu môn nhân tạo 1 mảnh trong suốt</t>
        </is>
      </c>
      <c r="C11" s="2" t="inlineStr">
        <is>
          <t>TAG-009</t>
        </is>
      </c>
      <c r="D11" s="2">
        <f>IFERROR(INDEX(Tag!$B:$B,MATCH(C11,Tag!$A:$A,0)),"NOT FOUND")</f>
        <v/>
      </c>
      <c r="E11" s="2">
        <f>IFERROR(INDEX(Tag!$C:$C,MATCH(C11,Tag!$A:$A,0)),"NOT FOUND")</f>
        <v/>
      </c>
      <c r="F11" s="2" t="inlineStr">
        <is>
          <t>Suy đoán</t>
        </is>
      </c>
      <c r="G11" s="2" t="inlineStr">
        <is>
          <t>Mô tả không ghi đối tượng; mặc định người lớn</t>
        </is>
      </c>
      <c r="H11" s="2">
        <f>"INSERT INTO medical_supply_product_tag (product_code, tag_code) VALUES ('"&amp;A11&amp;"', '"&amp;C11&amp;"');"</f>
        <v/>
      </c>
    </row>
    <row r="12">
      <c r="A12" t="inlineStr">
        <is>
          <t>PRODUCT-00075</t>
        </is>
      </c>
      <c r="B12" t="inlineStr">
        <is>
          <t>[ConvaTec] Túi hậu môn nhân tạo 1 mảnh trong suốt</t>
        </is>
      </c>
      <c r="C12" t="inlineStr">
        <is>
          <t>TAG-013</t>
        </is>
      </c>
      <c r="D12">
        <f>IFERROR(INDEX(Tag!$B:$B,MATCH(C12,Tag!$A:$A,0)),"NOT FOUND")</f>
        <v/>
      </c>
      <c r="E12">
        <f>IFERROR(INDEX(Tag!$C:$C,MATCH(C12,Tag!$A:$A,0)),"NOT FOUND")</f>
        <v/>
      </c>
      <c r="F12" t="inlineStr">
        <is>
          <t>Chắc chắn</t>
        </is>
      </c>
      <c r="G12" t="inlineStr">
        <is>
          <t>Tên: trong suốt</t>
        </is>
      </c>
      <c r="H12">
        <f>"INSERT INTO medical_supply_product_tag (product_code, tag_code) VALUES ('"&amp;A12&amp;"', '"&amp;C12&amp;"');"</f>
        <v/>
      </c>
    </row>
    <row r="13">
      <c r="A13" s="2" t="inlineStr">
        <is>
          <t>PRODUCT-00075</t>
        </is>
      </c>
      <c r="B13" s="2" t="inlineStr">
        <is>
          <t>[ConvaTec] Túi hậu môn nhân tạo 1 mảnh trong suốt</t>
        </is>
      </c>
      <c r="C13" s="2" t="inlineStr">
        <is>
          <t>TAG-014</t>
        </is>
      </c>
      <c r="D13" s="2">
        <f>IFERROR(INDEX(Tag!$B:$B,MATCH(C13,Tag!$A:$A,0)),"NOT FOUND")</f>
        <v/>
      </c>
      <c r="E13" s="2">
        <f>IFERROR(INDEX(Tag!$C:$C,MATCH(C13,Tag!$A:$A,0)),"NOT FOUND")</f>
        <v/>
      </c>
      <c r="F13" s="2" t="inlineStr">
        <is>
          <t>Suy đoán</t>
        </is>
      </c>
      <c r="G13" s="2" t="inlineStr">
        <is>
          <t>Mô tả: kẹp túi dùng lại nhiều lần</t>
        </is>
      </c>
      <c r="H13" s="2">
        <f>"INSERT INTO medical_supply_product_tag (product_code, tag_code) VALUES ('"&amp;A13&amp;"', '"&amp;C13&amp;"');"</f>
        <v/>
      </c>
    </row>
    <row r="14">
      <c r="A14" t="inlineStr">
        <is>
          <t>PRODUCT-00076</t>
        </is>
      </c>
      <c r="B14" t="inlineStr">
        <is>
          <t>[ConvaTec] Túi hậu môn nhân tạo 1 mảnh trong suốt - ActiveLife 22771</t>
        </is>
      </c>
      <c r="C14" t="inlineStr">
        <is>
          <t>TAG-001</t>
        </is>
      </c>
      <c r="D14">
        <f>IFERROR(INDEX(Tag!$B:$B,MATCH(C14,Tag!$A:$A,0)),"NOT FOUND")</f>
        <v/>
      </c>
      <c r="E14">
        <f>IFERROR(INDEX(Tag!$C:$C,MATCH(C14,Tag!$A:$A,0)),"NOT FOUND")</f>
        <v/>
      </c>
      <c r="F14" t="inlineStr">
        <is>
          <t>Chắc chắn</t>
        </is>
      </c>
      <c r="G14" t="inlineStr">
        <is>
          <t>Danh mục / tên sản phẩm</t>
        </is>
      </c>
      <c r="H14">
        <f>"INSERT INTO medical_supply_product_tag (product_code, tag_code) VALUES ('"&amp;A14&amp;"', '"&amp;C14&amp;"');"</f>
        <v/>
      </c>
    </row>
    <row r="15">
      <c r="A15" t="inlineStr">
        <is>
          <t>PRODUCT-00076</t>
        </is>
      </c>
      <c r="B15" t="inlineStr">
        <is>
          <t>[ConvaTec] Túi hậu môn nhân tạo 1 mảnh trong suốt - ActiveLife 22771</t>
        </is>
      </c>
      <c r="C15" t="inlineStr">
        <is>
          <t>TAG-005</t>
        </is>
      </c>
      <c r="D15">
        <f>IFERROR(INDEX(Tag!$B:$B,MATCH(C15,Tag!$A:$A,0)),"NOT FOUND")</f>
        <v/>
      </c>
      <c r="E15">
        <f>IFERROR(INDEX(Tag!$C:$C,MATCH(C15,Tag!$A:$A,0)),"NOT FOUND")</f>
        <v/>
      </c>
      <c r="F15" t="inlineStr">
        <is>
          <t>Chắc chắn</t>
        </is>
      </c>
      <c r="G15" t="inlineStr">
        <is>
          <t>Danh mục: Túi/Đế HMNT 1 mảnh</t>
        </is>
      </c>
      <c r="H15">
        <f>"INSERT INTO medical_supply_product_tag (product_code, tag_code) VALUES ('"&amp;A15&amp;"', '"&amp;C15&amp;"');"</f>
        <v/>
      </c>
    </row>
    <row r="16">
      <c r="A16" t="inlineStr">
        <is>
          <t>PRODUCT-00076</t>
        </is>
      </c>
      <c r="B16" t="inlineStr">
        <is>
          <t>[ConvaTec] Túi hậu môn nhân tạo 1 mảnh trong suốt - ActiveLife 22771</t>
        </is>
      </c>
      <c r="C16" t="inlineStr">
        <is>
          <t>TAG-007</t>
        </is>
      </c>
      <c r="D16">
        <f>IFERROR(INDEX(Tag!$B:$B,MATCH(C16,Tag!$A:$A,0)),"NOT FOUND")</f>
        <v/>
      </c>
      <c r="E16">
        <f>IFERROR(INDEX(Tag!$C:$C,MATCH(C16,Tag!$A:$A,0)),"NOT FOUND")</f>
        <v/>
      </c>
      <c r="F16" t="inlineStr">
        <is>
          <t>Chắc chắn</t>
        </is>
      </c>
      <c r="G16" t="inlineStr">
        <is>
          <t>Tên sản phẩm</t>
        </is>
      </c>
      <c r="H16">
        <f>"INSERT INTO medical_supply_product_tag (product_code, tag_code) VALUES ('"&amp;A16&amp;"', '"&amp;C16&amp;"');"</f>
        <v/>
      </c>
    </row>
    <row r="17">
      <c r="A17" s="2" t="inlineStr">
        <is>
          <t>PRODUCT-00076</t>
        </is>
      </c>
      <c r="B17" s="2" t="inlineStr">
        <is>
          <t>[ConvaTec] Túi hậu môn nhân tạo 1 mảnh trong suốt - ActiveLife 22771</t>
        </is>
      </c>
      <c r="C17" s="2" t="inlineStr">
        <is>
          <t>TAG-009</t>
        </is>
      </c>
      <c r="D17" s="2">
        <f>IFERROR(INDEX(Tag!$B:$B,MATCH(C17,Tag!$A:$A,0)),"NOT FOUND")</f>
        <v/>
      </c>
      <c r="E17" s="2">
        <f>IFERROR(INDEX(Tag!$C:$C,MATCH(C17,Tag!$A:$A,0)),"NOT FOUND")</f>
        <v/>
      </c>
      <c r="F17" s="2" t="inlineStr">
        <is>
          <t>Suy đoán</t>
        </is>
      </c>
      <c r="G17" s="2" t="inlineStr">
        <is>
          <t>Mô tả không ghi đối tượng; mặc định người lớn</t>
        </is>
      </c>
      <c r="H17" s="2">
        <f>"INSERT INTO medical_supply_product_tag (product_code, tag_code) VALUES ('"&amp;A17&amp;"', '"&amp;C17&amp;"');"</f>
        <v/>
      </c>
    </row>
    <row r="18">
      <c r="A18" t="inlineStr">
        <is>
          <t>PRODUCT-00076</t>
        </is>
      </c>
      <c r="B18" t="inlineStr">
        <is>
          <t>[ConvaTec] Túi hậu môn nhân tạo 1 mảnh trong suốt - ActiveLife 22771</t>
        </is>
      </c>
      <c r="C18" t="inlineStr">
        <is>
          <t>TAG-013</t>
        </is>
      </c>
      <c r="D18">
        <f>IFERROR(INDEX(Tag!$B:$B,MATCH(C18,Tag!$A:$A,0)),"NOT FOUND")</f>
        <v/>
      </c>
      <c r="E18">
        <f>IFERROR(INDEX(Tag!$C:$C,MATCH(C18,Tag!$A:$A,0)),"NOT FOUND")</f>
        <v/>
      </c>
      <c r="F18" t="inlineStr">
        <is>
          <t>Chắc chắn</t>
        </is>
      </c>
      <c r="G18" t="inlineStr">
        <is>
          <t>Tên: trong suốt</t>
        </is>
      </c>
      <c r="H18">
        <f>"INSERT INTO medical_supply_product_tag (product_code, tag_code) VALUES ('"&amp;A18&amp;"', '"&amp;C18&amp;"');"</f>
        <v/>
      </c>
    </row>
    <row r="19">
      <c r="A19" s="2" t="inlineStr">
        <is>
          <t>PRODUCT-00076</t>
        </is>
      </c>
      <c r="B19" s="2" t="inlineStr">
        <is>
          <t>[ConvaTec] Túi hậu môn nhân tạo 1 mảnh trong suốt - ActiveLife 22771</t>
        </is>
      </c>
      <c r="C19" s="2" t="inlineStr">
        <is>
          <t>TAG-014</t>
        </is>
      </c>
      <c r="D19" s="2">
        <f>IFERROR(INDEX(Tag!$B:$B,MATCH(C19,Tag!$A:$A,0)),"NOT FOUND")</f>
        <v/>
      </c>
      <c r="E19" s="2">
        <f>IFERROR(INDEX(Tag!$C:$C,MATCH(C19,Tag!$A:$A,0)),"NOT FOUND")</f>
        <v/>
      </c>
      <c r="F19" s="2" t="inlineStr">
        <is>
          <t>Suy đoán</t>
        </is>
      </c>
      <c r="G19" s="2" t="inlineStr">
        <is>
          <t>Mô tả: kẹp túi dùng lại nhiều lần</t>
        </is>
      </c>
      <c r="H19" s="2">
        <f>"INSERT INTO medical_supply_product_tag (product_code, tag_code) VALUES ('"&amp;A19&amp;"', '"&amp;C19&amp;"');"</f>
        <v/>
      </c>
    </row>
    <row r="20">
      <c r="A20" t="inlineStr">
        <is>
          <t>PRODUCT-00077</t>
        </is>
      </c>
      <c r="B20" t="inlineStr">
        <is>
          <t>[Hollister] Túi hậu môn nhân tạo 1 mảnh - 8631</t>
        </is>
      </c>
      <c r="C20" t="inlineStr">
        <is>
          <t>TAG-001</t>
        </is>
      </c>
      <c r="D20">
        <f>IFERROR(INDEX(Tag!$B:$B,MATCH(C20,Tag!$A:$A,0)),"NOT FOUND")</f>
        <v/>
      </c>
      <c r="E20">
        <f>IFERROR(INDEX(Tag!$C:$C,MATCH(C20,Tag!$A:$A,0)),"NOT FOUND")</f>
        <v/>
      </c>
      <c r="F20" t="inlineStr">
        <is>
          <t>Chắc chắn</t>
        </is>
      </c>
      <c r="G20" t="inlineStr">
        <is>
          <t>Danh mục / tên sản phẩm</t>
        </is>
      </c>
      <c r="H20">
        <f>"INSERT INTO medical_supply_product_tag (product_code, tag_code) VALUES ('"&amp;A20&amp;"', '"&amp;C20&amp;"');"</f>
        <v/>
      </c>
    </row>
    <row r="21">
      <c r="A21" t="inlineStr">
        <is>
          <t>PRODUCT-00077</t>
        </is>
      </c>
      <c r="B21" t="inlineStr">
        <is>
          <t>[Hollister] Túi hậu môn nhân tạo 1 mảnh - 8631</t>
        </is>
      </c>
      <c r="C21" t="inlineStr">
        <is>
          <t>TAG-005</t>
        </is>
      </c>
      <c r="D21">
        <f>IFERROR(INDEX(Tag!$B:$B,MATCH(C21,Tag!$A:$A,0)),"NOT FOUND")</f>
        <v/>
      </c>
      <c r="E21">
        <f>IFERROR(INDEX(Tag!$C:$C,MATCH(C21,Tag!$A:$A,0)),"NOT FOUND")</f>
        <v/>
      </c>
      <c r="F21" t="inlineStr">
        <is>
          <t>Chắc chắn</t>
        </is>
      </c>
      <c r="G21" t="inlineStr">
        <is>
          <t>Danh mục: Túi/Đế HMNT 1 mảnh</t>
        </is>
      </c>
      <c r="H21">
        <f>"INSERT INTO medical_supply_product_tag (product_code, tag_code) VALUES ('"&amp;A21&amp;"', '"&amp;C21&amp;"');"</f>
        <v/>
      </c>
    </row>
    <row r="22">
      <c r="A22" t="inlineStr">
        <is>
          <t>PRODUCT-00077</t>
        </is>
      </c>
      <c r="B22" t="inlineStr">
        <is>
          <t>[Hollister] Túi hậu môn nhân tạo 1 mảnh - 8631</t>
        </is>
      </c>
      <c r="C22" t="inlineStr">
        <is>
          <t>TAG-007</t>
        </is>
      </c>
      <c r="D22">
        <f>IFERROR(INDEX(Tag!$B:$B,MATCH(C22,Tag!$A:$A,0)),"NOT FOUND")</f>
        <v/>
      </c>
      <c r="E22">
        <f>IFERROR(INDEX(Tag!$C:$C,MATCH(C22,Tag!$A:$A,0)),"NOT FOUND")</f>
        <v/>
      </c>
      <c r="F22" t="inlineStr">
        <is>
          <t>Chắc chắn</t>
        </is>
      </c>
      <c r="G22" t="inlineStr">
        <is>
          <t>Tên sản phẩm</t>
        </is>
      </c>
      <c r="H22">
        <f>"INSERT INTO medical_supply_product_tag (product_code, tag_code) VALUES ('"&amp;A22&amp;"', '"&amp;C22&amp;"');"</f>
        <v/>
      </c>
    </row>
    <row r="23">
      <c r="A23" s="2" t="inlineStr">
        <is>
          <t>PRODUCT-00077</t>
        </is>
      </c>
      <c r="B23" s="2" t="inlineStr">
        <is>
          <t>[Hollister] Túi hậu môn nhân tạo 1 mảnh - 8631</t>
        </is>
      </c>
      <c r="C23" s="2" t="inlineStr">
        <is>
          <t>TAG-009</t>
        </is>
      </c>
      <c r="D23" s="2">
        <f>IFERROR(INDEX(Tag!$B:$B,MATCH(C23,Tag!$A:$A,0)),"NOT FOUND")</f>
        <v/>
      </c>
      <c r="E23" s="2">
        <f>IFERROR(INDEX(Tag!$C:$C,MATCH(C23,Tag!$A:$A,0)),"NOT FOUND")</f>
        <v/>
      </c>
      <c r="F23" s="2" t="inlineStr">
        <is>
          <t>Suy đoán</t>
        </is>
      </c>
      <c r="G23" s="2" t="inlineStr">
        <is>
          <t>Mô tả không ghi đối tượng; mặc định người lớn</t>
        </is>
      </c>
      <c r="H23" s="2">
        <f>"INSERT INTO medical_supply_product_tag (product_code, tag_code) VALUES ('"&amp;A23&amp;"', '"&amp;C23&amp;"');"</f>
        <v/>
      </c>
    </row>
    <row r="24">
      <c r="A24" s="2" t="inlineStr">
        <is>
          <t>PRODUCT-00077</t>
        </is>
      </c>
      <c r="B24" s="2" t="inlineStr">
        <is>
          <t>[Hollister] Túi hậu môn nhân tạo 1 mảnh - 8631</t>
        </is>
      </c>
      <c r="C24" s="2" t="inlineStr">
        <is>
          <t>TAG-012</t>
        </is>
      </c>
      <c r="D24" s="2">
        <f>IFERROR(INDEX(Tag!$B:$B,MATCH(C24,Tag!$A:$A,0)),"NOT FOUND")</f>
        <v/>
      </c>
      <c r="E24" s="2">
        <f>IFERROR(INDEX(Tag!$C:$C,MATCH(C24,Tag!$A:$A,0)),"NOT FOUND")</f>
        <v/>
      </c>
      <c r="F24" s="2" t="inlineStr">
        <is>
          <t>Suy đoán</t>
        </is>
      </c>
      <c r="G24" s="2" t="inlineStr">
        <is>
          <t>Mô tả: màng lọc mùi màu be kín đáo</t>
        </is>
      </c>
      <c r="H24" s="2">
        <f>"INSERT INTO medical_supply_product_tag (product_code, tag_code) VALUES ('"&amp;A24&amp;"', '"&amp;C24&amp;"');"</f>
        <v/>
      </c>
    </row>
    <row r="25">
      <c r="A25" t="inlineStr">
        <is>
          <t>PRODUCT-00078</t>
        </is>
      </c>
      <c r="B25" t="inlineStr">
        <is>
          <t>[Hollister] Túi hậu môn nhân tạo cho trẻ sơ sinh - 3778</t>
        </is>
      </c>
      <c r="C25" t="inlineStr">
        <is>
          <t>TAG-001</t>
        </is>
      </c>
      <c r="D25">
        <f>IFERROR(INDEX(Tag!$B:$B,MATCH(C25,Tag!$A:$A,0)),"NOT FOUND")</f>
        <v/>
      </c>
      <c r="E25">
        <f>IFERROR(INDEX(Tag!$C:$C,MATCH(C25,Tag!$A:$A,0)),"NOT FOUND")</f>
        <v/>
      </c>
      <c r="F25" t="inlineStr">
        <is>
          <t>Chắc chắn</t>
        </is>
      </c>
      <c r="G25" t="inlineStr">
        <is>
          <t>Danh mục / tên sản phẩm</t>
        </is>
      </c>
      <c r="H25">
        <f>"INSERT INTO medical_supply_product_tag (product_code, tag_code) VALUES ('"&amp;A25&amp;"', '"&amp;C25&amp;"');"</f>
        <v/>
      </c>
    </row>
    <row r="26">
      <c r="A26" t="inlineStr">
        <is>
          <t>PRODUCT-00078</t>
        </is>
      </c>
      <c r="B26" t="inlineStr">
        <is>
          <t>[Hollister] Túi hậu môn nhân tạo cho trẻ sơ sinh - 3778</t>
        </is>
      </c>
      <c r="C26" t="inlineStr">
        <is>
          <t>TAG-005</t>
        </is>
      </c>
      <c r="D26">
        <f>IFERROR(INDEX(Tag!$B:$B,MATCH(C26,Tag!$A:$A,0)),"NOT FOUND")</f>
        <v/>
      </c>
      <c r="E26">
        <f>IFERROR(INDEX(Tag!$C:$C,MATCH(C26,Tag!$A:$A,0)),"NOT FOUND")</f>
        <v/>
      </c>
      <c r="F26" t="inlineStr">
        <is>
          <t>Chắc chắn</t>
        </is>
      </c>
      <c r="G26" t="inlineStr">
        <is>
          <t>Danh mục: Túi/Đế HMNT 1 mảnh</t>
        </is>
      </c>
      <c r="H26">
        <f>"INSERT INTO medical_supply_product_tag (product_code, tag_code) VALUES ('"&amp;A26&amp;"', '"&amp;C26&amp;"');"</f>
        <v/>
      </c>
    </row>
    <row r="27">
      <c r="A27" s="2" t="inlineStr">
        <is>
          <t>PRODUCT-00078</t>
        </is>
      </c>
      <c r="B27" s="2" t="inlineStr">
        <is>
          <t>[Hollister] Túi hậu môn nhân tạo cho trẻ sơ sinh - 3778</t>
        </is>
      </c>
      <c r="C27" s="2" t="inlineStr">
        <is>
          <t>TAG-007</t>
        </is>
      </c>
      <c r="D27" s="2">
        <f>IFERROR(INDEX(Tag!$B:$B,MATCH(C27,Tag!$A:$A,0)),"NOT FOUND")</f>
        <v/>
      </c>
      <c r="E27" s="2">
        <f>IFERROR(INDEX(Tag!$C:$C,MATCH(C27,Tag!$A:$A,0)),"NOT FOUND")</f>
        <v/>
      </c>
      <c r="F27" s="2" t="inlineStr">
        <is>
          <t>Suy đoán</t>
        </is>
      </c>
      <c r="G27" s="2" t="inlineStr">
        <is>
          <t>Mô tả: phù hợp mọi loại hậu môn nhân tạo</t>
        </is>
      </c>
      <c r="H27" s="2">
        <f>"INSERT INTO medical_supply_product_tag (product_code, tag_code) VALUES ('"&amp;A27&amp;"', '"&amp;C27&amp;"');"</f>
        <v/>
      </c>
    </row>
    <row r="28">
      <c r="A28" t="inlineStr">
        <is>
          <t>PRODUCT-00078</t>
        </is>
      </c>
      <c r="B28" t="inlineStr">
        <is>
          <t>[Hollister] Túi hậu môn nhân tạo cho trẻ sơ sinh - 3778</t>
        </is>
      </c>
      <c r="C28" t="inlineStr">
        <is>
          <t>TAG-011</t>
        </is>
      </c>
      <c r="D28">
        <f>IFERROR(INDEX(Tag!$B:$B,MATCH(C28,Tag!$A:$A,0)),"NOT FOUND")</f>
        <v/>
      </c>
      <c r="E28">
        <f>IFERROR(INDEX(Tag!$C:$C,MATCH(C28,Tag!$A:$A,0)),"NOT FOUND")</f>
        <v/>
      </c>
      <c r="F28" t="inlineStr">
        <is>
          <t>Chắc chắn</t>
        </is>
      </c>
      <c r="G28" t="inlineStr">
        <is>
          <t>Tên: cho trẻ sơ sinh</t>
        </is>
      </c>
      <c r="H28">
        <f>"INSERT INTO medical_supply_product_tag (product_code, tag_code) VALUES ('"&amp;A28&amp;"', '"&amp;C28&amp;"');"</f>
        <v/>
      </c>
    </row>
    <row r="29">
      <c r="A29" t="inlineStr">
        <is>
          <t>PRODUCT-00078</t>
        </is>
      </c>
      <c r="B29" t="inlineStr">
        <is>
          <t>[Hollister] Túi hậu môn nhân tạo cho trẻ sơ sinh - 3778</t>
        </is>
      </c>
      <c r="C29" t="inlineStr">
        <is>
          <t>TAG-010</t>
        </is>
      </c>
      <c r="D29">
        <f>IFERROR(INDEX(Tag!$B:$B,MATCH(C29,Tag!$A:$A,0)),"NOT FOUND")</f>
        <v/>
      </c>
      <c r="E29">
        <f>IFERROR(INDEX(Tag!$C:$C,MATCH(C29,Tag!$A:$A,0)),"NOT FOUND")</f>
        <v/>
      </c>
      <c r="F29" t="inlineStr">
        <is>
          <t>Chắc chắn</t>
        </is>
      </c>
      <c r="G29" t="inlineStr">
        <is>
          <t>Trẻ sơ sinh cũng là trẻ em, để khách hỏi 'cho bé' vẫn tìm thấy</t>
        </is>
      </c>
      <c r="H29">
        <f>"INSERT INTO medical_supply_product_tag (product_code, tag_code) VALUES ('"&amp;A29&amp;"', '"&amp;C29&amp;"');"</f>
        <v/>
      </c>
    </row>
    <row r="30">
      <c r="A30" t="inlineStr">
        <is>
          <t>PRODUCT-00078</t>
        </is>
      </c>
      <c r="B30" t="inlineStr">
        <is>
          <t>[Hollister] Túi hậu môn nhân tạo cho trẻ sơ sinh - 3778</t>
        </is>
      </c>
      <c r="C30" t="inlineStr">
        <is>
          <t>TAG-013</t>
        </is>
      </c>
      <c r="D30">
        <f>IFERROR(INDEX(Tag!$B:$B,MATCH(C30,Tag!$A:$A,0)),"NOT FOUND")</f>
        <v/>
      </c>
      <c r="E30">
        <f>IFERROR(INDEX(Tag!$C:$C,MATCH(C30,Tag!$A:$A,0)),"NOT FOUND")</f>
        <v/>
      </c>
      <c r="F30" t="inlineStr">
        <is>
          <t>Chắc chắn</t>
        </is>
      </c>
      <c r="G30" t="inlineStr">
        <is>
          <t>Mô tả: túi trong suốt</t>
        </is>
      </c>
      <c r="H30">
        <f>"INSERT INTO medical_supply_product_tag (product_code, tag_code) VALUES ('"&amp;A30&amp;"', '"&amp;C30&amp;"');"</f>
        <v/>
      </c>
    </row>
    <row r="31">
      <c r="A31" t="inlineStr">
        <is>
          <t>PRODUCT-00086</t>
        </is>
      </c>
      <c r="B31" t="inlineStr">
        <is>
          <t>[Mepro] Túi hậu môn nhân tạo 1 mảnh - Kẹp rời</t>
        </is>
      </c>
      <c r="C31" t="inlineStr">
        <is>
          <t>TAG-001</t>
        </is>
      </c>
      <c r="D31">
        <f>IFERROR(INDEX(Tag!$B:$B,MATCH(C31,Tag!$A:$A,0)),"NOT FOUND")</f>
        <v/>
      </c>
      <c r="E31">
        <f>IFERROR(INDEX(Tag!$C:$C,MATCH(C31,Tag!$A:$A,0)),"NOT FOUND")</f>
        <v/>
      </c>
      <c r="F31" t="inlineStr">
        <is>
          <t>Chắc chắn</t>
        </is>
      </c>
      <c r="G31" t="inlineStr">
        <is>
          <t>Danh mục / tên sản phẩm</t>
        </is>
      </c>
      <c r="H31">
        <f>"INSERT INTO medical_supply_product_tag (product_code, tag_code) VALUES ('"&amp;A31&amp;"', '"&amp;C31&amp;"');"</f>
        <v/>
      </c>
    </row>
    <row r="32">
      <c r="A32" t="inlineStr">
        <is>
          <t>PRODUCT-00086</t>
        </is>
      </c>
      <c r="B32" t="inlineStr">
        <is>
          <t>[Mepro] Túi hậu môn nhân tạo 1 mảnh - Kẹp rời</t>
        </is>
      </c>
      <c r="C32" t="inlineStr">
        <is>
          <t>TAG-005</t>
        </is>
      </c>
      <c r="D32">
        <f>IFERROR(INDEX(Tag!$B:$B,MATCH(C32,Tag!$A:$A,0)),"NOT FOUND")</f>
        <v/>
      </c>
      <c r="E32">
        <f>IFERROR(INDEX(Tag!$C:$C,MATCH(C32,Tag!$A:$A,0)),"NOT FOUND")</f>
        <v/>
      </c>
      <c r="F32" t="inlineStr">
        <is>
          <t>Chắc chắn</t>
        </is>
      </c>
      <c r="G32" t="inlineStr">
        <is>
          <t>Danh mục: Túi/Đế HMNT 1 mảnh</t>
        </is>
      </c>
      <c r="H32">
        <f>"INSERT INTO medical_supply_product_tag (product_code, tag_code) VALUES ('"&amp;A32&amp;"', '"&amp;C32&amp;"');"</f>
        <v/>
      </c>
    </row>
    <row r="33">
      <c r="A33" t="inlineStr">
        <is>
          <t>PRODUCT-00086</t>
        </is>
      </c>
      <c r="B33" t="inlineStr">
        <is>
          <t>[Mepro] Túi hậu môn nhân tạo 1 mảnh - Kẹp rời</t>
        </is>
      </c>
      <c r="C33" t="inlineStr">
        <is>
          <t>TAG-007</t>
        </is>
      </c>
      <c r="D33">
        <f>IFERROR(INDEX(Tag!$B:$B,MATCH(C33,Tag!$A:$A,0)),"NOT FOUND")</f>
        <v/>
      </c>
      <c r="E33">
        <f>IFERROR(INDEX(Tag!$C:$C,MATCH(C33,Tag!$A:$A,0)),"NOT FOUND")</f>
        <v/>
      </c>
      <c r="F33" t="inlineStr">
        <is>
          <t>Chắc chắn</t>
        </is>
      </c>
      <c r="G33" t="inlineStr">
        <is>
          <t>Tên sản phẩm</t>
        </is>
      </c>
      <c r="H33">
        <f>"INSERT INTO medical_supply_product_tag (product_code, tag_code) VALUES ('"&amp;A33&amp;"', '"&amp;C33&amp;"');"</f>
        <v/>
      </c>
    </row>
    <row r="34">
      <c r="A34" s="2" t="inlineStr">
        <is>
          <t>PRODUCT-00086</t>
        </is>
      </c>
      <c r="B34" s="2" t="inlineStr">
        <is>
          <t>[Mepro] Túi hậu môn nhân tạo 1 mảnh - Kẹp rời</t>
        </is>
      </c>
      <c r="C34" s="2" t="inlineStr">
        <is>
          <t>TAG-009</t>
        </is>
      </c>
      <c r="D34" s="2">
        <f>IFERROR(INDEX(Tag!$B:$B,MATCH(C34,Tag!$A:$A,0)),"NOT FOUND")</f>
        <v/>
      </c>
      <c r="E34" s="2">
        <f>IFERROR(INDEX(Tag!$C:$C,MATCH(C34,Tag!$A:$A,0)),"NOT FOUND")</f>
        <v/>
      </c>
      <c r="F34" s="2" t="inlineStr">
        <is>
          <t>Suy đoán</t>
        </is>
      </c>
      <c r="G34" s="2" t="inlineStr">
        <is>
          <t>Mô tả không ghi đối tượng; mặc định người lớn</t>
        </is>
      </c>
      <c r="H34" s="2">
        <f>"INSERT INTO medical_supply_product_tag (product_code, tag_code) VALUES ('"&amp;A34&amp;"', '"&amp;C34&amp;"');"</f>
        <v/>
      </c>
    </row>
    <row r="35">
      <c r="A35" s="2" t="inlineStr">
        <is>
          <t>PRODUCT-00086</t>
        </is>
      </c>
      <c r="B35" s="2" t="inlineStr">
        <is>
          <t>[Mepro] Túi hậu môn nhân tạo 1 mảnh - Kẹp rời</t>
        </is>
      </c>
      <c r="C35" s="2" t="inlineStr">
        <is>
          <t>TAG-012</t>
        </is>
      </c>
      <c r="D35" s="2">
        <f>IFERROR(INDEX(Tag!$B:$B,MATCH(C35,Tag!$A:$A,0)),"NOT FOUND")</f>
        <v/>
      </c>
      <c r="E35" s="2">
        <f>IFERROR(INDEX(Tag!$C:$C,MATCH(C35,Tag!$A:$A,0)),"NOT FOUND")</f>
        <v/>
      </c>
      <c r="F35" s="2" t="inlineStr">
        <is>
          <t>Suy đoán</t>
        </is>
      </c>
      <c r="G35" s="2" t="inlineStr">
        <is>
          <t>Mô tả: hai lớp kín đáo (chưa rõ có lớp trong suốt không)</t>
        </is>
      </c>
      <c r="H35" s="2">
        <f>"INSERT INTO medical_supply_product_tag (product_code, tag_code) VALUES ('"&amp;A35&amp;"', '"&amp;C35&amp;"');"</f>
        <v/>
      </c>
    </row>
    <row r="36">
      <c r="A36" t="inlineStr">
        <is>
          <t>PRODUCT-00086</t>
        </is>
      </c>
      <c r="B36" t="inlineStr">
        <is>
          <t>[Mepro] Túi hậu môn nhân tạo 1 mảnh - Kẹp rời</t>
        </is>
      </c>
      <c r="C36" t="inlineStr">
        <is>
          <t>TAG-014</t>
        </is>
      </c>
      <c r="D36">
        <f>IFERROR(INDEX(Tag!$B:$B,MATCH(C36,Tag!$A:$A,0)),"NOT FOUND")</f>
        <v/>
      </c>
      <c r="E36">
        <f>IFERROR(INDEX(Tag!$C:$C,MATCH(C36,Tag!$A:$A,0)),"NOT FOUND")</f>
        <v/>
      </c>
      <c r="F36" t="inlineStr">
        <is>
          <t>Chắc chắn</t>
        </is>
      </c>
      <c r="G36" t="inlineStr">
        <is>
          <t>Tên: kẹp rời</t>
        </is>
      </c>
      <c r="H36">
        <f>"INSERT INTO medical_supply_product_tag (product_code, tag_code) VALUES ('"&amp;A36&amp;"', '"&amp;C36&amp;"');"</f>
        <v/>
      </c>
    </row>
    <row r="37">
      <c r="A37" t="inlineStr">
        <is>
          <t>PRODUCT-00087</t>
        </is>
      </c>
      <c r="B37" t="inlineStr">
        <is>
          <t>[MiKiDo] Túi hậu môn nhân tạo 1 mảnh cho trẻ em</t>
        </is>
      </c>
      <c r="C37" t="inlineStr">
        <is>
          <t>TAG-001</t>
        </is>
      </c>
      <c r="D37">
        <f>IFERROR(INDEX(Tag!$B:$B,MATCH(C37,Tag!$A:$A,0)),"NOT FOUND")</f>
        <v/>
      </c>
      <c r="E37">
        <f>IFERROR(INDEX(Tag!$C:$C,MATCH(C37,Tag!$A:$A,0)),"NOT FOUND")</f>
        <v/>
      </c>
      <c r="F37" t="inlineStr">
        <is>
          <t>Chắc chắn</t>
        </is>
      </c>
      <c r="G37" t="inlineStr">
        <is>
          <t>Danh mục / tên sản phẩm</t>
        </is>
      </c>
      <c r="H37">
        <f>"INSERT INTO medical_supply_product_tag (product_code, tag_code) VALUES ('"&amp;A37&amp;"', '"&amp;C37&amp;"');"</f>
        <v/>
      </c>
    </row>
    <row r="38">
      <c r="A38" t="inlineStr">
        <is>
          <t>PRODUCT-00087</t>
        </is>
      </c>
      <c r="B38" t="inlineStr">
        <is>
          <t>[MiKiDo] Túi hậu môn nhân tạo 1 mảnh cho trẻ em</t>
        </is>
      </c>
      <c r="C38" t="inlineStr">
        <is>
          <t>TAG-005</t>
        </is>
      </c>
      <c r="D38">
        <f>IFERROR(INDEX(Tag!$B:$B,MATCH(C38,Tag!$A:$A,0)),"NOT FOUND")</f>
        <v/>
      </c>
      <c r="E38">
        <f>IFERROR(INDEX(Tag!$C:$C,MATCH(C38,Tag!$A:$A,0)),"NOT FOUND")</f>
        <v/>
      </c>
      <c r="F38" t="inlineStr">
        <is>
          <t>Chắc chắn</t>
        </is>
      </c>
      <c r="G38" t="inlineStr">
        <is>
          <t>Danh mục: Túi/Đế HMNT 1 mảnh</t>
        </is>
      </c>
      <c r="H38">
        <f>"INSERT INTO medical_supply_product_tag (product_code, tag_code) VALUES ('"&amp;A38&amp;"', '"&amp;C38&amp;"');"</f>
        <v/>
      </c>
    </row>
    <row r="39">
      <c r="A39" t="inlineStr">
        <is>
          <t>PRODUCT-00087</t>
        </is>
      </c>
      <c r="B39" t="inlineStr">
        <is>
          <t>[MiKiDo] Túi hậu môn nhân tạo 1 mảnh cho trẻ em</t>
        </is>
      </c>
      <c r="C39" t="inlineStr">
        <is>
          <t>TAG-007</t>
        </is>
      </c>
      <c r="D39">
        <f>IFERROR(INDEX(Tag!$B:$B,MATCH(C39,Tag!$A:$A,0)),"NOT FOUND")</f>
        <v/>
      </c>
      <c r="E39">
        <f>IFERROR(INDEX(Tag!$C:$C,MATCH(C39,Tag!$A:$A,0)),"NOT FOUND")</f>
        <v/>
      </c>
      <c r="F39" t="inlineStr">
        <is>
          <t>Chắc chắn</t>
        </is>
      </c>
      <c r="G39" t="inlineStr">
        <is>
          <t>Tên sản phẩm</t>
        </is>
      </c>
      <c r="H39">
        <f>"INSERT INTO medical_supply_product_tag (product_code, tag_code) VALUES ('"&amp;A39&amp;"', '"&amp;C39&amp;"');"</f>
        <v/>
      </c>
    </row>
    <row r="40">
      <c r="A40" t="inlineStr">
        <is>
          <t>PRODUCT-00087</t>
        </is>
      </c>
      <c r="B40" t="inlineStr">
        <is>
          <t>[MiKiDo] Túi hậu môn nhân tạo 1 mảnh cho trẻ em</t>
        </is>
      </c>
      <c r="C40" t="inlineStr">
        <is>
          <t>TAG-010</t>
        </is>
      </c>
      <c r="D40">
        <f>IFERROR(INDEX(Tag!$B:$B,MATCH(C40,Tag!$A:$A,0)),"NOT FOUND")</f>
        <v/>
      </c>
      <c r="E40">
        <f>IFERROR(INDEX(Tag!$C:$C,MATCH(C40,Tag!$A:$A,0)),"NOT FOUND")</f>
        <v/>
      </c>
      <c r="F40" t="inlineStr">
        <is>
          <t>Chắc chắn</t>
        </is>
      </c>
      <c r="G40" t="inlineStr">
        <is>
          <t>Tên: cho trẻ em</t>
        </is>
      </c>
      <c r="H40">
        <f>"INSERT INTO medical_supply_product_tag (product_code, tag_code) VALUES ('"&amp;A40&amp;"', '"&amp;C40&amp;"');"</f>
        <v/>
      </c>
    </row>
    <row r="41">
      <c r="A41" s="2" t="inlineStr">
        <is>
          <t>PRODUCT-00087</t>
        </is>
      </c>
      <c r="B41" s="2" t="inlineStr">
        <is>
          <t>[MiKiDo] Túi hậu môn nhân tạo 1 mảnh cho trẻ em</t>
        </is>
      </c>
      <c r="C41" s="2" t="inlineStr">
        <is>
          <t>TAG-014</t>
        </is>
      </c>
      <c r="D41" s="2">
        <f>IFERROR(INDEX(Tag!$B:$B,MATCH(C41,Tag!$A:$A,0)),"NOT FOUND")</f>
        <v/>
      </c>
      <c r="E41" s="2">
        <f>IFERROR(INDEX(Tag!$C:$C,MATCH(C41,Tag!$A:$A,0)),"NOT FOUND")</f>
        <v/>
      </c>
      <c r="F41" s="2" t="inlineStr">
        <is>
          <t>Suy đoán</t>
        </is>
      </c>
      <c r="G41" s="2" t="inlineStr">
        <is>
          <t>Mô tả: kẹp túi dùng lại nhiều lần</t>
        </is>
      </c>
      <c r="H41" s="2">
        <f>"INSERT INTO medical_supply_product_tag (product_code, tag_code) VALUES ('"&amp;A41&amp;"', '"&amp;C41&amp;"');"</f>
        <v/>
      </c>
    </row>
    <row r="42">
      <c r="A42" t="inlineStr">
        <is>
          <t>PRODUCT-00088</t>
        </is>
      </c>
      <c r="B42" t="inlineStr">
        <is>
          <t>[Ostomy Care] Túi hậu môn nhân tạo 1 mảnh - Khóa dán liền</t>
        </is>
      </c>
      <c r="C42" t="inlineStr">
        <is>
          <t>TAG-001</t>
        </is>
      </c>
      <c r="D42">
        <f>IFERROR(INDEX(Tag!$B:$B,MATCH(C42,Tag!$A:$A,0)),"NOT FOUND")</f>
        <v/>
      </c>
      <c r="E42">
        <f>IFERROR(INDEX(Tag!$C:$C,MATCH(C42,Tag!$A:$A,0)),"NOT FOUND")</f>
        <v/>
      </c>
      <c r="F42" t="inlineStr">
        <is>
          <t>Chắc chắn</t>
        </is>
      </c>
      <c r="G42" t="inlineStr">
        <is>
          <t>Danh mục / tên sản phẩm</t>
        </is>
      </c>
      <c r="H42">
        <f>"INSERT INTO medical_supply_product_tag (product_code, tag_code) VALUES ('"&amp;A42&amp;"', '"&amp;C42&amp;"');"</f>
        <v/>
      </c>
    </row>
    <row r="43">
      <c r="A43" t="inlineStr">
        <is>
          <t>PRODUCT-00088</t>
        </is>
      </c>
      <c r="B43" t="inlineStr">
        <is>
          <t>[Ostomy Care] Túi hậu môn nhân tạo 1 mảnh - Khóa dán liền</t>
        </is>
      </c>
      <c r="C43" t="inlineStr">
        <is>
          <t>TAG-005</t>
        </is>
      </c>
      <c r="D43">
        <f>IFERROR(INDEX(Tag!$B:$B,MATCH(C43,Tag!$A:$A,0)),"NOT FOUND")</f>
        <v/>
      </c>
      <c r="E43">
        <f>IFERROR(INDEX(Tag!$C:$C,MATCH(C43,Tag!$A:$A,0)),"NOT FOUND")</f>
        <v/>
      </c>
      <c r="F43" t="inlineStr">
        <is>
          <t>Chắc chắn</t>
        </is>
      </c>
      <c r="G43" t="inlineStr">
        <is>
          <t>Danh mục: Túi/Đế HMNT 1 mảnh</t>
        </is>
      </c>
      <c r="H43">
        <f>"INSERT INTO medical_supply_product_tag (product_code, tag_code) VALUES ('"&amp;A43&amp;"', '"&amp;C43&amp;"');"</f>
        <v/>
      </c>
    </row>
    <row r="44">
      <c r="A44" t="inlineStr">
        <is>
          <t>PRODUCT-00088</t>
        </is>
      </c>
      <c r="B44" t="inlineStr">
        <is>
          <t>[Ostomy Care] Túi hậu môn nhân tạo 1 mảnh - Khóa dán liền</t>
        </is>
      </c>
      <c r="C44" t="inlineStr">
        <is>
          <t>TAG-007</t>
        </is>
      </c>
      <c r="D44">
        <f>IFERROR(INDEX(Tag!$B:$B,MATCH(C44,Tag!$A:$A,0)),"NOT FOUND")</f>
        <v/>
      </c>
      <c r="E44">
        <f>IFERROR(INDEX(Tag!$C:$C,MATCH(C44,Tag!$A:$A,0)),"NOT FOUND")</f>
        <v/>
      </c>
      <c r="F44" t="inlineStr">
        <is>
          <t>Chắc chắn</t>
        </is>
      </c>
      <c r="G44" t="inlineStr">
        <is>
          <t>Tên sản phẩm</t>
        </is>
      </c>
      <c r="H44">
        <f>"INSERT INTO medical_supply_product_tag (product_code, tag_code) VALUES ('"&amp;A44&amp;"', '"&amp;C44&amp;"');"</f>
        <v/>
      </c>
    </row>
    <row r="45">
      <c r="A45" s="2" t="inlineStr">
        <is>
          <t>PRODUCT-00088</t>
        </is>
      </c>
      <c r="B45" s="2" t="inlineStr">
        <is>
          <t>[Ostomy Care] Túi hậu môn nhân tạo 1 mảnh - Khóa dán liền</t>
        </is>
      </c>
      <c r="C45" s="2" t="inlineStr">
        <is>
          <t>TAG-009</t>
        </is>
      </c>
      <c r="D45" s="2">
        <f>IFERROR(INDEX(Tag!$B:$B,MATCH(C45,Tag!$A:$A,0)),"NOT FOUND")</f>
        <v/>
      </c>
      <c r="E45" s="2">
        <f>IFERROR(INDEX(Tag!$C:$C,MATCH(C45,Tag!$A:$A,0)),"NOT FOUND")</f>
        <v/>
      </c>
      <c r="F45" s="2" t="inlineStr">
        <is>
          <t>Suy đoán</t>
        </is>
      </c>
      <c r="G45" s="2" t="inlineStr">
        <is>
          <t>Mô tả không ghi đối tượng; mặc định người lớn</t>
        </is>
      </c>
      <c r="H45" s="2">
        <f>"INSERT INTO medical_supply_product_tag (product_code, tag_code) VALUES ('"&amp;A45&amp;"', '"&amp;C45&amp;"');"</f>
        <v/>
      </c>
    </row>
    <row r="46">
      <c r="A46" s="2" t="inlineStr">
        <is>
          <t>PRODUCT-00088</t>
        </is>
      </c>
      <c r="B46" s="2" t="inlineStr">
        <is>
          <t>[Ostomy Care] Túi hậu môn nhân tạo 1 mảnh - Khóa dán liền</t>
        </is>
      </c>
      <c r="C46" s="2" t="inlineStr">
        <is>
          <t>TAG-012</t>
        </is>
      </c>
      <c r="D46" s="2">
        <f>IFERROR(INDEX(Tag!$B:$B,MATCH(C46,Tag!$A:$A,0)),"NOT FOUND")</f>
        <v/>
      </c>
      <c r="E46" s="2">
        <f>IFERROR(INDEX(Tag!$C:$C,MATCH(C46,Tag!$A:$A,0)),"NOT FOUND")</f>
        <v/>
      </c>
      <c r="F46" s="2" t="inlineStr">
        <is>
          <t>Suy đoán</t>
        </is>
      </c>
      <c r="G46" s="2" t="inlineStr">
        <is>
          <t>Mô tả: màng chắn màu be kín đáo</t>
        </is>
      </c>
      <c r="H46" s="2">
        <f>"INSERT INTO medical_supply_product_tag (product_code, tag_code) VALUES ('"&amp;A46&amp;"', '"&amp;C46&amp;"');"</f>
        <v/>
      </c>
    </row>
    <row r="47">
      <c r="A47" t="inlineStr">
        <is>
          <t>PRODUCT-00088</t>
        </is>
      </c>
      <c r="B47" t="inlineStr">
        <is>
          <t>[Ostomy Care] Túi hậu môn nhân tạo 1 mảnh - Khóa dán liền</t>
        </is>
      </c>
      <c r="C47" t="inlineStr">
        <is>
          <t>TAG-015</t>
        </is>
      </c>
      <c r="D47">
        <f>IFERROR(INDEX(Tag!$B:$B,MATCH(C47,Tag!$A:$A,0)),"NOT FOUND")</f>
        <v/>
      </c>
      <c r="E47">
        <f>IFERROR(INDEX(Tag!$C:$C,MATCH(C47,Tag!$A:$A,0)),"NOT FOUND")</f>
        <v/>
      </c>
      <c r="F47" t="inlineStr">
        <is>
          <t>Chắc chắn</t>
        </is>
      </c>
      <c r="G47" t="inlineStr">
        <is>
          <t>Tên: khóa dán liền</t>
        </is>
      </c>
      <c r="H47">
        <f>"INSERT INTO medical_supply_product_tag (product_code, tag_code) VALUES ('"&amp;A47&amp;"', '"&amp;C47&amp;"');"</f>
        <v/>
      </c>
    </row>
    <row r="48">
      <c r="A48" t="inlineStr">
        <is>
          <t>PRODUCT-00089</t>
        </is>
      </c>
      <c r="B48" t="inlineStr">
        <is>
          <t>[Ostomy Care] Túi hậu môn nhân tạo 1 mảnh - Khóa kẹp</t>
        </is>
      </c>
      <c r="C48" t="inlineStr">
        <is>
          <t>TAG-001</t>
        </is>
      </c>
      <c r="D48">
        <f>IFERROR(INDEX(Tag!$B:$B,MATCH(C48,Tag!$A:$A,0)),"NOT FOUND")</f>
        <v/>
      </c>
      <c r="E48">
        <f>IFERROR(INDEX(Tag!$C:$C,MATCH(C48,Tag!$A:$A,0)),"NOT FOUND")</f>
        <v/>
      </c>
      <c r="F48" t="inlineStr">
        <is>
          <t>Chắc chắn</t>
        </is>
      </c>
      <c r="G48" t="inlineStr">
        <is>
          <t>Danh mục / tên sản phẩm</t>
        </is>
      </c>
      <c r="H48">
        <f>"INSERT INTO medical_supply_product_tag (product_code, tag_code) VALUES ('"&amp;A48&amp;"', '"&amp;C48&amp;"');"</f>
        <v/>
      </c>
    </row>
    <row r="49">
      <c r="A49" t="inlineStr">
        <is>
          <t>PRODUCT-00089</t>
        </is>
      </c>
      <c r="B49" t="inlineStr">
        <is>
          <t>[Ostomy Care] Túi hậu môn nhân tạo 1 mảnh - Khóa kẹp</t>
        </is>
      </c>
      <c r="C49" t="inlineStr">
        <is>
          <t>TAG-005</t>
        </is>
      </c>
      <c r="D49">
        <f>IFERROR(INDEX(Tag!$B:$B,MATCH(C49,Tag!$A:$A,0)),"NOT FOUND")</f>
        <v/>
      </c>
      <c r="E49">
        <f>IFERROR(INDEX(Tag!$C:$C,MATCH(C49,Tag!$A:$A,0)),"NOT FOUND")</f>
        <v/>
      </c>
      <c r="F49" t="inlineStr">
        <is>
          <t>Chắc chắn</t>
        </is>
      </c>
      <c r="G49" t="inlineStr">
        <is>
          <t>Danh mục: Túi/Đế HMNT 1 mảnh</t>
        </is>
      </c>
      <c r="H49">
        <f>"INSERT INTO medical_supply_product_tag (product_code, tag_code) VALUES ('"&amp;A49&amp;"', '"&amp;C49&amp;"');"</f>
        <v/>
      </c>
    </row>
    <row r="50">
      <c r="A50" t="inlineStr">
        <is>
          <t>PRODUCT-00089</t>
        </is>
      </c>
      <c r="B50" t="inlineStr">
        <is>
          <t>[Ostomy Care] Túi hậu môn nhân tạo 1 mảnh - Khóa kẹp</t>
        </is>
      </c>
      <c r="C50" t="inlineStr">
        <is>
          <t>TAG-007</t>
        </is>
      </c>
      <c r="D50">
        <f>IFERROR(INDEX(Tag!$B:$B,MATCH(C50,Tag!$A:$A,0)),"NOT FOUND")</f>
        <v/>
      </c>
      <c r="E50">
        <f>IFERROR(INDEX(Tag!$C:$C,MATCH(C50,Tag!$A:$A,0)),"NOT FOUND")</f>
        <v/>
      </c>
      <c r="F50" t="inlineStr">
        <is>
          <t>Chắc chắn</t>
        </is>
      </c>
      <c r="G50" t="inlineStr">
        <is>
          <t>Tên sản phẩm</t>
        </is>
      </c>
      <c r="H50">
        <f>"INSERT INTO medical_supply_product_tag (product_code, tag_code) VALUES ('"&amp;A50&amp;"', '"&amp;C50&amp;"');"</f>
        <v/>
      </c>
    </row>
    <row r="51">
      <c r="A51" s="2" t="inlineStr">
        <is>
          <t>PRODUCT-00089</t>
        </is>
      </c>
      <c r="B51" s="2" t="inlineStr">
        <is>
          <t>[Ostomy Care] Túi hậu môn nhân tạo 1 mảnh - Khóa kẹp</t>
        </is>
      </c>
      <c r="C51" s="2" t="inlineStr">
        <is>
          <t>TAG-009</t>
        </is>
      </c>
      <c r="D51" s="2">
        <f>IFERROR(INDEX(Tag!$B:$B,MATCH(C51,Tag!$A:$A,0)),"NOT FOUND")</f>
        <v/>
      </c>
      <c r="E51" s="2">
        <f>IFERROR(INDEX(Tag!$C:$C,MATCH(C51,Tag!$A:$A,0)),"NOT FOUND")</f>
        <v/>
      </c>
      <c r="F51" s="2" t="inlineStr">
        <is>
          <t>Suy đoán</t>
        </is>
      </c>
      <c r="G51" s="2" t="inlineStr">
        <is>
          <t>Mô tả không ghi đối tượng; mặc định người lớn</t>
        </is>
      </c>
      <c r="H51" s="2">
        <f>"INSERT INTO medical_supply_product_tag (product_code, tag_code) VALUES ('"&amp;A51&amp;"', '"&amp;C51&amp;"');"</f>
        <v/>
      </c>
    </row>
    <row r="52">
      <c r="A52" s="2" t="inlineStr">
        <is>
          <t>PRODUCT-00089</t>
        </is>
      </c>
      <c r="B52" s="2" t="inlineStr">
        <is>
          <t>[Ostomy Care] Túi hậu môn nhân tạo 1 mảnh - Khóa kẹp</t>
        </is>
      </c>
      <c r="C52" s="2" t="inlineStr">
        <is>
          <t>TAG-012</t>
        </is>
      </c>
      <c r="D52" s="2">
        <f>IFERROR(INDEX(Tag!$B:$B,MATCH(C52,Tag!$A:$A,0)),"NOT FOUND")</f>
        <v/>
      </c>
      <c r="E52" s="2">
        <f>IFERROR(INDEX(Tag!$C:$C,MATCH(C52,Tag!$A:$A,0)),"NOT FOUND")</f>
        <v/>
      </c>
      <c r="F52" s="2" t="inlineStr">
        <is>
          <t>Suy đoán</t>
        </is>
      </c>
      <c r="G52" s="2" t="inlineStr">
        <is>
          <t>Mô tả: màng chắn màu be kín đáo</t>
        </is>
      </c>
      <c r="H52" s="2">
        <f>"INSERT INTO medical_supply_product_tag (product_code, tag_code) VALUES ('"&amp;A52&amp;"', '"&amp;C52&amp;"');"</f>
        <v/>
      </c>
    </row>
    <row r="53">
      <c r="A53" t="inlineStr">
        <is>
          <t>PRODUCT-00089</t>
        </is>
      </c>
      <c r="B53" t="inlineStr">
        <is>
          <t>[Ostomy Care] Túi hậu môn nhân tạo 1 mảnh - Khóa kẹp</t>
        </is>
      </c>
      <c r="C53" t="inlineStr">
        <is>
          <t>TAG-014</t>
        </is>
      </c>
      <c r="D53">
        <f>IFERROR(INDEX(Tag!$B:$B,MATCH(C53,Tag!$A:$A,0)),"NOT FOUND")</f>
        <v/>
      </c>
      <c r="E53">
        <f>IFERROR(INDEX(Tag!$C:$C,MATCH(C53,Tag!$A:$A,0)),"NOT FOUND")</f>
        <v/>
      </c>
      <c r="F53" t="inlineStr">
        <is>
          <t>Chắc chắn</t>
        </is>
      </c>
      <c r="G53" t="inlineStr">
        <is>
          <t>Tên: khóa kẹp</t>
        </is>
      </c>
      <c r="H53">
        <f>"INSERT INTO medical_supply_product_tag (product_code, tag_code) VALUES ('"&amp;A53&amp;"', '"&amp;C53&amp;"');"</f>
        <v/>
      </c>
    </row>
    <row r="54">
      <c r="A54" t="inlineStr">
        <is>
          <t>PRODUCT-00090</t>
        </is>
      </c>
      <c r="B54" t="inlineStr">
        <is>
          <t>[Hollister] Túi nước tiểu nhân tạo 1 mảnh - 8460</t>
        </is>
      </c>
      <c r="C54" t="inlineStr">
        <is>
          <t>TAG-001</t>
        </is>
      </c>
      <c r="D54">
        <f>IFERROR(INDEX(Tag!$B:$B,MATCH(C54,Tag!$A:$A,0)),"NOT FOUND")</f>
        <v/>
      </c>
      <c r="E54">
        <f>IFERROR(INDEX(Tag!$C:$C,MATCH(C54,Tag!$A:$A,0)),"NOT FOUND")</f>
        <v/>
      </c>
      <c r="F54" t="inlineStr">
        <is>
          <t>Chắc chắn</t>
        </is>
      </c>
      <c r="G54" t="inlineStr">
        <is>
          <t>Danh mục / tên sản phẩm</t>
        </is>
      </c>
      <c r="H54">
        <f>"INSERT INTO medical_supply_product_tag (product_code, tag_code) VALUES ('"&amp;A54&amp;"', '"&amp;C54&amp;"');"</f>
        <v/>
      </c>
    </row>
    <row r="55">
      <c r="A55" t="inlineStr">
        <is>
          <t>PRODUCT-00090</t>
        </is>
      </c>
      <c r="B55" t="inlineStr">
        <is>
          <t>[Hollister] Túi nước tiểu nhân tạo 1 mảnh - 8460</t>
        </is>
      </c>
      <c r="C55" t="inlineStr">
        <is>
          <t>TAG-005</t>
        </is>
      </c>
      <c r="D55">
        <f>IFERROR(INDEX(Tag!$B:$B,MATCH(C55,Tag!$A:$A,0)),"NOT FOUND")</f>
        <v/>
      </c>
      <c r="E55">
        <f>IFERROR(INDEX(Tag!$C:$C,MATCH(C55,Tag!$A:$A,0)),"NOT FOUND")</f>
        <v/>
      </c>
      <c r="F55" t="inlineStr">
        <is>
          <t>Chắc chắn</t>
        </is>
      </c>
      <c r="G55" t="inlineStr">
        <is>
          <t>Danh mục: Túi/Đế HMNT 1 mảnh</t>
        </is>
      </c>
      <c r="H55">
        <f>"INSERT INTO medical_supply_product_tag (product_code, tag_code) VALUES ('"&amp;A55&amp;"', '"&amp;C55&amp;"');"</f>
        <v/>
      </c>
    </row>
    <row r="56">
      <c r="A56" t="inlineStr">
        <is>
          <t>PRODUCT-00090</t>
        </is>
      </c>
      <c r="B56" t="inlineStr">
        <is>
          <t>[Hollister] Túi nước tiểu nhân tạo 1 mảnh - 8460</t>
        </is>
      </c>
      <c r="C56" t="inlineStr">
        <is>
          <t>TAG-008</t>
        </is>
      </c>
      <c r="D56">
        <f>IFERROR(INDEX(Tag!$B:$B,MATCH(C56,Tag!$A:$A,0)),"NOT FOUND")</f>
        <v/>
      </c>
      <c r="E56">
        <f>IFERROR(INDEX(Tag!$C:$C,MATCH(C56,Tag!$A:$A,0)),"NOT FOUND")</f>
        <v/>
      </c>
      <c r="F56" t="inlineStr">
        <is>
          <t>Chắc chắn</t>
        </is>
      </c>
      <c r="G56" t="inlineStr">
        <is>
          <t>Tên sản phẩm</t>
        </is>
      </c>
      <c r="H56">
        <f>"INSERT INTO medical_supply_product_tag (product_code, tag_code) VALUES ('"&amp;A56&amp;"', '"&amp;C56&amp;"');"</f>
        <v/>
      </c>
    </row>
    <row r="57">
      <c r="A57" s="2" t="inlineStr">
        <is>
          <t>PRODUCT-00090</t>
        </is>
      </c>
      <c r="B57" s="2" t="inlineStr">
        <is>
          <t>[Hollister] Túi nước tiểu nhân tạo 1 mảnh - 8460</t>
        </is>
      </c>
      <c r="C57" s="2" t="inlineStr">
        <is>
          <t>TAG-009</t>
        </is>
      </c>
      <c r="D57" s="2">
        <f>IFERROR(INDEX(Tag!$B:$B,MATCH(C57,Tag!$A:$A,0)),"NOT FOUND")</f>
        <v/>
      </c>
      <c r="E57" s="2">
        <f>IFERROR(INDEX(Tag!$C:$C,MATCH(C57,Tag!$A:$A,0)),"NOT FOUND")</f>
        <v/>
      </c>
      <c r="F57" s="2" t="inlineStr">
        <is>
          <t>Suy đoán</t>
        </is>
      </c>
      <c r="G57" s="2" t="inlineStr">
        <is>
          <t>Mô tả không ghi đối tượng; mặc định người lớn</t>
        </is>
      </c>
      <c r="H57" s="2">
        <f>"INSERT INTO medical_supply_product_tag (product_code, tag_code) VALUES ('"&amp;A57&amp;"', '"&amp;C57&amp;"');"</f>
        <v/>
      </c>
    </row>
    <row r="58">
      <c r="A58" s="2" t="inlineStr">
        <is>
          <t>PRODUCT-00090</t>
        </is>
      </c>
      <c r="B58" s="2" t="inlineStr">
        <is>
          <t>[Hollister] Túi nước tiểu nhân tạo 1 mảnh - 8460</t>
        </is>
      </c>
      <c r="C58" s="2" t="inlineStr">
        <is>
          <t>TAG-012</t>
        </is>
      </c>
      <c r="D58" s="2">
        <f>IFERROR(INDEX(Tag!$B:$B,MATCH(C58,Tag!$A:$A,0)),"NOT FOUND")</f>
        <v/>
      </c>
      <c r="E58" s="2">
        <f>IFERROR(INDEX(Tag!$C:$C,MATCH(C58,Tag!$A:$A,0)),"NOT FOUND")</f>
        <v/>
      </c>
      <c r="F58" s="2" t="inlineStr">
        <is>
          <t>Suy đoán</t>
        </is>
      </c>
      <c r="G58" s="2" t="inlineStr">
        <is>
          <t>Mô tả: màng chống mùi màu be kín đáo</t>
        </is>
      </c>
      <c r="H58" s="2">
        <f>"INSERT INTO medical_supply_product_tag (product_code, tag_code) VALUES ('"&amp;A58&amp;"', '"&amp;C58&amp;"');"</f>
        <v/>
      </c>
    </row>
    <row r="59">
      <c r="A59" t="inlineStr">
        <is>
          <t>PRODUCT-00092</t>
        </is>
      </c>
      <c r="B59" t="inlineStr">
        <is>
          <t>Túi hậu môn nhân tạo 1 mảnh loại đục</t>
        </is>
      </c>
      <c r="C59" t="inlineStr">
        <is>
          <t>TAG-001</t>
        </is>
      </c>
      <c r="D59">
        <f>IFERROR(INDEX(Tag!$B:$B,MATCH(C59,Tag!$A:$A,0)),"NOT FOUND")</f>
        <v/>
      </c>
      <c r="E59">
        <f>IFERROR(INDEX(Tag!$C:$C,MATCH(C59,Tag!$A:$A,0)),"NOT FOUND")</f>
        <v/>
      </c>
      <c r="F59" t="inlineStr">
        <is>
          <t>Chắc chắn</t>
        </is>
      </c>
      <c r="G59" t="inlineStr">
        <is>
          <t>Danh mục / tên sản phẩm</t>
        </is>
      </c>
      <c r="H59">
        <f>"INSERT INTO medical_supply_product_tag (product_code, tag_code) VALUES ('"&amp;A59&amp;"', '"&amp;C59&amp;"');"</f>
        <v/>
      </c>
    </row>
    <row r="60">
      <c r="A60" t="inlineStr">
        <is>
          <t>PRODUCT-00092</t>
        </is>
      </c>
      <c r="B60" t="inlineStr">
        <is>
          <t>Túi hậu môn nhân tạo 1 mảnh loại đục</t>
        </is>
      </c>
      <c r="C60" t="inlineStr">
        <is>
          <t>TAG-005</t>
        </is>
      </c>
      <c r="D60">
        <f>IFERROR(INDEX(Tag!$B:$B,MATCH(C60,Tag!$A:$A,0)),"NOT FOUND")</f>
        <v/>
      </c>
      <c r="E60">
        <f>IFERROR(INDEX(Tag!$C:$C,MATCH(C60,Tag!$A:$A,0)),"NOT FOUND")</f>
        <v/>
      </c>
      <c r="F60" t="inlineStr">
        <is>
          <t>Chắc chắn</t>
        </is>
      </c>
      <c r="G60" t="inlineStr">
        <is>
          <t>Danh mục: Túi/Đế HMNT 1 mảnh</t>
        </is>
      </c>
      <c r="H60">
        <f>"INSERT INTO medical_supply_product_tag (product_code, tag_code) VALUES ('"&amp;A60&amp;"', '"&amp;C60&amp;"');"</f>
        <v/>
      </c>
    </row>
    <row r="61">
      <c r="A61" t="inlineStr">
        <is>
          <t>PRODUCT-00092</t>
        </is>
      </c>
      <c r="B61" t="inlineStr">
        <is>
          <t>Túi hậu môn nhân tạo 1 mảnh loại đục</t>
        </is>
      </c>
      <c r="C61" t="inlineStr">
        <is>
          <t>TAG-007</t>
        </is>
      </c>
      <c r="D61">
        <f>IFERROR(INDEX(Tag!$B:$B,MATCH(C61,Tag!$A:$A,0)),"NOT FOUND")</f>
        <v/>
      </c>
      <c r="E61">
        <f>IFERROR(INDEX(Tag!$C:$C,MATCH(C61,Tag!$A:$A,0)),"NOT FOUND")</f>
        <v/>
      </c>
      <c r="F61" t="inlineStr">
        <is>
          <t>Chắc chắn</t>
        </is>
      </c>
      <c r="G61" t="inlineStr">
        <is>
          <t>Tên sản phẩm</t>
        </is>
      </c>
      <c r="H61">
        <f>"INSERT INTO medical_supply_product_tag (product_code, tag_code) VALUES ('"&amp;A61&amp;"', '"&amp;C61&amp;"');"</f>
        <v/>
      </c>
    </row>
    <row r="62">
      <c r="A62" s="2" t="inlineStr">
        <is>
          <t>PRODUCT-00092</t>
        </is>
      </c>
      <c r="B62" s="2" t="inlineStr">
        <is>
          <t>Túi hậu môn nhân tạo 1 mảnh loại đục</t>
        </is>
      </c>
      <c r="C62" s="2" t="inlineStr">
        <is>
          <t>TAG-009</t>
        </is>
      </c>
      <c r="D62" s="2">
        <f>IFERROR(INDEX(Tag!$B:$B,MATCH(C62,Tag!$A:$A,0)),"NOT FOUND")</f>
        <v/>
      </c>
      <c r="E62" s="2">
        <f>IFERROR(INDEX(Tag!$C:$C,MATCH(C62,Tag!$A:$A,0)),"NOT FOUND")</f>
        <v/>
      </c>
      <c r="F62" s="2" t="inlineStr">
        <is>
          <t>Suy đoán</t>
        </is>
      </c>
      <c r="G62" s="2" t="inlineStr">
        <is>
          <t>Mô tả không ghi đối tượng; mặc định người lớn</t>
        </is>
      </c>
      <c r="H62" s="2">
        <f>"INSERT INTO medical_supply_product_tag (product_code, tag_code) VALUES ('"&amp;A62&amp;"', '"&amp;C62&amp;"');"</f>
        <v/>
      </c>
    </row>
    <row r="63">
      <c r="A63" t="inlineStr">
        <is>
          <t>PRODUCT-00092</t>
        </is>
      </c>
      <c r="B63" t="inlineStr">
        <is>
          <t>Túi hậu môn nhân tạo 1 mảnh loại đục</t>
        </is>
      </c>
      <c r="C63" t="inlineStr">
        <is>
          <t>TAG-012</t>
        </is>
      </c>
      <c r="D63">
        <f>IFERROR(INDEX(Tag!$B:$B,MATCH(C63,Tag!$A:$A,0)),"NOT FOUND")</f>
        <v/>
      </c>
      <c r="E63">
        <f>IFERROR(INDEX(Tag!$C:$C,MATCH(C63,Tag!$A:$A,0)),"NOT FOUND")</f>
        <v/>
      </c>
      <c r="F63" t="inlineStr">
        <is>
          <t>Chắc chắn</t>
        </is>
      </c>
      <c r="G63" t="inlineStr">
        <is>
          <t>Tên: loại đục</t>
        </is>
      </c>
      <c r="H63">
        <f>"INSERT INTO medical_supply_product_tag (product_code, tag_code) VALUES ('"&amp;A63&amp;"', '"&amp;C63&amp;"');"</f>
        <v/>
      </c>
    </row>
    <row r="64">
      <c r="A64" t="inlineStr">
        <is>
          <t>PRODUCT-00092</t>
        </is>
      </c>
      <c r="B64" t="inlineStr">
        <is>
          <t>Túi hậu môn nhân tạo 1 mảnh loại đục</t>
        </is>
      </c>
      <c r="C64" t="inlineStr">
        <is>
          <t>TAG-013</t>
        </is>
      </c>
      <c r="D64">
        <f>IFERROR(INDEX(Tag!$B:$B,MATCH(C64,Tag!$A:$A,0)),"NOT FOUND")</f>
        <v/>
      </c>
      <c r="E64">
        <f>IFERROR(INDEX(Tag!$C:$C,MATCH(C64,Tag!$A:$A,0)),"NOT FOUND")</f>
        <v/>
      </c>
      <c r="F64" t="inlineStr">
        <is>
          <t>Chắc chắn</t>
        </is>
      </c>
      <c r="G64" t="inlineStr">
        <is>
          <t>Mô tả: hai lớp, lớp trong để quan sát → gắn cả Đục và Trong suốt</t>
        </is>
      </c>
      <c r="H64">
        <f>"INSERT INTO medical_supply_product_tag (product_code, tag_code) VALUES ('"&amp;A64&amp;"', '"&amp;C64&amp;"');"</f>
        <v/>
      </c>
    </row>
    <row r="65">
      <c r="A65" t="inlineStr">
        <is>
          <t>PRODUCT-00093</t>
        </is>
      </c>
      <c r="B65" t="inlineStr">
        <is>
          <t>Túi hậu môn nhân tạo 1 mảnh loại trong</t>
        </is>
      </c>
      <c r="C65" t="inlineStr">
        <is>
          <t>TAG-001</t>
        </is>
      </c>
      <c r="D65">
        <f>IFERROR(INDEX(Tag!$B:$B,MATCH(C65,Tag!$A:$A,0)),"NOT FOUND")</f>
        <v/>
      </c>
      <c r="E65">
        <f>IFERROR(INDEX(Tag!$C:$C,MATCH(C65,Tag!$A:$A,0)),"NOT FOUND")</f>
        <v/>
      </c>
      <c r="F65" t="inlineStr">
        <is>
          <t>Chắc chắn</t>
        </is>
      </c>
      <c r="G65" t="inlineStr">
        <is>
          <t>Danh mục / tên sản phẩm</t>
        </is>
      </c>
      <c r="H65">
        <f>"INSERT INTO medical_supply_product_tag (product_code, tag_code) VALUES ('"&amp;A65&amp;"', '"&amp;C65&amp;"');"</f>
        <v/>
      </c>
    </row>
    <row r="66">
      <c r="A66" t="inlineStr">
        <is>
          <t>PRODUCT-00093</t>
        </is>
      </c>
      <c r="B66" t="inlineStr">
        <is>
          <t>Túi hậu môn nhân tạo 1 mảnh loại trong</t>
        </is>
      </c>
      <c r="C66" t="inlineStr">
        <is>
          <t>TAG-005</t>
        </is>
      </c>
      <c r="D66">
        <f>IFERROR(INDEX(Tag!$B:$B,MATCH(C66,Tag!$A:$A,0)),"NOT FOUND")</f>
        <v/>
      </c>
      <c r="E66">
        <f>IFERROR(INDEX(Tag!$C:$C,MATCH(C66,Tag!$A:$A,0)),"NOT FOUND")</f>
        <v/>
      </c>
      <c r="F66" t="inlineStr">
        <is>
          <t>Chắc chắn</t>
        </is>
      </c>
      <c r="G66" t="inlineStr">
        <is>
          <t>Danh mục: Túi/Đế HMNT 1 mảnh</t>
        </is>
      </c>
      <c r="H66">
        <f>"INSERT INTO medical_supply_product_tag (product_code, tag_code) VALUES ('"&amp;A66&amp;"', '"&amp;C66&amp;"');"</f>
        <v/>
      </c>
    </row>
    <row r="67">
      <c r="A67" t="inlineStr">
        <is>
          <t>PRODUCT-00093</t>
        </is>
      </c>
      <c r="B67" t="inlineStr">
        <is>
          <t>Túi hậu môn nhân tạo 1 mảnh loại trong</t>
        </is>
      </c>
      <c r="C67" t="inlineStr">
        <is>
          <t>TAG-007</t>
        </is>
      </c>
      <c r="D67">
        <f>IFERROR(INDEX(Tag!$B:$B,MATCH(C67,Tag!$A:$A,0)),"NOT FOUND")</f>
        <v/>
      </c>
      <c r="E67">
        <f>IFERROR(INDEX(Tag!$C:$C,MATCH(C67,Tag!$A:$A,0)),"NOT FOUND")</f>
        <v/>
      </c>
      <c r="F67" t="inlineStr">
        <is>
          <t>Chắc chắn</t>
        </is>
      </c>
      <c r="G67" t="inlineStr">
        <is>
          <t>Tên sản phẩm</t>
        </is>
      </c>
      <c r="H67">
        <f>"INSERT INTO medical_supply_product_tag (product_code, tag_code) VALUES ('"&amp;A67&amp;"', '"&amp;C67&amp;"');"</f>
        <v/>
      </c>
    </row>
    <row r="68">
      <c r="A68" s="2" t="inlineStr">
        <is>
          <t>PRODUCT-00093</t>
        </is>
      </c>
      <c r="B68" s="2" t="inlineStr">
        <is>
          <t>Túi hậu môn nhân tạo 1 mảnh loại trong</t>
        </is>
      </c>
      <c r="C68" s="2" t="inlineStr">
        <is>
          <t>TAG-009</t>
        </is>
      </c>
      <c r="D68" s="2">
        <f>IFERROR(INDEX(Tag!$B:$B,MATCH(C68,Tag!$A:$A,0)),"NOT FOUND")</f>
        <v/>
      </c>
      <c r="E68" s="2">
        <f>IFERROR(INDEX(Tag!$C:$C,MATCH(C68,Tag!$A:$A,0)),"NOT FOUND")</f>
        <v/>
      </c>
      <c r="F68" s="2" t="inlineStr">
        <is>
          <t>Suy đoán</t>
        </is>
      </c>
      <c r="G68" s="2" t="inlineStr">
        <is>
          <t>Mô tả không ghi đối tượng; mặc định người lớn</t>
        </is>
      </c>
      <c r="H68" s="2">
        <f>"INSERT INTO medical_supply_product_tag (product_code, tag_code) VALUES ('"&amp;A68&amp;"', '"&amp;C68&amp;"');"</f>
        <v/>
      </c>
    </row>
    <row r="69">
      <c r="A69" t="inlineStr">
        <is>
          <t>PRODUCT-00093</t>
        </is>
      </c>
      <c r="B69" t="inlineStr">
        <is>
          <t>Túi hậu môn nhân tạo 1 mảnh loại trong</t>
        </is>
      </c>
      <c r="C69" t="inlineStr">
        <is>
          <t>TAG-013</t>
        </is>
      </c>
      <c r="D69">
        <f>IFERROR(INDEX(Tag!$B:$B,MATCH(C69,Tag!$A:$A,0)),"NOT FOUND")</f>
        <v/>
      </c>
      <c r="E69">
        <f>IFERROR(INDEX(Tag!$C:$C,MATCH(C69,Tag!$A:$A,0)),"NOT FOUND")</f>
        <v/>
      </c>
      <c r="F69" t="inlineStr">
        <is>
          <t>Chắc chắn</t>
        </is>
      </c>
      <c r="G69" t="inlineStr">
        <is>
          <t>Tên: loại trong</t>
        </is>
      </c>
      <c r="H69">
        <f>"INSERT INTO medical_supply_product_tag (product_code, tag_code) VALUES ('"&amp;A69&amp;"', '"&amp;C69&amp;"');"</f>
        <v/>
      </c>
    </row>
    <row r="70">
      <c r="A70" t="inlineStr">
        <is>
          <t>PRODUCT-00105</t>
        </is>
      </c>
      <c r="B70" t="inlineStr">
        <is>
          <t>[SeaSight] Túi nước tiểu nhân tạo 1 mảnh</t>
        </is>
      </c>
      <c r="C70" t="inlineStr">
        <is>
          <t>TAG-001</t>
        </is>
      </c>
      <c r="D70">
        <f>IFERROR(INDEX(Tag!$B:$B,MATCH(C70,Tag!$A:$A,0)),"NOT FOUND")</f>
        <v/>
      </c>
      <c r="E70">
        <f>IFERROR(INDEX(Tag!$C:$C,MATCH(C70,Tag!$A:$A,0)),"NOT FOUND")</f>
        <v/>
      </c>
      <c r="F70" t="inlineStr">
        <is>
          <t>Chắc chắn</t>
        </is>
      </c>
      <c r="G70" t="inlineStr">
        <is>
          <t>Danh mục / tên sản phẩm</t>
        </is>
      </c>
      <c r="H70">
        <f>"INSERT INTO medical_supply_product_tag (product_code, tag_code) VALUES ('"&amp;A70&amp;"', '"&amp;C70&amp;"');"</f>
        <v/>
      </c>
    </row>
    <row r="71">
      <c r="A71" t="inlineStr">
        <is>
          <t>PRODUCT-00105</t>
        </is>
      </c>
      <c r="B71" t="inlineStr">
        <is>
          <t>[SeaSight] Túi nước tiểu nhân tạo 1 mảnh</t>
        </is>
      </c>
      <c r="C71" t="inlineStr">
        <is>
          <t>TAG-005</t>
        </is>
      </c>
      <c r="D71">
        <f>IFERROR(INDEX(Tag!$B:$B,MATCH(C71,Tag!$A:$A,0)),"NOT FOUND")</f>
        <v/>
      </c>
      <c r="E71">
        <f>IFERROR(INDEX(Tag!$C:$C,MATCH(C71,Tag!$A:$A,0)),"NOT FOUND")</f>
        <v/>
      </c>
      <c r="F71" t="inlineStr">
        <is>
          <t>Chắc chắn</t>
        </is>
      </c>
      <c r="G71" t="inlineStr">
        <is>
          <t>Danh mục: Túi/Đế HMNT 1 mảnh</t>
        </is>
      </c>
      <c r="H71">
        <f>"INSERT INTO medical_supply_product_tag (product_code, tag_code) VALUES ('"&amp;A71&amp;"', '"&amp;C71&amp;"');"</f>
        <v/>
      </c>
    </row>
    <row r="72">
      <c r="A72" t="inlineStr">
        <is>
          <t>PRODUCT-00105</t>
        </is>
      </c>
      <c r="B72" t="inlineStr">
        <is>
          <t>[SeaSight] Túi nước tiểu nhân tạo 1 mảnh</t>
        </is>
      </c>
      <c r="C72" t="inlineStr">
        <is>
          <t>TAG-008</t>
        </is>
      </c>
      <c r="D72">
        <f>IFERROR(INDEX(Tag!$B:$B,MATCH(C72,Tag!$A:$A,0)),"NOT FOUND")</f>
        <v/>
      </c>
      <c r="E72">
        <f>IFERROR(INDEX(Tag!$C:$C,MATCH(C72,Tag!$A:$A,0)),"NOT FOUND")</f>
        <v/>
      </c>
      <c r="F72" t="inlineStr">
        <is>
          <t>Chắc chắn</t>
        </is>
      </c>
      <c r="G72" t="inlineStr">
        <is>
          <t>Tên sản phẩm</t>
        </is>
      </c>
      <c r="H72">
        <f>"INSERT INTO medical_supply_product_tag (product_code, tag_code) VALUES ('"&amp;A72&amp;"', '"&amp;C72&amp;"');"</f>
        <v/>
      </c>
    </row>
    <row r="73">
      <c r="A73" s="2" t="inlineStr">
        <is>
          <t>PRODUCT-00105</t>
        </is>
      </c>
      <c r="B73" s="2" t="inlineStr">
        <is>
          <t>[SeaSight] Túi nước tiểu nhân tạo 1 mảnh</t>
        </is>
      </c>
      <c r="C73" s="2" t="inlineStr">
        <is>
          <t>TAG-009</t>
        </is>
      </c>
      <c r="D73" s="2">
        <f>IFERROR(INDEX(Tag!$B:$B,MATCH(C73,Tag!$A:$A,0)),"NOT FOUND")</f>
        <v/>
      </c>
      <c r="E73" s="2">
        <f>IFERROR(INDEX(Tag!$C:$C,MATCH(C73,Tag!$A:$A,0)),"NOT FOUND")</f>
        <v/>
      </c>
      <c r="F73" s="2" t="inlineStr">
        <is>
          <t>Suy đoán</t>
        </is>
      </c>
      <c r="G73" s="2" t="inlineStr">
        <is>
          <t>Mô tả không ghi đối tượng; mặc định người lớn</t>
        </is>
      </c>
      <c r="H73" s="2">
        <f>"INSERT INTO medical_supply_product_tag (product_code, tag_code) VALUES ('"&amp;A73&amp;"', '"&amp;C73&amp;"');"</f>
        <v/>
      </c>
    </row>
    <row r="74">
      <c r="A74" t="inlineStr">
        <is>
          <t>PRODUCT-00095</t>
        </is>
      </c>
      <c r="B74" t="inlineStr">
        <is>
          <t>[Hollister] Bộ túi hậu môn nhân tạo 2 mảnh - Kẹp rời</t>
        </is>
      </c>
      <c r="C74" t="inlineStr">
        <is>
          <t>TAG-003</t>
        </is>
      </c>
      <c r="D74">
        <f>IFERROR(INDEX(Tag!$B:$B,MATCH(C74,Tag!$A:$A,0)),"NOT FOUND")</f>
        <v/>
      </c>
      <c r="E74">
        <f>IFERROR(INDEX(Tag!$C:$C,MATCH(C74,Tag!$A:$A,0)),"NOT FOUND")</f>
        <v/>
      </c>
      <c r="F74" t="inlineStr">
        <is>
          <t>Chắc chắn</t>
        </is>
      </c>
      <c r="G74" t="inlineStr">
        <is>
          <t>Danh mục / tên sản phẩm</t>
        </is>
      </c>
      <c r="H74">
        <f>"INSERT INTO medical_supply_product_tag (product_code, tag_code) VALUES ('"&amp;A74&amp;"', '"&amp;C74&amp;"');"</f>
        <v/>
      </c>
    </row>
    <row r="75">
      <c r="A75" t="inlineStr">
        <is>
          <t>PRODUCT-00095</t>
        </is>
      </c>
      <c r="B75" t="inlineStr">
        <is>
          <t>[Hollister] Bộ túi hậu môn nhân tạo 2 mảnh - Kẹp rời</t>
        </is>
      </c>
      <c r="C75" t="inlineStr">
        <is>
          <t>TAG-006</t>
        </is>
      </c>
      <c r="D75">
        <f>IFERROR(INDEX(Tag!$B:$B,MATCH(C75,Tag!$A:$A,0)),"NOT FOUND")</f>
        <v/>
      </c>
      <c r="E75">
        <f>IFERROR(INDEX(Tag!$C:$C,MATCH(C75,Tag!$A:$A,0)),"NOT FOUND")</f>
        <v/>
      </c>
      <c r="F75" t="inlineStr">
        <is>
          <t>Chắc chắn</t>
        </is>
      </c>
      <c r="G75" t="inlineStr">
        <is>
          <t>Danh mục: Túi/Đế HMNT 2 mảnh</t>
        </is>
      </c>
      <c r="H75">
        <f>"INSERT INTO medical_supply_product_tag (product_code, tag_code) VALUES ('"&amp;A75&amp;"', '"&amp;C75&amp;"');"</f>
        <v/>
      </c>
    </row>
    <row r="76">
      <c r="A76" t="inlineStr">
        <is>
          <t>PRODUCT-00095</t>
        </is>
      </c>
      <c r="B76" t="inlineStr">
        <is>
          <t>[Hollister] Bộ túi hậu môn nhân tạo 2 mảnh - Kẹp rời</t>
        </is>
      </c>
      <c r="C76" t="inlineStr">
        <is>
          <t>TAG-007</t>
        </is>
      </c>
      <c r="D76">
        <f>IFERROR(INDEX(Tag!$B:$B,MATCH(C76,Tag!$A:$A,0)),"NOT FOUND")</f>
        <v/>
      </c>
      <c r="E76">
        <f>IFERROR(INDEX(Tag!$C:$C,MATCH(C76,Tag!$A:$A,0)),"NOT FOUND")</f>
        <v/>
      </c>
      <c r="F76" t="inlineStr">
        <is>
          <t>Chắc chắn</t>
        </is>
      </c>
      <c r="G76" t="inlineStr">
        <is>
          <t>Tên sản phẩm</t>
        </is>
      </c>
      <c r="H76">
        <f>"INSERT INTO medical_supply_product_tag (product_code, tag_code) VALUES ('"&amp;A76&amp;"', '"&amp;C76&amp;"');"</f>
        <v/>
      </c>
    </row>
    <row r="77">
      <c r="A77" s="2" t="inlineStr">
        <is>
          <t>PRODUCT-00095</t>
        </is>
      </c>
      <c r="B77" s="2" t="inlineStr">
        <is>
          <t>[Hollister] Bộ túi hậu môn nhân tạo 2 mảnh - Kẹp rời</t>
        </is>
      </c>
      <c r="C77" s="2" t="inlineStr">
        <is>
          <t>TAG-009</t>
        </is>
      </c>
      <c r="D77" s="2">
        <f>IFERROR(INDEX(Tag!$B:$B,MATCH(C77,Tag!$A:$A,0)),"NOT FOUND")</f>
        <v/>
      </c>
      <c r="E77" s="2">
        <f>IFERROR(INDEX(Tag!$C:$C,MATCH(C77,Tag!$A:$A,0)),"NOT FOUND")</f>
        <v/>
      </c>
      <c r="F77" s="2" t="inlineStr">
        <is>
          <t>Suy đoán</t>
        </is>
      </c>
      <c r="G77" s="2" t="inlineStr">
        <is>
          <t>Mô tả không ghi đối tượng; mặc định người lớn</t>
        </is>
      </c>
      <c r="H77" s="2">
        <f>"INSERT INTO medical_supply_product_tag (product_code, tag_code) VALUES ('"&amp;A77&amp;"', '"&amp;C77&amp;"');"</f>
        <v/>
      </c>
    </row>
    <row r="78">
      <c r="A78" s="2" t="inlineStr">
        <is>
          <t>PRODUCT-00095</t>
        </is>
      </c>
      <c r="B78" s="2" t="inlineStr">
        <is>
          <t>[Hollister] Bộ túi hậu môn nhân tạo 2 mảnh - Kẹp rời</t>
        </is>
      </c>
      <c r="C78" s="2" t="inlineStr">
        <is>
          <t>TAG-012</t>
        </is>
      </c>
      <c r="D78" s="2">
        <f>IFERROR(INDEX(Tag!$B:$B,MATCH(C78,Tag!$A:$A,0)),"NOT FOUND")</f>
        <v/>
      </c>
      <c r="E78" s="2">
        <f>IFERROR(INDEX(Tag!$C:$C,MATCH(C78,Tag!$A:$A,0)),"NOT FOUND")</f>
        <v/>
      </c>
      <c r="F78" s="2" t="inlineStr">
        <is>
          <t>Suy đoán</t>
        </is>
      </c>
      <c r="G78" s="2" t="inlineStr">
        <is>
          <t>Mô tả: màng chống mùi màu be</t>
        </is>
      </c>
      <c r="H78" s="2">
        <f>"INSERT INTO medical_supply_product_tag (product_code, tag_code) VALUES ('"&amp;A78&amp;"', '"&amp;C78&amp;"');"</f>
        <v/>
      </c>
    </row>
    <row r="79">
      <c r="A79" t="inlineStr">
        <is>
          <t>PRODUCT-00095</t>
        </is>
      </c>
      <c r="B79" t="inlineStr">
        <is>
          <t>[Hollister] Bộ túi hậu môn nhân tạo 2 mảnh - Kẹp rời</t>
        </is>
      </c>
      <c r="C79" t="inlineStr">
        <is>
          <t>TAG-014</t>
        </is>
      </c>
      <c r="D79">
        <f>IFERROR(INDEX(Tag!$B:$B,MATCH(C79,Tag!$A:$A,0)),"NOT FOUND")</f>
        <v/>
      </c>
      <c r="E79">
        <f>IFERROR(INDEX(Tag!$C:$C,MATCH(C79,Tag!$A:$A,0)),"NOT FOUND")</f>
        <v/>
      </c>
      <c r="F79" t="inlineStr">
        <is>
          <t>Chắc chắn</t>
        </is>
      </c>
      <c r="G79" t="inlineStr">
        <is>
          <t>Tên: kẹp rời</t>
        </is>
      </c>
      <c r="H79">
        <f>"INSERT INTO medical_supply_product_tag (product_code, tag_code) VALUES ('"&amp;A79&amp;"', '"&amp;C79&amp;"');"</f>
        <v/>
      </c>
    </row>
    <row r="80">
      <c r="A80" t="inlineStr">
        <is>
          <t>PRODUCT-00096</t>
        </is>
      </c>
      <c r="B80" t="inlineStr">
        <is>
          <t>[Hollister] Bộ túi hậu môn nhân tạo 2 mảnh - Khóa cuộn</t>
        </is>
      </c>
      <c r="C80" t="inlineStr">
        <is>
          <t>TAG-003</t>
        </is>
      </c>
      <c r="D80">
        <f>IFERROR(INDEX(Tag!$B:$B,MATCH(C80,Tag!$A:$A,0)),"NOT FOUND")</f>
        <v/>
      </c>
      <c r="E80">
        <f>IFERROR(INDEX(Tag!$C:$C,MATCH(C80,Tag!$A:$A,0)),"NOT FOUND")</f>
        <v/>
      </c>
      <c r="F80" t="inlineStr">
        <is>
          <t>Chắc chắn</t>
        </is>
      </c>
      <c r="G80" t="inlineStr">
        <is>
          <t>Danh mục / tên sản phẩm</t>
        </is>
      </c>
      <c r="H80">
        <f>"INSERT INTO medical_supply_product_tag (product_code, tag_code) VALUES ('"&amp;A80&amp;"', '"&amp;C80&amp;"');"</f>
        <v/>
      </c>
    </row>
    <row r="81">
      <c r="A81" t="inlineStr">
        <is>
          <t>PRODUCT-00096</t>
        </is>
      </c>
      <c r="B81" t="inlineStr">
        <is>
          <t>[Hollister] Bộ túi hậu môn nhân tạo 2 mảnh - Khóa cuộn</t>
        </is>
      </c>
      <c r="C81" t="inlineStr">
        <is>
          <t>TAG-006</t>
        </is>
      </c>
      <c r="D81">
        <f>IFERROR(INDEX(Tag!$B:$B,MATCH(C81,Tag!$A:$A,0)),"NOT FOUND")</f>
        <v/>
      </c>
      <c r="E81">
        <f>IFERROR(INDEX(Tag!$C:$C,MATCH(C81,Tag!$A:$A,0)),"NOT FOUND")</f>
        <v/>
      </c>
      <c r="F81" t="inlineStr">
        <is>
          <t>Chắc chắn</t>
        </is>
      </c>
      <c r="G81" t="inlineStr">
        <is>
          <t>Danh mục: Túi/Đế HMNT 2 mảnh</t>
        </is>
      </c>
      <c r="H81">
        <f>"INSERT INTO medical_supply_product_tag (product_code, tag_code) VALUES ('"&amp;A81&amp;"', '"&amp;C81&amp;"');"</f>
        <v/>
      </c>
    </row>
    <row r="82">
      <c r="A82" t="inlineStr">
        <is>
          <t>PRODUCT-00096</t>
        </is>
      </c>
      <c r="B82" t="inlineStr">
        <is>
          <t>[Hollister] Bộ túi hậu môn nhân tạo 2 mảnh - Khóa cuộn</t>
        </is>
      </c>
      <c r="C82" t="inlineStr">
        <is>
          <t>TAG-007</t>
        </is>
      </c>
      <c r="D82">
        <f>IFERROR(INDEX(Tag!$B:$B,MATCH(C82,Tag!$A:$A,0)),"NOT FOUND")</f>
        <v/>
      </c>
      <c r="E82">
        <f>IFERROR(INDEX(Tag!$C:$C,MATCH(C82,Tag!$A:$A,0)),"NOT FOUND")</f>
        <v/>
      </c>
      <c r="F82" t="inlineStr">
        <is>
          <t>Chắc chắn</t>
        </is>
      </c>
      <c r="G82" t="inlineStr">
        <is>
          <t>Tên sản phẩm</t>
        </is>
      </c>
      <c r="H82">
        <f>"INSERT INTO medical_supply_product_tag (product_code, tag_code) VALUES ('"&amp;A82&amp;"', '"&amp;C82&amp;"');"</f>
        <v/>
      </c>
    </row>
    <row r="83">
      <c r="A83" s="2" t="inlineStr">
        <is>
          <t>PRODUCT-00096</t>
        </is>
      </c>
      <c r="B83" s="2" t="inlineStr">
        <is>
          <t>[Hollister] Bộ túi hậu môn nhân tạo 2 mảnh - Khóa cuộn</t>
        </is>
      </c>
      <c r="C83" s="2" t="inlineStr">
        <is>
          <t>TAG-009</t>
        </is>
      </c>
      <c r="D83" s="2">
        <f>IFERROR(INDEX(Tag!$B:$B,MATCH(C83,Tag!$A:$A,0)),"NOT FOUND")</f>
        <v/>
      </c>
      <c r="E83" s="2">
        <f>IFERROR(INDEX(Tag!$C:$C,MATCH(C83,Tag!$A:$A,0)),"NOT FOUND")</f>
        <v/>
      </c>
      <c r="F83" s="2" t="inlineStr">
        <is>
          <t>Suy đoán</t>
        </is>
      </c>
      <c r="G83" s="2" t="inlineStr">
        <is>
          <t>Mô tả không ghi đối tượng; mặc định người lớn</t>
        </is>
      </c>
      <c r="H83" s="2">
        <f>"INSERT INTO medical_supply_product_tag (product_code, tag_code) VALUES ('"&amp;A83&amp;"', '"&amp;C83&amp;"');"</f>
        <v/>
      </c>
    </row>
    <row r="84">
      <c r="A84" s="2" t="inlineStr">
        <is>
          <t>PRODUCT-00096</t>
        </is>
      </c>
      <c r="B84" s="2" t="inlineStr">
        <is>
          <t>[Hollister] Bộ túi hậu môn nhân tạo 2 mảnh - Khóa cuộn</t>
        </is>
      </c>
      <c r="C84" s="2" t="inlineStr">
        <is>
          <t>TAG-012</t>
        </is>
      </c>
      <c r="D84" s="2">
        <f>IFERROR(INDEX(Tag!$B:$B,MATCH(C84,Tag!$A:$A,0)),"NOT FOUND")</f>
        <v/>
      </c>
      <c r="E84" s="2">
        <f>IFERROR(INDEX(Tag!$C:$C,MATCH(C84,Tag!$A:$A,0)),"NOT FOUND")</f>
        <v/>
      </c>
      <c r="F84" s="2" t="inlineStr">
        <is>
          <t>Suy đoán</t>
        </is>
      </c>
      <c r="G84" s="2" t="inlineStr">
        <is>
          <t>Mô tả: màng chống mùi màu be</t>
        </is>
      </c>
      <c r="H84" s="2">
        <f>"INSERT INTO medical_supply_product_tag (product_code, tag_code) VALUES ('"&amp;A84&amp;"', '"&amp;C84&amp;"');"</f>
        <v/>
      </c>
    </row>
    <row r="85">
      <c r="A85" t="inlineStr">
        <is>
          <t>PRODUCT-00096</t>
        </is>
      </c>
      <c r="B85" t="inlineStr">
        <is>
          <t>[Hollister] Bộ túi hậu môn nhân tạo 2 mảnh - Khóa cuộn</t>
        </is>
      </c>
      <c r="C85" t="inlineStr">
        <is>
          <t>TAG-015</t>
        </is>
      </c>
      <c r="D85">
        <f>IFERROR(INDEX(Tag!$B:$B,MATCH(C85,Tag!$A:$A,0)),"NOT FOUND")</f>
        <v/>
      </c>
      <c r="E85">
        <f>IFERROR(INDEX(Tag!$C:$C,MATCH(C85,Tag!$A:$A,0)),"NOT FOUND")</f>
        <v/>
      </c>
      <c r="F85" t="inlineStr">
        <is>
          <t>Chắc chắn</t>
        </is>
      </c>
      <c r="G85" t="inlineStr">
        <is>
          <t>Tên: khóa cuộn</t>
        </is>
      </c>
      <c r="H85">
        <f>"INSERT INTO medical_supply_product_tag (product_code, tag_code) VALUES ('"&amp;A85&amp;"', '"&amp;C85&amp;"');"</f>
        <v/>
      </c>
    </row>
    <row r="86">
      <c r="A86" t="inlineStr">
        <is>
          <t>PRODUCT-00097</t>
        </is>
      </c>
      <c r="B86" t="inlineStr">
        <is>
          <t>[Hollister] Túi hậu môn nhân tạo 2 mảnh có bộ lọc khử mùi xả khí</t>
        </is>
      </c>
      <c r="C86" t="inlineStr">
        <is>
          <t>TAG-001</t>
        </is>
      </c>
      <c r="D86">
        <f>IFERROR(INDEX(Tag!$B:$B,MATCH(C86,Tag!$A:$A,0)),"NOT FOUND")</f>
        <v/>
      </c>
      <c r="E86">
        <f>IFERROR(INDEX(Tag!$C:$C,MATCH(C86,Tag!$A:$A,0)),"NOT FOUND")</f>
        <v/>
      </c>
      <c r="F86" t="inlineStr">
        <is>
          <t>Chắc chắn</t>
        </is>
      </c>
      <c r="G86" t="inlineStr">
        <is>
          <t>Danh mục / tên sản phẩm</t>
        </is>
      </c>
      <c r="H86">
        <f>"INSERT INTO medical_supply_product_tag (product_code, tag_code) VALUES ('"&amp;A86&amp;"', '"&amp;C86&amp;"');"</f>
        <v/>
      </c>
    </row>
    <row r="87">
      <c r="A87" t="inlineStr">
        <is>
          <t>PRODUCT-00097</t>
        </is>
      </c>
      <c r="B87" t="inlineStr">
        <is>
          <t>[Hollister] Túi hậu môn nhân tạo 2 mảnh có bộ lọc khử mùi xả khí</t>
        </is>
      </c>
      <c r="C87" t="inlineStr">
        <is>
          <t>TAG-006</t>
        </is>
      </c>
      <c r="D87">
        <f>IFERROR(INDEX(Tag!$B:$B,MATCH(C87,Tag!$A:$A,0)),"NOT FOUND")</f>
        <v/>
      </c>
      <c r="E87">
        <f>IFERROR(INDEX(Tag!$C:$C,MATCH(C87,Tag!$A:$A,0)),"NOT FOUND")</f>
        <v/>
      </c>
      <c r="F87" t="inlineStr">
        <is>
          <t>Chắc chắn</t>
        </is>
      </c>
      <c r="G87" t="inlineStr">
        <is>
          <t>Danh mục: Túi/Đế HMNT 2 mảnh</t>
        </is>
      </c>
      <c r="H87">
        <f>"INSERT INTO medical_supply_product_tag (product_code, tag_code) VALUES ('"&amp;A87&amp;"', '"&amp;C87&amp;"');"</f>
        <v/>
      </c>
    </row>
    <row r="88">
      <c r="A88" t="inlineStr">
        <is>
          <t>PRODUCT-00097</t>
        </is>
      </c>
      <c r="B88" t="inlineStr">
        <is>
          <t>[Hollister] Túi hậu môn nhân tạo 2 mảnh có bộ lọc khử mùi xả khí</t>
        </is>
      </c>
      <c r="C88" t="inlineStr">
        <is>
          <t>TAG-007</t>
        </is>
      </c>
      <c r="D88">
        <f>IFERROR(INDEX(Tag!$B:$B,MATCH(C88,Tag!$A:$A,0)),"NOT FOUND")</f>
        <v/>
      </c>
      <c r="E88">
        <f>IFERROR(INDEX(Tag!$C:$C,MATCH(C88,Tag!$A:$A,0)),"NOT FOUND")</f>
        <v/>
      </c>
      <c r="F88" t="inlineStr">
        <is>
          <t>Chắc chắn</t>
        </is>
      </c>
      <c r="G88" t="inlineStr">
        <is>
          <t>Tên sản phẩm</t>
        </is>
      </c>
      <c r="H88">
        <f>"INSERT INTO medical_supply_product_tag (product_code, tag_code) VALUES ('"&amp;A88&amp;"', '"&amp;C88&amp;"');"</f>
        <v/>
      </c>
    </row>
    <row r="89">
      <c r="A89" s="2" t="inlineStr">
        <is>
          <t>PRODUCT-00097</t>
        </is>
      </c>
      <c r="B89" s="2" t="inlineStr">
        <is>
          <t>[Hollister] Túi hậu môn nhân tạo 2 mảnh có bộ lọc khử mùi xả khí</t>
        </is>
      </c>
      <c r="C89" s="2" t="inlineStr">
        <is>
          <t>TAG-009</t>
        </is>
      </c>
      <c r="D89" s="2">
        <f>IFERROR(INDEX(Tag!$B:$B,MATCH(C89,Tag!$A:$A,0)),"NOT FOUND")</f>
        <v/>
      </c>
      <c r="E89" s="2">
        <f>IFERROR(INDEX(Tag!$C:$C,MATCH(C89,Tag!$A:$A,0)),"NOT FOUND")</f>
        <v/>
      </c>
      <c r="F89" s="2" t="inlineStr">
        <is>
          <t>Suy đoán</t>
        </is>
      </c>
      <c r="G89" s="2" t="inlineStr">
        <is>
          <t>Mô tả không ghi đối tượng; mặc định người lớn</t>
        </is>
      </c>
      <c r="H89" s="2">
        <f>"INSERT INTO medical_supply_product_tag (product_code, tag_code) VALUES ('"&amp;A89&amp;"', '"&amp;C89&amp;"');"</f>
        <v/>
      </c>
    </row>
    <row r="90">
      <c r="A90" s="2" t="inlineStr">
        <is>
          <t>PRODUCT-00097</t>
        </is>
      </c>
      <c r="B90" s="2" t="inlineStr">
        <is>
          <t>[Hollister] Túi hậu môn nhân tạo 2 mảnh có bộ lọc khử mùi xả khí</t>
        </is>
      </c>
      <c r="C90" s="2" t="inlineStr">
        <is>
          <t>TAG-012</t>
        </is>
      </c>
      <c r="D90" s="2">
        <f>IFERROR(INDEX(Tag!$B:$B,MATCH(C90,Tag!$A:$A,0)),"NOT FOUND")</f>
        <v/>
      </c>
      <c r="E90" s="2">
        <f>IFERROR(INDEX(Tag!$C:$C,MATCH(C90,Tag!$A:$A,0)),"NOT FOUND")</f>
        <v/>
      </c>
      <c r="F90" s="2" t="inlineStr">
        <is>
          <t>Suy đoán</t>
        </is>
      </c>
      <c r="G90" s="2" t="inlineStr">
        <is>
          <t>Mô tả: màng chắn màu be</t>
        </is>
      </c>
      <c r="H90" s="2">
        <f>"INSERT INTO medical_supply_product_tag (product_code, tag_code) VALUES ('"&amp;A90&amp;"', '"&amp;C90&amp;"');"</f>
        <v/>
      </c>
    </row>
    <row r="91">
      <c r="A91" t="inlineStr">
        <is>
          <t>PRODUCT-00097</t>
        </is>
      </c>
      <c r="B91" t="inlineStr">
        <is>
          <t>[Hollister] Túi hậu môn nhân tạo 2 mảnh có bộ lọc khử mùi xả khí</t>
        </is>
      </c>
      <c r="C91" t="inlineStr">
        <is>
          <t>TAG-015</t>
        </is>
      </c>
      <c r="D91">
        <f>IFERROR(INDEX(Tag!$B:$B,MATCH(C91,Tag!$A:$A,0)),"NOT FOUND")</f>
        <v/>
      </c>
      <c r="E91">
        <f>IFERROR(INDEX(Tag!$C:$C,MATCH(C91,Tag!$A:$A,0)),"NOT FOUND")</f>
        <v/>
      </c>
      <c r="F91" t="inlineStr">
        <is>
          <t>Chắc chắn</t>
        </is>
      </c>
      <c r="G91" t="inlineStr">
        <is>
          <t>Mô tả: khóa Lock 'n Roll</t>
        </is>
      </c>
      <c r="H91">
        <f>"INSERT INTO medical_supply_product_tag (product_code, tag_code) VALUES ('"&amp;A91&amp;"', '"&amp;C91&amp;"');"</f>
        <v/>
      </c>
    </row>
    <row r="92">
      <c r="A92" t="inlineStr">
        <is>
          <t>PRODUCT-00098</t>
        </is>
      </c>
      <c r="B92" t="inlineStr">
        <is>
          <t>[Hollister] Túi hậu môn nhân tạo 2 mảnh dùng kèm đế rời</t>
        </is>
      </c>
      <c r="C92" t="inlineStr">
        <is>
          <t>TAG-001</t>
        </is>
      </c>
      <c r="D92">
        <f>IFERROR(INDEX(Tag!$B:$B,MATCH(C92,Tag!$A:$A,0)),"NOT FOUND")</f>
        <v/>
      </c>
      <c r="E92">
        <f>IFERROR(INDEX(Tag!$C:$C,MATCH(C92,Tag!$A:$A,0)),"NOT FOUND")</f>
        <v/>
      </c>
      <c r="F92" t="inlineStr">
        <is>
          <t>Chắc chắn</t>
        </is>
      </c>
      <c r="G92" t="inlineStr">
        <is>
          <t>Danh mục / tên sản phẩm</t>
        </is>
      </c>
      <c r="H92">
        <f>"INSERT INTO medical_supply_product_tag (product_code, tag_code) VALUES ('"&amp;A92&amp;"', '"&amp;C92&amp;"');"</f>
        <v/>
      </c>
    </row>
    <row r="93">
      <c r="A93" t="inlineStr">
        <is>
          <t>PRODUCT-00098</t>
        </is>
      </c>
      <c r="B93" t="inlineStr">
        <is>
          <t>[Hollister] Túi hậu môn nhân tạo 2 mảnh dùng kèm đế rời</t>
        </is>
      </c>
      <c r="C93" t="inlineStr">
        <is>
          <t>TAG-006</t>
        </is>
      </c>
      <c r="D93">
        <f>IFERROR(INDEX(Tag!$B:$B,MATCH(C93,Tag!$A:$A,0)),"NOT FOUND")</f>
        <v/>
      </c>
      <c r="E93">
        <f>IFERROR(INDEX(Tag!$C:$C,MATCH(C93,Tag!$A:$A,0)),"NOT FOUND")</f>
        <v/>
      </c>
      <c r="F93" t="inlineStr">
        <is>
          <t>Chắc chắn</t>
        </is>
      </c>
      <c r="G93" t="inlineStr">
        <is>
          <t>Danh mục: Túi/Đế HMNT 2 mảnh</t>
        </is>
      </c>
      <c r="H93">
        <f>"INSERT INTO medical_supply_product_tag (product_code, tag_code) VALUES ('"&amp;A93&amp;"', '"&amp;C93&amp;"');"</f>
        <v/>
      </c>
    </row>
    <row r="94">
      <c r="A94" t="inlineStr">
        <is>
          <t>PRODUCT-00098</t>
        </is>
      </c>
      <c r="B94" t="inlineStr">
        <is>
          <t>[Hollister] Túi hậu môn nhân tạo 2 mảnh dùng kèm đế rời</t>
        </is>
      </c>
      <c r="C94" t="inlineStr">
        <is>
          <t>TAG-007</t>
        </is>
      </c>
      <c r="D94">
        <f>IFERROR(INDEX(Tag!$B:$B,MATCH(C94,Tag!$A:$A,0)),"NOT FOUND")</f>
        <v/>
      </c>
      <c r="E94">
        <f>IFERROR(INDEX(Tag!$C:$C,MATCH(C94,Tag!$A:$A,0)),"NOT FOUND")</f>
        <v/>
      </c>
      <c r="F94" t="inlineStr">
        <is>
          <t>Chắc chắn</t>
        </is>
      </c>
      <c r="G94" t="inlineStr">
        <is>
          <t>Tên sản phẩm</t>
        </is>
      </c>
      <c r="H94">
        <f>"INSERT INTO medical_supply_product_tag (product_code, tag_code) VALUES ('"&amp;A94&amp;"', '"&amp;C94&amp;"');"</f>
        <v/>
      </c>
    </row>
    <row r="95">
      <c r="A95" s="2" t="inlineStr">
        <is>
          <t>PRODUCT-00098</t>
        </is>
      </c>
      <c r="B95" s="2" t="inlineStr">
        <is>
          <t>[Hollister] Túi hậu môn nhân tạo 2 mảnh dùng kèm đế rời</t>
        </is>
      </c>
      <c r="C95" s="2" t="inlineStr">
        <is>
          <t>TAG-009</t>
        </is>
      </c>
      <c r="D95" s="2">
        <f>IFERROR(INDEX(Tag!$B:$B,MATCH(C95,Tag!$A:$A,0)),"NOT FOUND")</f>
        <v/>
      </c>
      <c r="E95" s="2">
        <f>IFERROR(INDEX(Tag!$C:$C,MATCH(C95,Tag!$A:$A,0)),"NOT FOUND")</f>
        <v/>
      </c>
      <c r="F95" s="2" t="inlineStr">
        <is>
          <t>Suy đoán</t>
        </is>
      </c>
      <c r="G95" s="2" t="inlineStr">
        <is>
          <t>Mô tả không ghi đối tượng; mặc định người lớn</t>
        </is>
      </c>
      <c r="H95" s="2">
        <f>"INSERT INTO medical_supply_product_tag (product_code, tag_code) VALUES ('"&amp;A95&amp;"', '"&amp;C95&amp;"');"</f>
        <v/>
      </c>
    </row>
    <row r="96">
      <c r="A96" s="2" t="inlineStr">
        <is>
          <t>PRODUCT-00098</t>
        </is>
      </c>
      <c r="B96" s="2" t="inlineStr">
        <is>
          <t>[Hollister] Túi hậu môn nhân tạo 2 mảnh dùng kèm đế rời</t>
        </is>
      </c>
      <c r="C96" s="2" t="inlineStr">
        <is>
          <t>TAG-012</t>
        </is>
      </c>
      <c r="D96" s="2">
        <f>IFERROR(INDEX(Tag!$B:$B,MATCH(C96,Tag!$A:$A,0)),"NOT FOUND")</f>
        <v/>
      </c>
      <c r="E96" s="2">
        <f>IFERROR(INDEX(Tag!$C:$C,MATCH(C96,Tag!$A:$A,0)),"NOT FOUND")</f>
        <v/>
      </c>
      <c r="F96" s="2" t="inlineStr">
        <is>
          <t>Suy đoán</t>
        </is>
      </c>
      <c r="G96" s="2" t="inlineStr">
        <is>
          <t>Mô tả: màng chống mùi màu be</t>
        </is>
      </c>
      <c r="H96" s="2">
        <f>"INSERT INTO medical_supply_product_tag (product_code, tag_code) VALUES ('"&amp;A96&amp;"', '"&amp;C96&amp;"');"</f>
        <v/>
      </c>
    </row>
    <row r="97">
      <c r="A97" t="inlineStr">
        <is>
          <t>PRODUCT-00098</t>
        </is>
      </c>
      <c r="B97" t="inlineStr">
        <is>
          <t>[Hollister] Túi hậu môn nhân tạo 2 mảnh dùng kèm đế rời</t>
        </is>
      </c>
      <c r="C97" t="inlineStr">
        <is>
          <t>TAG-014</t>
        </is>
      </c>
      <c r="D97">
        <f>IFERROR(INDEX(Tag!$B:$B,MATCH(C97,Tag!$A:$A,0)),"NOT FOUND")</f>
        <v/>
      </c>
      <c r="E97">
        <f>IFERROR(INDEX(Tag!$C:$C,MATCH(C97,Tag!$A:$A,0)),"NOT FOUND")</f>
        <v/>
      </c>
      <c r="F97" t="inlineStr">
        <is>
          <t>Chắc chắn</t>
        </is>
      </c>
      <c r="G97" t="inlineStr">
        <is>
          <t>Mô tả: đóng bằng kẹp cong</t>
        </is>
      </c>
      <c r="H97">
        <f>"INSERT INTO medical_supply_product_tag (product_code, tag_code) VALUES ('"&amp;A97&amp;"', '"&amp;C97&amp;"');"</f>
        <v/>
      </c>
    </row>
    <row r="98">
      <c r="A98" t="inlineStr">
        <is>
          <t>PRODUCT-00099</t>
        </is>
      </c>
      <c r="B98" t="inlineStr">
        <is>
          <t>[Mepro] Bộ túi hậu môn nhân tạo 2 mảnh - Kẹp rời</t>
        </is>
      </c>
      <c r="C98" t="inlineStr">
        <is>
          <t>TAG-003</t>
        </is>
      </c>
      <c r="D98">
        <f>IFERROR(INDEX(Tag!$B:$B,MATCH(C98,Tag!$A:$A,0)),"NOT FOUND")</f>
        <v/>
      </c>
      <c r="E98">
        <f>IFERROR(INDEX(Tag!$C:$C,MATCH(C98,Tag!$A:$A,0)),"NOT FOUND")</f>
        <v/>
      </c>
      <c r="F98" t="inlineStr">
        <is>
          <t>Chắc chắn</t>
        </is>
      </c>
      <c r="G98" t="inlineStr">
        <is>
          <t>Danh mục / tên sản phẩm</t>
        </is>
      </c>
      <c r="H98">
        <f>"INSERT INTO medical_supply_product_tag (product_code, tag_code) VALUES ('"&amp;A98&amp;"', '"&amp;C98&amp;"');"</f>
        <v/>
      </c>
    </row>
    <row r="99">
      <c r="A99" t="inlineStr">
        <is>
          <t>PRODUCT-00099</t>
        </is>
      </c>
      <c r="B99" t="inlineStr">
        <is>
          <t>[Mepro] Bộ túi hậu môn nhân tạo 2 mảnh - Kẹp rời</t>
        </is>
      </c>
      <c r="C99" t="inlineStr">
        <is>
          <t>TAG-006</t>
        </is>
      </c>
      <c r="D99">
        <f>IFERROR(INDEX(Tag!$B:$B,MATCH(C99,Tag!$A:$A,0)),"NOT FOUND")</f>
        <v/>
      </c>
      <c r="E99">
        <f>IFERROR(INDEX(Tag!$C:$C,MATCH(C99,Tag!$A:$A,0)),"NOT FOUND")</f>
        <v/>
      </c>
      <c r="F99" t="inlineStr">
        <is>
          <t>Chắc chắn</t>
        </is>
      </c>
      <c r="G99" t="inlineStr">
        <is>
          <t>Danh mục: Túi/Đế HMNT 2 mảnh</t>
        </is>
      </c>
      <c r="H99">
        <f>"INSERT INTO medical_supply_product_tag (product_code, tag_code) VALUES ('"&amp;A99&amp;"', '"&amp;C99&amp;"');"</f>
        <v/>
      </c>
    </row>
    <row r="100">
      <c r="A100" t="inlineStr">
        <is>
          <t>PRODUCT-00099</t>
        </is>
      </c>
      <c r="B100" t="inlineStr">
        <is>
          <t>[Mepro] Bộ túi hậu môn nhân tạo 2 mảnh - Kẹp rời</t>
        </is>
      </c>
      <c r="C100" t="inlineStr">
        <is>
          <t>TAG-007</t>
        </is>
      </c>
      <c r="D100">
        <f>IFERROR(INDEX(Tag!$B:$B,MATCH(C100,Tag!$A:$A,0)),"NOT FOUND")</f>
        <v/>
      </c>
      <c r="E100">
        <f>IFERROR(INDEX(Tag!$C:$C,MATCH(C100,Tag!$A:$A,0)),"NOT FOUND")</f>
        <v/>
      </c>
      <c r="F100" t="inlineStr">
        <is>
          <t>Chắc chắn</t>
        </is>
      </c>
      <c r="G100" t="inlineStr">
        <is>
          <t>Tên sản phẩm</t>
        </is>
      </c>
      <c r="H100">
        <f>"INSERT INTO medical_supply_product_tag (product_code, tag_code) VALUES ('"&amp;A100&amp;"', '"&amp;C100&amp;"');"</f>
        <v/>
      </c>
    </row>
    <row r="101">
      <c r="A101" s="2" t="inlineStr">
        <is>
          <t>PRODUCT-00099</t>
        </is>
      </c>
      <c r="B101" s="2" t="inlineStr">
        <is>
          <t>[Mepro] Bộ túi hậu môn nhân tạo 2 mảnh - Kẹp rời</t>
        </is>
      </c>
      <c r="C101" s="2" t="inlineStr">
        <is>
          <t>TAG-009</t>
        </is>
      </c>
      <c r="D101" s="2">
        <f>IFERROR(INDEX(Tag!$B:$B,MATCH(C101,Tag!$A:$A,0)),"NOT FOUND")</f>
        <v/>
      </c>
      <c r="E101" s="2">
        <f>IFERROR(INDEX(Tag!$C:$C,MATCH(C101,Tag!$A:$A,0)),"NOT FOUND")</f>
        <v/>
      </c>
      <c r="F101" s="2" t="inlineStr">
        <is>
          <t>Suy đoán</t>
        </is>
      </c>
      <c r="G101" s="2" t="inlineStr">
        <is>
          <t>Mô tả không ghi đối tượng; mặc định người lớn</t>
        </is>
      </c>
      <c r="H101" s="2">
        <f>"INSERT INTO medical_supply_product_tag (product_code, tag_code) VALUES ('"&amp;A101&amp;"', '"&amp;C101&amp;"');"</f>
        <v/>
      </c>
    </row>
    <row r="102">
      <c r="A102" s="2" t="inlineStr">
        <is>
          <t>PRODUCT-00099</t>
        </is>
      </c>
      <c r="B102" s="2" t="inlineStr">
        <is>
          <t>[Mepro] Bộ túi hậu môn nhân tạo 2 mảnh - Kẹp rời</t>
        </is>
      </c>
      <c r="C102" s="2" t="inlineStr">
        <is>
          <t>TAG-012</t>
        </is>
      </c>
      <c r="D102" s="2">
        <f>IFERROR(INDEX(Tag!$B:$B,MATCH(C102,Tag!$A:$A,0)),"NOT FOUND")</f>
        <v/>
      </c>
      <c r="E102" s="2">
        <f>IFERROR(INDEX(Tag!$C:$C,MATCH(C102,Tag!$A:$A,0)),"NOT FOUND")</f>
        <v/>
      </c>
      <c r="F102" s="2" t="inlineStr">
        <is>
          <t>Suy đoán</t>
        </is>
      </c>
      <c r="G102" s="2" t="inlineStr">
        <is>
          <t>Mô tả: hai lớp kín đáo</t>
        </is>
      </c>
      <c r="H102" s="2">
        <f>"INSERT INTO medical_supply_product_tag (product_code, tag_code) VALUES ('"&amp;A102&amp;"', '"&amp;C102&amp;"');"</f>
        <v/>
      </c>
    </row>
    <row r="103">
      <c r="A103" t="inlineStr">
        <is>
          <t>PRODUCT-00099</t>
        </is>
      </c>
      <c r="B103" t="inlineStr">
        <is>
          <t>[Mepro] Bộ túi hậu môn nhân tạo 2 mảnh - Kẹp rời</t>
        </is>
      </c>
      <c r="C103" t="inlineStr">
        <is>
          <t>TAG-014</t>
        </is>
      </c>
      <c r="D103">
        <f>IFERROR(INDEX(Tag!$B:$B,MATCH(C103,Tag!$A:$A,0)),"NOT FOUND")</f>
        <v/>
      </c>
      <c r="E103">
        <f>IFERROR(INDEX(Tag!$C:$C,MATCH(C103,Tag!$A:$A,0)),"NOT FOUND")</f>
        <v/>
      </c>
      <c r="F103" t="inlineStr">
        <is>
          <t>Chắc chắn</t>
        </is>
      </c>
      <c r="G103" t="inlineStr">
        <is>
          <t>Tên: kẹp rời</t>
        </is>
      </c>
      <c r="H103">
        <f>"INSERT INTO medical_supply_product_tag (product_code, tag_code) VALUES ('"&amp;A103&amp;"', '"&amp;C103&amp;"');"</f>
        <v/>
      </c>
    </row>
    <row r="104">
      <c r="A104" t="inlineStr">
        <is>
          <t>PRODUCT-00101</t>
        </is>
      </c>
      <c r="B104" t="inlineStr">
        <is>
          <t>[Mepro] Bộ túi hậu môn nhân tạo 2 mảnh - Khóa cuộn</t>
        </is>
      </c>
      <c r="C104" t="inlineStr">
        <is>
          <t>TAG-003</t>
        </is>
      </c>
      <c r="D104">
        <f>IFERROR(INDEX(Tag!$B:$B,MATCH(C104,Tag!$A:$A,0)),"NOT FOUND")</f>
        <v/>
      </c>
      <c r="E104">
        <f>IFERROR(INDEX(Tag!$C:$C,MATCH(C104,Tag!$A:$A,0)),"NOT FOUND")</f>
        <v/>
      </c>
      <c r="F104" t="inlineStr">
        <is>
          <t>Chắc chắn</t>
        </is>
      </c>
      <c r="G104" t="inlineStr">
        <is>
          <t>Danh mục / tên sản phẩm</t>
        </is>
      </c>
      <c r="H104">
        <f>"INSERT INTO medical_supply_product_tag (product_code, tag_code) VALUES ('"&amp;A104&amp;"', '"&amp;C104&amp;"');"</f>
        <v/>
      </c>
    </row>
    <row r="105">
      <c r="A105" t="inlineStr">
        <is>
          <t>PRODUCT-00101</t>
        </is>
      </c>
      <c r="B105" t="inlineStr">
        <is>
          <t>[Mepro] Bộ túi hậu môn nhân tạo 2 mảnh - Khóa cuộn</t>
        </is>
      </c>
      <c r="C105" t="inlineStr">
        <is>
          <t>TAG-006</t>
        </is>
      </c>
      <c r="D105">
        <f>IFERROR(INDEX(Tag!$B:$B,MATCH(C105,Tag!$A:$A,0)),"NOT FOUND")</f>
        <v/>
      </c>
      <c r="E105">
        <f>IFERROR(INDEX(Tag!$C:$C,MATCH(C105,Tag!$A:$A,0)),"NOT FOUND")</f>
        <v/>
      </c>
      <c r="F105" t="inlineStr">
        <is>
          <t>Chắc chắn</t>
        </is>
      </c>
      <c r="G105" t="inlineStr">
        <is>
          <t>Danh mục: Túi/Đế HMNT 2 mảnh</t>
        </is>
      </c>
      <c r="H105">
        <f>"INSERT INTO medical_supply_product_tag (product_code, tag_code) VALUES ('"&amp;A105&amp;"', '"&amp;C105&amp;"');"</f>
        <v/>
      </c>
    </row>
    <row r="106">
      <c r="A106" t="inlineStr">
        <is>
          <t>PRODUCT-00101</t>
        </is>
      </c>
      <c r="B106" t="inlineStr">
        <is>
          <t>[Mepro] Bộ túi hậu môn nhân tạo 2 mảnh - Khóa cuộn</t>
        </is>
      </c>
      <c r="C106" t="inlineStr">
        <is>
          <t>TAG-007</t>
        </is>
      </c>
      <c r="D106">
        <f>IFERROR(INDEX(Tag!$B:$B,MATCH(C106,Tag!$A:$A,0)),"NOT FOUND")</f>
        <v/>
      </c>
      <c r="E106">
        <f>IFERROR(INDEX(Tag!$C:$C,MATCH(C106,Tag!$A:$A,0)),"NOT FOUND")</f>
        <v/>
      </c>
      <c r="F106" t="inlineStr">
        <is>
          <t>Chắc chắn</t>
        </is>
      </c>
      <c r="G106" t="inlineStr">
        <is>
          <t>Tên sản phẩm</t>
        </is>
      </c>
      <c r="H106">
        <f>"INSERT INTO medical_supply_product_tag (product_code, tag_code) VALUES ('"&amp;A106&amp;"', '"&amp;C106&amp;"');"</f>
        <v/>
      </c>
    </row>
    <row r="107">
      <c r="A107" s="2" t="inlineStr">
        <is>
          <t>PRODUCT-00101</t>
        </is>
      </c>
      <c r="B107" s="2" t="inlineStr">
        <is>
          <t>[Mepro] Bộ túi hậu môn nhân tạo 2 mảnh - Khóa cuộn</t>
        </is>
      </c>
      <c r="C107" s="2" t="inlineStr">
        <is>
          <t>TAG-009</t>
        </is>
      </c>
      <c r="D107" s="2">
        <f>IFERROR(INDEX(Tag!$B:$B,MATCH(C107,Tag!$A:$A,0)),"NOT FOUND")</f>
        <v/>
      </c>
      <c r="E107" s="2">
        <f>IFERROR(INDEX(Tag!$C:$C,MATCH(C107,Tag!$A:$A,0)),"NOT FOUND")</f>
        <v/>
      </c>
      <c r="F107" s="2" t="inlineStr">
        <is>
          <t>Suy đoán</t>
        </is>
      </c>
      <c r="G107" s="2" t="inlineStr">
        <is>
          <t>Mô tả không ghi đối tượng; mặc định người lớn</t>
        </is>
      </c>
      <c r="H107" s="2">
        <f>"INSERT INTO medical_supply_product_tag (product_code, tag_code) VALUES ('"&amp;A107&amp;"', '"&amp;C107&amp;"');"</f>
        <v/>
      </c>
    </row>
    <row r="108">
      <c r="A108" s="2" t="inlineStr">
        <is>
          <t>PRODUCT-00101</t>
        </is>
      </c>
      <c r="B108" s="2" t="inlineStr">
        <is>
          <t>[Mepro] Bộ túi hậu môn nhân tạo 2 mảnh - Khóa cuộn</t>
        </is>
      </c>
      <c r="C108" s="2" t="inlineStr">
        <is>
          <t>TAG-012</t>
        </is>
      </c>
      <c r="D108" s="2">
        <f>IFERROR(INDEX(Tag!$B:$B,MATCH(C108,Tag!$A:$A,0)),"NOT FOUND")</f>
        <v/>
      </c>
      <c r="E108" s="2">
        <f>IFERROR(INDEX(Tag!$C:$C,MATCH(C108,Tag!$A:$A,0)),"NOT FOUND")</f>
        <v/>
      </c>
      <c r="F108" s="2" t="inlineStr">
        <is>
          <t>Suy đoán</t>
        </is>
      </c>
      <c r="G108" s="2" t="inlineStr">
        <is>
          <t>Mô tả: hai lớp kín đáo</t>
        </is>
      </c>
      <c r="H108" s="2">
        <f>"INSERT INTO medical_supply_product_tag (product_code, tag_code) VALUES ('"&amp;A108&amp;"', '"&amp;C108&amp;"');"</f>
        <v/>
      </c>
    </row>
    <row r="109">
      <c r="A109" t="inlineStr">
        <is>
          <t>PRODUCT-00101</t>
        </is>
      </c>
      <c r="B109" t="inlineStr">
        <is>
          <t>[Mepro] Bộ túi hậu môn nhân tạo 2 mảnh - Khóa cuộn</t>
        </is>
      </c>
      <c r="C109" t="inlineStr">
        <is>
          <t>TAG-015</t>
        </is>
      </c>
      <c r="D109">
        <f>IFERROR(INDEX(Tag!$B:$B,MATCH(C109,Tag!$A:$A,0)),"NOT FOUND")</f>
        <v/>
      </c>
      <c r="E109">
        <f>IFERROR(INDEX(Tag!$C:$C,MATCH(C109,Tag!$A:$A,0)),"NOT FOUND")</f>
        <v/>
      </c>
      <c r="F109" t="inlineStr">
        <is>
          <t>Chắc chắn</t>
        </is>
      </c>
      <c r="G109" t="inlineStr">
        <is>
          <t>Tên: khóa cuộn</t>
        </is>
      </c>
      <c r="H109">
        <f>"INSERT INTO medical_supply_product_tag (product_code, tag_code) VALUES ('"&amp;A109&amp;"', '"&amp;C109&amp;"');"</f>
        <v/>
      </c>
    </row>
    <row r="110">
      <c r="A110" t="inlineStr">
        <is>
          <t>PRODUCT-00102</t>
        </is>
      </c>
      <c r="B110" t="inlineStr">
        <is>
          <t>[Mepro] Túi hậu môn nhân tạo 2 mảnh - Kẹp rời</t>
        </is>
      </c>
      <c r="C110" t="inlineStr">
        <is>
          <t>TAG-001</t>
        </is>
      </c>
      <c r="D110">
        <f>IFERROR(INDEX(Tag!$B:$B,MATCH(C110,Tag!$A:$A,0)),"NOT FOUND")</f>
        <v/>
      </c>
      <c r="E110">
        <f>IFERROR(INDEX(Tag!$C:$C,MATCH(C110,Tag!$A:$A,0)),"NOT FOUND")</f>
        <v/>
      </c>
      <c r="F110" t="inlineStr">
        <is>
          <t>Chắc chắn</t>
        </is>
      </c>
      <c r="G110" t="inlineStr">
        <is>
          <t>Danh mục / tên sản phẩm</t>
        </is>
      </c>
      <c r="H110">
        <f>"INSERT INTO medical_supply_product_tag (product_code, tag_code) VALUES ('"&amp;A110&amp;"', '"&amp;C110&amp;"');"</f>
        <v/>
      </c>
    </row>
    <row r="111">
      <c r="A111" t="inlineStr">
        <is>
          <t>PRODUCT-00102</t>
        </is>
      </c>
      <c r="B111" t="inlineStr">
        <is>
          <t>[Mepro] Túi hậu môn nhân tạo 2 mảnh - Kẹp rời</t>
        </is>
      </c>
      <c r="C111" t="inlineStr">
        <is>
          <t>TAG-006</t>
        </is>
      </c>
      <c r="D111">
        <f>IFERROR(INDEX(Tag!$B:$B,MATCH(C111,Tag!$A:$A,0)),"NOT FOUND")</f>
        <v/>
      </c>
      <c r="E111">
        <f>IFERROR(INDEX(Tag!$C:$C,MATCH(C111,Tag!$A:$A,0)),"NOT FOUND")</f>
        <v/>
      </c>
      <c r="F111" t="inlineStr">
        <is>
          <t>Chắc chắn</t>
        </is>
      </c>
      <c r="G111" t="inlineStr">
        <is>
          <t>Danh mục: Túi/Đế HMNT 2 mảnh</t>
        </is>
      </c>
      <c r="H111">
        <f>"INSERT INTO medical_supply_product_tag (product_code, tag_code) VALUES ('"&amp;A111&amp;"', '"&amp;C111&amp;"');"</f>
        <v/>
      </c>
    </row>
    <row r="112">
      <c r="A112" t="inlineStr">
        <is>
          <t>PRODUCT-00102</t>
        </is>
      </c>
      <c r="B112" t="inlineStr">
        <is>
          <t>[Mepro] Túi hậu môn nhân tạo 2 mảnh - Kẹp rời</t>
        </is>
      </c>
      <c r="C112" t="inlineStr">
        <is>
          <t>TAG-007</t>
        </is>
      </c>
      <c r="D112">
        <f>IFERROR(INDEX(Tag!$B:$B,MATCH(C112,Tag!$A:$A,0)),"NOT FOUND")</f>
        <v/>
      </c>
      <c r="E112">
        <f>IFERROR(INDEX(Tag!$C:$C,MATCH(C112,Tag!$A:$A,0)),"NOT FOUND")</f>
        <v/>
      </c>
      <c r="F112" t="inlineStr">
        <is>
          <t>Chắc chắn</t>
        </is>
      </c>
      <c r="G112" t="inlineStr">
        <is>
          <t>Tên sản phẩm</t>
        </is>
      </c>
      <c r="H112">
        <f>"INSERT INTO medical_supply_product_tag (product_code, tag_code) VALUES ('"&amp;A112&amp;"', '"&amp;C112&amp;"');"</f>
        <v/>
      </c>
    </row>
    <row r="113">
      <c r="A113" s="2" t="inlineStr">
        <is>
          <t>PRODUCT-00102</t>
        </is>
      </c>
      <c r="B113" s="2" t="inlineStr">
        <is>
          <t>[Mepro] Túi hậu môn nhân tạo 2 mảnh - Kẹp rời</t>
        </is>
      </c>
      <c r="C113" s="2" t="inlineStr">
        <is>
          <t>TAG-009</t>
        </is>
      </c>
      <c r="D113" s="2">
        <f>IFERROR(INDEX(Tag!$B:$B,MATCH(C113,Tag!$A:$A,0)),"NOT FOUND")</f>
        <v/>
      </c>
      <c r="E113" s="2">
        <f>IFERROR(INDEX(Tag!$C:$C,MATCH(C113,Tag!$A:$A,0)),"NOT FOUND")</f>
        <v/>
      </c>
      <c r="F113" s="2" t="inlineStr">
        <is>
          <t>Suy đoán</t>
        </is>
      </c>
      <c r="G113" s="2" t="inlineStr">
        <is>
          <t>Mô tả không ghi đối tượng; mặc định người lớn</t>
        </is>
      </c>
      <c r="H113" s="2">
        <f>"INSERT INTO medical_supply_product_tag (product_code, tag_code) VALUES ('"&amp;A113&amp;"', '"&amp;C113&amp;"');"</f>
        <v/>
      </c>
    </row>
    <row r="114">
      <c r="A114" s="2" t="inlineStr">
        <is>
          <t>PRODUCT-00102</t>
        </is>
      </c>
      <c r="B114" s="2" t="inlineStr">
        <is>
          <t>[Mepro] Túi hậu môn nhân tạo 2 mảnh - Kẹp rời</t>
        </is>
      </c>
      <c r="C114" s="2" t="inlineStr">
        <is>
          <t>TAG-012</t>
        </is>
      </c>
      <c r="D114" s="2">
        <f>IFERROR(INDEX(Tag!$B:$B,MATCH(C114,Tag!$A:$A,0)),"NOT FOUND")</f>
        <v/>
      </c>
      <c r="E114" s="2">
        <f>IFERROR(INDEX(Tag!$C:$C,MATCH(C114,Tag!$A:$A,0)),"NOT FOUND")</f>
        <v/>
      </c>
      <c r="F114" s="2" t="inlineStr">
        <is>
          <t>Suy đoán</t>
        </is>
      </c>
      <c r="G114" s="2" t="inlineStr">
        <is>
          <t>Mô tả: hai lớp kín đáo</t>
        </is>
      </c>
      <c r="H114" s="2">
        <f>"INSERT INTO medical_supply_product_tag (product_code, tag_code) VALUES ('"&amp;A114&amp;"', '"&amp;C114&amp;"');"</f>
        <v/>
      </c>
    </row>
    <row r="115">
      <c r="A115" t="inlineStr">
        <is>
          <t>PRODUCT-00102</t>
        </is>
      </c>
      <c r="B115" t="inlineStr">
        <is>
          <t>[Mepro] Túi hậu môn nhân tạo 2 mảnh - Kẹp rời</t>
        </is>
      </c>
      <c r="C115" t="inlineStr">
        <is>
          <t>TAG-014</t>
        </is>
      </c>
      <c r="D115">
        <f>IFERROR(INDEX(Tag!$B:$B,MATCH(C115,Tag!$A:$A,0)),"NOT FOUND")</f>
        <v/>
      </c>
      <c r="E115">
        <f>IFERROR(INDEX(Tag!$C:$C,MATCH(C115,Tag!$A:$A,0)),"NOT FOUND")</f>
        <v/>
      </c>
      <c r="F115" t="inlineStr">
        <is>
          <t>Chắc chắn</t>
        </is>
      </c>
      <c r="G115" t="inlineStr">
        <is>
          <t>Tên: kẹp rời</t>
        </is>
      </c>
      <c r="H115">
        <f>"INSERT INTO medical_supply_product_tag (product_code, tag_code) VALUES ('"&amp;A115&amp;"', '"&amp;C115&amp;"');"</f>
        <v/>
      </c>
    </row>
    <row r="116">
      <c r="A116" t="inlineStr">
        <is>
          <t>PRODUCT-00103</t>
        </is>
      </c>
      <c r="B116" t="inlineStr">
        <is>
          <t>[Mepro] Túi hậu môn nhân tạo 2 mảnh - Khóa cuộn</t>
        </is>
      </c>
      <c r="C116" t="inlineStr">
        <is>
          <t>TAG-001</t>
        </is>
      </c>
      <c r="D116">
        <f>IFERROR(INDEX(Tag!$B:$B,MATCH(C116,Tag!$A:$A,0)),"NOT FOUND")</f>
        <v/>
      </c>
      <c r="E116">
        <f>IFERROR(INDEX(Tag!$C:$C,MATCH(C116,Tag!$A:$A,0)),"NOT FOUND")</f>
        <v/>
      </c>
      <c r="F116" t="inlineStr">
        <is>
          <t>Chắc chắn</t>
        </is>
      </c>
      <c r="G116" t="inlineStr">
        <is>
          <t>Danh mục / tên sản phẩm</t>
        </is>
      </c>
      <c r="H116">
        <f>"INSERT INTO medical_supply_product_tag (product_code, tag_code) VALUES ('"&amp;A116&amp;"', '"&amp;C116&amp;"');"</f>
        <v/>
      </c>
    </row>
    <row r="117">
      <c r="A117" t="inlineStr">
        <is>
          <t>PRODUCT-00103</t>
        </is>
      </c>
      <c r="B117" t="inlineStr">
        <is>
          <t>[Mepro] Túi hậu môn nhân tạo 2 mảnh - Khóa cuộn</t>
        </is>
      </c>
      <c r="C117" t="inlineStr">
        <is>
          <t>TAG-006</t>
        </is>
      </c>
      <c r="D117">
        <f>IFERROR(INDEX(Tag!$B:$B,MATCH(C117,Tag!$A:$A,0)),"NOT FOUND")</f>
        <v/>
      </c>
      <c r="E117">
        <f>IFERROR(INDEX(Tag!$C:$C,MATCH(C117,Tag!$A:$A,0)),"NOT FOUND")</f>
        <v/>
      </c>
      <c r="F117" t="inlineStr">
        <is>
          <t>Chắc chắn</t>
        </is>
      </c>
      <c r="G117" t="inlineStr">
        <is>
          <t>Danh mục: Túi/Đế HMNT 2 mảnh</t>
        </is>
      </c>
      <c r="H117">
        <f>"INSERT INTO medical_supply_product_tag (product_code, tag_code) VALUES ('"&amp;A117&amp;"', '"&amp;C117&amp;"');"</f>
        <v/>
      </c>
    </row>
    <row r="118">
      <c r="A118" t="inlineStr">
        <is>
          <t>PRODUCT-00103</t>
        </is>
      </c>
      <c r="B118" t="inlineStr">
        <is>
          <t>[Mepro] Túi hậu môn nhân tạo 2 mảnh - Khóa cuộn</t>
        </is>
      </c>
      <c r="C118" t="inlineStr">
        <is>
          <t>TAG-007</t>
        </is>
      </c>
      <c r="D118">
        <f>IFERROR(INDEX(Tag!$B:$B,MATCH(C118,Tag!$A:$A,0)),"NOT FOUND")</f>
        <v/>
      </c>
      <c r="E118">
        <f>IFERROR(INDEX(Tag!$C:$C,MATCH(C118,Tag!$A:$A,0)),"NOT FOUND")</f>
        <v/>
      </c>
      <c r="F118" t="inlineStr">
        <is>
          <t>Chắc chắn</t>
        </is>
      </c>
      <c r="G118" t="inlineStr">
        <is>
          <t>Tên sản phẩm</t>
        </is>
      </c>
      <c r="H118">
        <f>"INSERT INTO medical_supply_product_tag (product_code, tag_code) VALUES ('"&amp;A118&amp;"', '"&amp;C118&amp;"');"</f>
        <v/>
      </c>
    </row>
    <row r="119">
      <c r="A119" s="2" t="inlineStr">
        <is>
          <t>PRODUCT-00103</t>
        </is>
      </c>
      <c r="B119" s="2" t="inlineStr">
        <is>
          <t>[Mepro] Túi hậu môn nhân tạo 2 mảnh - Khóa cuộn</t>
        </is>
      </c>
      <c r="C119" s="2" t="inlineStr">
        <is>
          <t>TAG-009</t>
        </is>
      </c>
      <c r="D119" s="2">
        <f>IFERROR(INDEX(Tag!$B:$B,MATCH(C119,Tag!$A:$A,0)),"NOT FOUND")</f>
        <v/>
      </c>
      <c r="E119" s="2">
        <f>IFERROR(INDEX(Tag!$C:$C,MATCH(C119,Tag!$A:$A,0)),"NOT FOUND")</f>
        <v/>
      </c>
      <c r="F119" s="2" t="inlineStr">
        <is>
          <t>Suy đoán</t>
        </is>
      </c>
      <c r="G119" s="2" t="inlineStr">
        <is>
          <t>Mô tả không ghi đối tượng; mặc định người lớn</t>
        </is>
      </c>
      <c r="H119" s="2">
        <f>"INSERT INTO medical_supply_product_tag (product_code, tag_code) VALUES ('"&amp;A119&amp;"', '"&amp;C119&amp;"');"</f>
        <v/>
      </c>
    </row>
    <row r="120">
      <c r="A120" s="2" t="inlineStr">
        <is>
          <t>PRODUCT-00103</t>
        </is>
      </c>
      <c r="B120" s="2" t="inlineStr">
        <is>
          <t>[Mepro] Túi hậu môn nhân tạo 2 mảnh - Khóa cuộn</t>
        </is>
      </c>
      <c r="C120" s="2" t="inlineStr">
        <is>
          <t>TAG-012</t>
        </is>
      </c>
      <c r="D120" s="2">
        <f>IFERROR(INDEX(Tag!$B:$B,MATCH(C120,Tag!$A:$A,0)),"NOT FOUND")</f>
        <v/>
      </c>
      <c r="E120" s="2">
        <f>IFERROR(INDEX(Tag!$C:$C,MATCH(C120,Tag!$A:$A,0)),"NOT FOUND")</f>
        <v/>
      </c>
      <c r="F120" s="2" t="inlineStr">
        <is>
          <t>Suy đoán</t>
        </is>
      </c>
      <c r="G120" s="2" t="inlineStr">
        <is>
          <t>Mô tả: hai lớp kín đáo</t>
        </is>
      </c>
      <c r="H120" s="2">
        <f>"INSERT INTO medical_supply_product_tag (product_code, tag_code) VALUES ('"&amp;A120&amp;"', '"&amp;C120&amp;"');"</f>
        <v/>
      </c>
    </row>
    <row r="121">
      <c r="A121" t="inlineStr">
        <is>
          <t>PRODUCT-00103</t>
        </is>
      </c>
      <c r="B121" t="inlineStr">
        <is>
          <t>[Mepro] Túi hậu môn nhân tạo 2 mảnh - Khóa cuộn</t>
        </is>
      </c>
      <c r="C121" t="inlineStr">
        <is>
          <t>TAG-015</t>
        </is>
      </c>
      <c r="D121">
        <f>IFERROR(INDEX(Tag!$B:$B,MATCH(C121,Tag!$A:$A,0)),"NOT FOUND")</f>
        <v/>
      </c>
      <c r="E121">
        <f>IFERROR(INDEX(Tag!$C:$C,MATCH(C121,Tag!$A:$A,0)),"NOT FOUND")</f>
        <v/>
      </c>
      <c r="F121" t="inlineStr">
        <is>
          <t>Chắc chắn</t>
        </is>
      </c>
      <c r="G121" t="inlineStr">
        <is>
          <t>Tên: khóa cuộn</t>
        </is>
      </c>
      <c r="H121">
        <f>"INSERT INTO medical_supply_product_tag (product_code, tag_code) VALUES ('"&amp;A121&amp;"', '"&amp;C121&amp;"');"</f>
        <v/>
      </c>
    </row>
    <row r="122">
      <c r="A122" t="inlineStr">
        <is>
          <t>PRODUCT-00107</t>
        </is>
      </c>
      <c r="B122" t="inlineStr">
        <is>
          <t>[Ostomy Care] Bộ túi hậu môn nhân tạo 2 mảnh - Khóa cuộn</t>
        </is>
      </c>
      <c r="C122" t="inlineStr">
        <is>
          <t>TAG-003</t>
        </is>
      </c>
      <c r="D122">
        <f>IFERROR(INDEX(Tag!$B:$B,MATCH(C122,Tag!$A:$A,0)),"NOT FOUND")</f>
        <v/>
      </c>
      <c r="E122">
        <f>IFERROR(INDEX(Tag!$C:$C,MATCH(C122,Tag!$A:$A,0)),"NOT FOUND")</f>
        <v/>
      </c>
      <c r="F122" t="inlineStr">
        <is>
          <t>Chắc chắn</t>
        </is>
      </c>
      <c r="G122" t="inlineStr">
        <is>
          <t>Danh mục / tên sản phẩm</t>
        </is>
      </c>
      <c r="H122">
        <f>"INSERT INTO medical_supply_product_tag (product_code, tag_code) VALUES ('"&amp;A122&amp;"', '"&amp;C122&amp;"');"</f>
        <v/>
      </c>
    </row>
    <row r="123">
      <c r="A123" t="inlineStr">
        <is>
          <t>PRODUCT-00107</t>
        </is>
      </c>
      <c r="B123" t="inlineStr">
        <is>
          <t>[Ostomy Care] Bộ túi hậu môn nhân tạo 2 mảnh - Khóa cuộn</t>
        </is>
      </c>
      <c r="C123" t="inlineStr">
        <is>
          <t>TAG-006</t>
        </is>
      </c>
      <c r="D123">
        <f>IFERROR(INDEX(Tag!$B:$B,MATCH(C123,Tag!$A:$A,0)),"NOT FOUND")</f>
        <v/>
      </c>
      <c r="E123">
        <f>IFERROR(INDEX(Tag!$C:$C,MATCH(C123,Tag!$A:$A,0)),"NOT FOUND")</f>
        <v/>
      </c>
      <c r="F123" t="inlineStr">
        <is>
          <t>Chắc chắn</t>
        </is>
      </c>
      <c r="G123" t="inlineStr">
        <is>
          <t>Danh mục: Túi/Đế HMNT 2 mảnh</t>
        </is>
      </c>
      <c r="H123">
        <f>"INSERT INTO medical_supply_product_tag (product_code, tag_code) VALUES ('"&amp;A123&amp;"', '"&amp;C123&amp;"');"</f>
        <v/>
      </c>
    </row>
    <row r="124">
      <c r="A124" t="inlineStr">
        <is>
          <t>PRODUCT-00107</t>
        </is>
      </c>
      <c r="B124" t="inlineStr">
        <is>
          <t>[Ostomy Care] Bộ túi hậu môn nhân tạo 2 mảnh - Khóa cuộn</t>
        </is>
      </c>
      <c r="C124" t="inlineStr">
        <is>
          <t>TAG-007</t>
        </is>
      </c>
      <c r="D124">
        <f>IFERROR(INDEX(Tag!$B:$B,MATCH(C124,Tag!$A:$A,0)),"NOT FOUND")</f>
        <v/>
      </c>
      <c r="E124">
        <f>IFERROR(INDEX(Tag!$C:$C,MATCH(C124,Tag!$A:$A,0)),"NOT FOUND")</f>
        <v/>
      </c>
      <c r="F124" t="inlineStr">
        <is>
          <t>Chắc chắn</t>
        </is>
      </c>
      <c r="G124" t="inlineStr">
        <is>
          <t>Tên sản phẩm</t>
        </is>
      </c>
      <c r="H124">
        <f>"INSERT INTO medical_supply_product_tag (product_code, tag_code) VALUES ('"&amp;A124&amp;"', '"&amp;C124&amp;"');"</f>
        <v/>
      </c>
    </row>
    <row r="125">
      <c r="A125" s="2" t="inlineStr">
        <is>
          <t>PRODUCT-00107</t>
        </is>
      </c>
      <c r="B125" s="2" t="inlineStr">
        <is>
          <t>[Ostomy Care] Bộ túi hậu môn nhân tạo 2 mảnh - Khóa cuộn</t>
        </is>
      </c>
      <c r="C125" s="2" t="inlineStr">
        <is>
          <t>TAG-009</t>
        </is>
      </c>
      <c r="D125" s="2">
        <f>IFERROR(INDEX(Tag!$B:$B,MATCH(C125,Tag!$A:$A,0)),"NOT FOUND")</f>
        <v/>
      </c>
      <c r="E125" s="2">
        <f>IFERROR(INDEX(Tag!$C:$C,MATCH(C125,Tag!$A:$A,0)),"NOT FOUND")</f>
        <v/>
      </c>
      <c r="F125" s="2" t="inlineStr">
        <is>
          <t>Suy đoán</t>
        </is>
      </c>
      <c r="G125" s="2" t="inlineStr">
        <is>
          <t>Mô tả không ghi đối tượng; mặc định người lớn</t>
        </is>
      </c>
      <c r="H125" s="2">
        <f>"INSERT INTO medical_supply_product_tag (product_code, tag_code) VALUES ('"&amp;A125&amp;"', '"&amp;C125&amp;"');"</f>
        <v/>
      </c>
    </row>
    <row r="126">
      <c r="A126" s="2" t="inlineStr">
        <is>
          <t>PRODUCT-00107</t>
        </is>
      </c>
      <c r="B126" s="2" t="inlineStr">
        <is>
          <t>[Ostomy Care] Bộ túi hậu môn nhân tạo 2 mảnh - Khóa cuộn</t>
        </is>
      </c>
      <c r="C126" s="2" t="inlineStr">
        <is>
          <t>TAG-012</t>
        </is>
      </c>
      <c r="D126" s="2">
        <f>IFERROR(INDEX(Tag!$B:$B,MATCH(C126,Tag!$A:$A,0)),"NOT FOUND")</f>
        <v/>
      </c>
      <c r="E126" s="2">
        <f>IFERROR(INDEX(Tag!$C:$C,MATCH(C126,Tag!$A:$A,0)),"NOT FOUND")</f>
        <v/>
      </c>
      <c r="F126" s="2" t="inlineStr">
        <is>
          <t>Suy đoán</t>
        </is>
      </c>
      <c r="G126" s="2" t="inlineStr">
        <is>
          <t>Mô tả: hai lớp kín đáo</t>
        </is>
      </c>
      <c r="H126" s="2">
        <f>"INSERT INTO medical_supply_product_tag (product_code, tag_code) VALUES ('"&amp;A126&amp;"', '"&amp;C126&amp;"');"</f>
        <v/>
      </c>
    </row>
    <row r="127">
      <c r="A127" t="inlineStr">
        <is>
          <t>PRODUCT-00107</t>
        </is>
      </c>
      <c r="B127" t="inlineStr">
        <is>
          <t>[Ostomy Care] Bộ túi hậu môn nhân tạo 2 mảnh - Khóa cuộn</t>
        </is>
      </c>
      <c r="C127" t="inlineStr">
        <is>
          <t>TAG-015</t>
        </is>
      </c>
      <c r="D127">
        <f>IFERROR(INDEX(Tag!$B:$B,MATCH(C127,Tag!$A:$A,0)),"NOT FOUND")</f>
        <v/>
      </c>
      <c r="E127">
        <f>IFERROR(INDEX(Tag!$C:$C,MATCH(C127,Tag!$A:$A,0)),"NOT FOUND")</f>
        <v/>
      </c>
      <c r="F127" t="inlineStr">
        <is>
          <t>Chắc chắn</t>
        </is>
      </c>
      <c r="G127" t="inlineStr">
        <is>
          <t>Tên: khóa cuộn</t>
        </is>
      </c>
      <c r="H127">
        <f>"INSERT INTO medical_supply_product_tag (product_code, tag_code) VALUES ('"&amp;A127&amp;"', '"&amp;C127&amp;"');"</f>
        <v/>
      </c>
    </row>
    <row r="128">
      <c r="A128" t="inlineStr">
        <is>
          <t>PRODUCT-00108</t>
        </is>
      </c>
      <c r="B128" t="inlineStr">
        <is>
          <t>[Ostomy Care] Túi hậu môn nhân tạo 2 mảnh - Khóa dán liền</t>
        </is>
      </c>
      <c r="C128" t="inlineStr">
        <is>
          <t>TAG-001</t>
        </is>
      </c>
      <c r="D128">
        <f>IFERROR(INDEX(Tag!$B:$B,MATCH(C128,Tag!$A:$A,0)),"NOT FOUND")</f>
        <v/>
      </c>
      <c r="E128">
        <f>IFERROR(INDEX(Tag!$C:$C,MATCH(C128,Tag!$A:$A,0)),"NOT FOUND")</f>
        <v/>
      </c>
      <c r="F128" t="inlineStr">
        <is>
          <t>Chắc chắn</t>
        </is>
      </c>
      <c r="G128" t="inlineStr">
        <is>
          <t>Danh mục / tên sản phẩm</t>
        </is>
      </c>
      <c r="H128">
        <f>"INSERT INTO medical_supply_product_tag (product_code, tag_code) VALUES ('"&amp;A128&amp;"', '"&amp;C128&amp;"');"</f>
        <v/>
      </c>
    </row>
    <row r="129">
      <c r="A129" t="inlineStr">
        <is>
          <t>PRODUCT-00108</t>
        </is>
      </c>
      <c r="B129" t="inlineStr">
        <is>
          <t>[Ostomy Care] Túi hậu môn nhân tạo 2 mảnh - Khóa dán liền</t>
        </is>
      </c>
      <c r="C129" t="inlineStr">
        <is>
          <t>TAG-006</t>
        </is>
      </c>
      <c r="D129">
        <f>IFERROR(INDEX(Tag!$B:$B,MATCH(C129,Tag!$A:$A,0)),"NOT FOUND")</f>
        <v/>
      </c>
      <c r="E129">
        <f>IFERROR(INDEX(Tag!$C:$C,MATCH(C129,Tag!$A:$A,0)),"NOT FOUND")</f>
        <v/>
      </c>
      <c r="F129" t="inlineStr">
        <is>
          <t>Chắc chắn</t>
        </is>
      </c>
      <c r="G129" t="inlineStr">
        <is>
          <t>Danh mục: Túi/Đế HMNT 2 mảnh</t>
        </is>
      </c>
      <c r="H129">
        <f>"INSERT INTO medical_supply_product_tag (product_code, tag_code) VALUES ('"&amp;A129&amp;"', '"&amp;C129&amp;"');"</f>
        <v/>
      </c>
    </row>
    <row r="130">
      <c r="A130" t="inlineStr">
        <is>
          <t>PRODUCT-00108</t>
        </is>
      </c>
      <c r="B130" t="inlineStr">
        <is>
          <t>[Ostomy Care] Túi hậu môn nhân tạo 2 mảnh - Khóa dán liền</t>
        </is>
      </c>
      <c r="C130" t="inlineStr">
        <is>
          <t>TAG-007</t>
        </is>
      </c>
      <c r="D130">
        <f>IFERROR(INDEX(Tag!$B:$B,MATCH(C130,Tag!$A:$A,0)),"NOT FOUND")</f>
        <v/>
      </c>
      <c r="E130">
        <f>IFERROR(INDEX(Tag!$C:$C,MATCH(C130,Tag!$A:$A,0)),"NOT FOUND")</f>
        <v/>
      </c>
      <c r="F130" t="inlineStr">
        <is>
          <t>Chắc chắn</t>
        </is>
      </c>
      <c r="G130" t="inlineStr">
        <is>
          <t>Tên sản phẩm</t>
        </is>
      </c>
      <c r="H130">
        <f>"INSERT INTO medical_supply_product_tag (product_code, tag_code) VALUES ('"&amp;A130&amp;"', '"&amp;C130&amp;"');"</f>
        <v/>
      </c>
    </row>
    <row r="131">
      <c r="A131" s="2" t="inlineStr">
        <is>
          <t>PRODUCT-00108</t>
        </is>
      </c>
      <c r="B131" s="2" t="inlineStr">
        <is>
          <t>[Ostomy Care] Túi hậu môn nhân tạo 2 mảnh - Khóa dán liền</t>
        </is>
      </c>
      <c r="C131" s="2" t="inlineStr">
        <is>
          <t>TAG-009</t>
        </is>
      </c>
      <c r="D131" s="2">
        <f>IFERROR(INDEX(Tag!$B:$B,MATCH(C131,Tag!$A:$A,0)),"NOT FOUND")</f>
        <v/>
      </c>
      <c r="E131" s="2">
        <f>IFERROR(INDEX(Tag!$C:$C,MATCH(C131,Tag!$A:$A,0)),"NOT FOUND")</f>
        <v/>
      </c>
      <c r="F131" s="2" t="inlineStr">
        <is>
          <t>Suy đoán</t>
        </is>
      </c>
      <c r="G131" s="2" t="inlineStr">
        <is>
          <t>Mô tả không ghi đối tượng; mặc định người lớn</t>
        </is>
      </c>
      <c r="H131" s="2">
        <f>"INSERT INTO medical_supply_product_tag (product_code, tag_code) VALUES ('"&amp;A131&amp;"', '"&amp;C131&amp;"');"</f>
        <v/>
      </c>
    </row>
    <row r="132">
      <c r="A132" t="inlineStr">
        <is>
          <t>PRODUCT-00108</t>
        </is>
      </c>
      <c r="B132" t="inlineStr">
        <is>
          <t>[Ostomy Care] Túi hậu môn nhân tạo 2 mảnh - Khóa dán liền</t>
        </is>
      </c>
      <c r="C132" t="inlineStr">
        <is>
          <t>TAG-015</t>
        </is>
      </c>
      <c r="D132">
        <f>IFERROR(INDEX(Tag!$B:$B,MATCH(C132,Tag!$A:$A,0)),"NOT FOUND")</f>
        <v/>
      </c>
      <c r="E132">
        <f>IFERROR(INDEX(Tag!$C:$C,MATCH(C132,Tag!$A:$A,0)),"NOT FOUND")</f>
        <v/>
      </c>
      <c r="F132" t="inlineStr">
        <is>
          <t>Chắc chắn</t>
        </is>
      </c>
      <c r="G132" t="inlineStr">
        <is>
          <t>Tên: khóa dán liền</t>
        </is>
      </c>
      <c r="H132">
        <f>"INSERT INTO medical_supply_product_tag (product_code, tag_code) VALUES ('"&amp;A132&amp;"', '"&amp;C132&amp;"');"</f>
        <v/>
      </c>
    </row>
    <row r="133">
      <c r="A133" s="2" t="inlineStr">
        <is>
          <t>PRODUCT-00109</t>
        </is>
      </c>
      <c r="B133" s="2" t="inlineStr">
        <is>
          <t>Túi hậu môn nhân tạo 2 mảnh</t>
        </is>
      </c>
      <c r="C133" s="2" t="inlineStr">
        <is>
          <t>TAG-001</t>
        </is>
      </c>
      <c r="D133" s="2">
        <f>IFERROR(INDEX(Tag!$B:$B,MATCH(C133,Tag!$A:$A,0)),"NOT FOUND")</f>
        <v/>
      </c>
      <c r="E133" s="2">
        <f>IFERROR(INDEX(Tag!$C:$C,MATCH(C133,Tag!$A:$A,0)),"NOT FOUND")</f>
        <v/>
      </c>
      <c r="F133" s="2" t="inlineStr">
        <is>
          <t>Suy đoán</t>
        </is>
      </c>
      <c r="G133" s="2" t="inlineStr">
        <is>
          <t>Mô tả nói túi và đế tách riêng; chưa rõ bán kèm đế hay không</t>
        </is>
      </c>
      <c r="H133" s="2">
        <f>"INSERT INTO medical_supply_product_tag (product_code, tag_code) VALUES ('"&amp;A133&amp;"', '"&amp;C133&amp;"');"</f>
        <v/>
      </c>
    </row>
    <row r="134">
      <c r="A134" t="inlineStr">
        <is>
          <t>PRODUCT-00109</t>
        </is>
      </c>
      <c r="B134" t="inlineStr">
        <is>
          <t>Túi hậu môn nhân tạo 2 mảnh</t>
        </is>
      </c>
      <c r="C134" t="inlineStr">
        <is>
          <t>TAG-006</t>
        </is>
      </c>
      <c r="D134">
        <f>IFERROR(INDEX(Tag!$B:$B,MATCH(C134,Tag!$A:$A,0)),"NOT FOUND")</f>
        <v/>
      </c>
      <c r="E134">
        <f>IFERROR(INDEX(Tag!$C:$C,MATCH(C134,Tag!$A:$A,0)),"NOT FOUND")</f>
        <v/>
      </c>
      <c r="F134" t="inlineStr">
        <is>
          <t>Chắc chắn</t>
        </is>
      </c>
      <c r="G134" t="inlineStr">
        <is>
          <t>Danh mục: Túi HMNT 2 mảnh</t>
        </is>
      </c>
      <c r="H134">
        <f>"INSERT INTO medical_supply_product_tag (product_code, tag_code) VALUES ('"&amp;A134&amp;"', '"&amp;C134&amp;"');"</f>
        <v/>
      </c>
    </row>
    <row r="135">
      <c r="A135" t="inlineStr">
        <is>
          <t>PRODUCT-00109</t>
        </is>
      </c>
      <c r="B135" t="inlineStr">
        <is>
          <t>Túi hậu môn nhân tạo 2 mảnh</t>
        </is>
      </c>
      <c r="C135" t="inlineStr">
        <is>
          <t>TAG-007</t>
        </is>
      </c>
      <c r="D135">
        <f>IFERROR(INDEX(Tag!$B:$B,MATCH(C135,Tag!$A:$A,0)),"NOT FOUND")</f>
        <v/>
      </c>
      <c r="E135">
        <f>IFERROR(INDEX(Tag!$C:$C,MATCH(C135,Tag!$A:$A,0)),"NOT FOUND")</f>
        <v/>
      </c>
      <c r="F135" t="inlineStr">
        <is>
          <t>Chắc chắn</t>
        </is>
      </c>
      <c r="G135" t="inlineStr">
        <is>
          <t>Tên sản phẩm</t>
        </is>
      </c>
      <c r="H135">
        <f>"INSERT INTO medical_supply_product_tag (product_code, tag_code) VALUES ('"&amp;A135&amp;"', '"&amp;C135&amp;"');"</f>
        <v/>
      </c>
    </row>
    <row r="136">
      <c r="A136" s="2" t="inlineStr">
        <is>
          <t>PRODUCT-00109</t>
        </is>
      </c>
      <c r="B136" s="2" t="inlineStr">
        <is>
          <t>Túi hậu môn nhân tạo 2 mảnh</t>
        </is>
      </c>
      <c r="C136" s="2" t="inlineStr">
        <is>
          <t>TAG-009</t>
        </is>
      </c>
      <c r="D136" s="2">
        <f>IFERROR(INDEX(Tag!$B:$B,MATCH(C136,Tag!$A:$A,0)),"NOT FOUND")</f>
        <v/>
      </c>
      <c r="E136" s="2">
        <f>IFERROR(INDEX(Tag!$C:$C,MATCH(C136,Tag!$A:$A,0)),"NOT FOUND")</f>
        <v/>
      </c>
      <c r="F136" s="2" t="inlineStr">
        <is>
          <t>Suy đoán</t>
        </is>
      </c>
      <c r="G136" s="2" t="inlineStr">
        <is>
          <t>Mô tả không ghi đối tượng; mặc định người lớn</t>
        </is>
      </c>
      <c r="H136" s="2">
        <f>"INSERT INTO medical_supply_product_tag (product_code, tag_code) VALUES ('"&amp;A136&amp;"', '"&amp;C136&amp;"');"</f>
        <v/>
      </c>
    </row>
    <row r="137">
      <c r="A137" t="inlineStr">
        <is>
          <t>PRODUCT-00109</t>
        </is>
      </c>
      <c r="B137" t="inlineStr">
        <is>
          <t>Túi hậu môn nhân tạo 2 mảnh</t>
        </is>
      </c>
      <c r="C137" t="inlineStr">
        <is>
          <t>TAG-012</t>
        </is>
      </c>
      <c r="D137">
        <f>IFERROR(INDEX(Tag!$B:$B,MATCH(C137,Tag!$A:$A,0)),"NOT FOUND")</f>
        <v/>
      </c>
      <c r="E137">
        <f>IFERROR(INDEX(Tag!$C:$C,MATCH(C137,Tag!$A:$A,0)),"NOT FOUND")</f>
        <v/>
      </c>
      <c r="F137" t="inlineStr">
        <is>
          <t>Chắc chắn</t>
        </is>
      </c>
      <c r="G137" t="inlineStr">
        <is>
          <t>Mô tả: lớp ngoài màu đục</t>
        </is>
      </c>
      <c r="H137">
        <f>"INSERT INTO medical_supply_product_tag (product_code, tag_code) VALUES ('"&amp;A137&amp;"', '"&amp;C137&amp;"');"</f>
        <v/>
      </c>
    </row>
    <row r="138">
      <c r="A138" t="inlineStr">
        <is>
          <t>PRODUCT-00109</t>
        </is>
      </c>
      <c r="B138" t="inlineStr">
        <is>
          <t>Túi hậu môn nhân tạo 2 mảnh</t>
        </is>
      </c>
      <c r="C138" t="inlineStr">
        <is>
          <t>TAG-013</t>
        </is>
      </c>
      <c r="D138">
        <f>IFERROR(INDEX(Tag!$B:$B,MATCH(C138,Tag!$A:$A,0)),"NOT FOUND")</f>
        <v/>
      </c>
      <c r="E138">
        <f>IFERROR(INDEX(Tag!$C:$C,MATCH(C138,Tag!$A:$A,0)),"NOT FOUND")</f>
        <v/>
      </c>
      <c r="F138" t="inlineStr">
        <is>
          <t>Chắc chắn</t>
        </is>
      </c>
      <c r="G138" t="inlineStr">
        <is>
          <t>Mô tả: lớp trong để quan sát → gắn cả Đục và Trong suốt</t>
        </is>
      </c>
      <c r="H138">
        <f>"INSERT INTO medical_supply_product_tag (product_code, tag_code) VALUES ('"&amp;A138&amp;"', '"&amp;C138&amp;"');"</f>
        <v/>
      </c>
    </row>
    <row r="139">
      <c r="A139" t="inlineStr">
        <is>
          <t>PRODUCT-00082</t>
        </is>
      </c>
      <c r="B139" t="inlineStr">
        <is>
          <t>[Hollister] Đế lồi túi hậu môn nhân tạo 2 mảnh</t>
        </is>
      </c>
      <c r="C139" t="inlineStr">
        <is>
          <t>TAG-002</t>
        </is>
      </c>
      <c r="D139">
        <f>IFERROR(INDEX(Tag!$B:$B,MATCH(C139,Tag!$A:$A,0)),"NOT FOUND")</f>
        <v/>
      </c>
      <c r="E139">
        <f>IFERROR(INDEX(Tag!$C:$C,MATCH(C139,Tag!$A:$A,0)),"NOT FOUND")</f>
        <v/>
      </c>
      <c r="F139" t="inlineStr">
        <is>
          <t>Chắc chắn</t>
        </is>
      </c>
      <c r="G139" t="inlineStr">
        <is>
          <t>Danh mục: Đế HMNT 2 mảnh</t>
        </is>
      </c>
      <c r="H139">
        <f>"INSERT INTO medical_supply_product_tag (product_code, tag_code) VALUES ('"&amp;A139&amp;"', '"&amp;C139&amp;"');"</f>
        <v/>
      </c>
    </row>
    <row r="140">
      <c r="A140" t="inlineStr">
        <is>
          <t>PRODUCT-00082</t>
        </is>
      </c>
      <c r="B140" t="inlineStr">
        <is>
          <t>[Hollister] Đế lồi túi hậu môn nhân tạo 2 mảnh</t>
        </is>
      </c>
      <c r="C140" t="inlineStr">
        <is>
          <t>TAG-006</t>
        </is>
      </c>
      <c r="D140">
        <f>IFERROR(INDEX(Tag!$B:$B,MATCH(C140,Tag!$A:$A,0)),"NOT FOUND")</f>
        <v/>
      </c>
      <c r="E140">
        <f>IFERROR(INDEX(Tag!$C:$C,MATCH(C140,Tag!$A:$A,0)),"NOT FOUND")</f>
        <v/>
      </c>
      <c r="F140" t="inlineStr">
        <is>
          <t>Chắc chắn</t>
        </is>
      </c>
      <c r="G140" t="inlineStr">
        <is>
          <t>Danh mục: Đế HMNT 2 mảnh</t>
        </is>
      </c>
      <c r="H140">
        <f>"INSERT INTO medical_supply_product_tag (product_code, tag_code) VALUES ('"&amp;A140&amp;"', '"&amp;C140&amp;"');"</f>
        <v/>
      </c>
    </row>
    <row r="141">
      <c r="A141" s="2" t="inlineStr">
        <is>
          <t>PRODUCT-00082</t>
        </is>
      </c>
      <c r="B141" s="2" t="inlineStr">
        <is>
          <t>[Hollister] Đế lồi túi hậu môn nhân tạo 2 mảnh</t>
        </is>
      </c>
      <c r="C141" s="2" t="inlineStr">
        <is>
          <t>TAG-009</t>
        </is>
      </c>
      <c r="D141" s="2">
        <f>IFERROR(INDEX(Tag!$B:$B,MATCH(C141,Tag!$A:$A,0)),"NOT FOUND")</f>
        <v/>
      </c>
      <c r="E141" s="2">
        <f>IFERROR(INDEX(Tag!$C:$C,MATCH(C141,Tag!$A:$A,0)),"NOT FOUND")</f>
        <v/>
      </c>
      <c r="F141" s="2" t="inlineStr">
        <is>
          <t>Suy đoán</t>
        </is>
      </c>
      <c r="G141" s="2" t="inlineStr">
        <is>
          <t>Mô tả không ghi đối tượng; mặc định người lớn</t>
        </is>
      </c>
      <c r="H141" s="2">
        <f>"INSERT INTO medical_supply_product_tag (product_code, tag_code) VALUES ('"&amp;A141&amp;"', '"&amp;C141&amp;"');"</f>
        <v/>
      </c>
    </row>
    <row r="142">
      <c r="A142" t="inlineStr">
        <is>
          <t>PRODUCT-00082</t>
        </is>
      </c>
      <c r="B142" t="inlineStr">
        <is>
          <t>[Hollister] Đế lồi túi hậu môn nhân tạo 2 mảnh</t>
        </is>
      </c>
      <c r="C142" t="inlineStr">
        <is>
          <t>TAG-017</t>
        </is>
      </c>
      <c r="D142">
        <f>IFERROR(INDEX(Tag!$B:$B,MATCH(C142,Tag!$A:$A,0)),"NOT FOUND")</f>
        <v/>
      </c>
      <c r="E142">
        <f>IFERROR(INDEX(Tag!$C:$C,MATCH(C142,Tag!$A:$A,0)),"NOT FOUND")</f>
        <v/>
      </c>
      <c r="F142" t="inlineStr">
        <is>
          <t>Chắc chắn</t>
        </is>
      </c>
      <c r="G142" t="inlineStr">
        <is>
          <t>Tên: đế lồi</t>
        </is>
      </c>
      <c r="H142">
        <f>"INSERT INTO medical_supply_product_tag (product_code, tag_code) VALUES ('"&amp;A142&amp;"', '"&amp;C142&amp;"');"</f>
        <v/>
      </c>
    </row>
    <row r="143">
      <c r="A143" t="inlineStr">
        <is>
          <t>PRODUCT-00083</t>
        </is>
      </c>
      <c r="B143" t="inlineStr">
        <is>
          <t>[Hollister] Đế rời túi hậu môn nhân tạo 2 mảnh</t>
        </is>
      </c>
      <c r="C143" t="inlineStr">
        <is>
          <t>TAG-002</t>
        </is>
      </c>
      <c r="D143">
        <f>IFERROR(INDEX(Tag!$B:$B,MATCH(C143,Tag!$A:$A,0)),"NOT FOUND")</f>
        <v/>
      </c>
      <c r="E143">
        <f>IFERROR(INDEX(Tag!$C:$C,MATCH(C143,Tag!$A:$A,0)),"NOT FOUND")</f>
        <v/>
      </c>
      <c r="F143" t="inlineStr">
        <is>
          <t>Chắc chắn</t>
        </is>
      </c>
      <c r="G143" t="inlineStr">
        <is>
          <t>Danh mục: Đế HMNT 2 mảnh</t>
        </is>
      </c>
      <c r="H143">
        <f>"INSERT INTO medical_supply_product_tag (product_code, tag_code) VALUES ('"&amp;A143&amp;"', '"&amp;C143&amp;"');"</f>
        <v/>
      </c>
    </row>
    <row r="144">
      <c r="A144" t="inlineStr">
        <is>
          <t>PRODUCT-00083</t>
        </is>
      </c>
      <c r="B144" t="inlineStr">
        <is>
          <t>[Hollister] Đế rời túi hậu môn nhân tạo 2 mảnh</t>
        </is>
      </c>
      <c r="C144" t="inlineStr">
        <is>
          <t>TAG-006</t>
        </is>
      </c>
      <c r="D144">
        <f>IFERROR(INDEX(Tag!$B:$B,MATCH(C144,Tag!$A:$A,0)),"NOT FOUND")</f>
        <v/>
      </c>
      <c r="E144">
        <f>IFERROR(INDEX(Tag!$C:$C,MATCH(C144,Tag!$A:$A,0)),"NOT FOUND")</f>
        <v/>
      </c>
      <c r="F144" t="inlineStr">
        <is>
          <t>Chắc chắn</t>
        </is>
      </c>
      <c r="G144" t="inlineStr">
        <is>
          <t>Danh mục: Đế HMNT 2 mảnh</t>
        </is>
      </c>
      <c r="H144">
        <f>"INSERT INTO medical_supply_product_tag (product_code, tag_code) VALUES ('"&amp;A144&amp;"', '"&amp;C144&amp;"');"</f>
        <v/>
      </c>
    </row>
    <row r="145">
      <c r="A145" s="2" t="inlineStr">
        <is>
          <t>PRODUCT-00083</t>
        </is>
      </c>
      <c r="B145" s="2" t="inlineStr">
        <is>
          <t>[Hollister] Đế rời túi hậu môn nhân tạo 2 mảnh</t>
        </is>
      </c>
      <c r="C145" s="2" t="inlineStr">
        <is>
          <t>TAG-009</t>
        </is>
      </c>
      <c r="D145" s="2">
        <f>IFERROR(INDEX(Tag!$B:$B,MATCH(C145,Tag!$A:$A,0)),"NOT FOUND")</f>
        <v/>
      </c>
      <c r="E145" s="2">
        <f>IFERROR(INDEX(Tag!$C:$C,MATCH(C145,Tag!$A:$A,0)),"NOT FOUND")</f>
        <v/>
      </c>
      <c r="F145" s="2" t="inlineStr">
        <is>
          <t>Suy đoán</t>
        </is>
      </c>
      <c r="G145" s="2" t="inlineStr">
        <is>
          <t>Mô tả không ghi đối tượng; mặc định người lớn</t>
        </is>
      </c>
      <c r="H145" s="2">
        <f>"INSERT INTO medical_supply_product_tag (product_code, tag_code) VALUES ('"&amp;A145&amp;"', '"&amp;C145&amp;"');"</f>
        <v/>
      </c>
    </row>
    <row r="146">
      <c r="A146" t="inlineStr">
        <is>
          <t>PRODUCT-00083</t>
        </is>
      </c>
      <c r="B146" t="inlineStr">
        <is>
          <t>[Hollister] Đế rời túi hậu môn nhân tạo 2 mảnh</t>
        </is>
      </c>
      <c r="C146" t="inlineStr">
        <is>
          <t>TAG-016</t>
        </is>
      </c>
      <c r="D146">
        <f>IFERROR(INDEX(Tag!$B:$B,MATCH(C146,Tag!$A:$A,0)),"NOT FOUND")</f>
        <v/>
      </c>
      <c r="E146">
        <f>IFERROR(INDEX(Tag!$C:$C,MATCH(C146,Tag!$A:$A,0)),"NOT FOUND")</f>
        <v/>
      </c>
      <c r="F146" t="inlineStr">
        <is>
          <t>Chắc chắn</t>
        </is>
      </c>
      <c r="G146" t="inlineStr">
        <is>
          <t>Mô tả: đế bằng</t>
        </is>
      </c>
      <c r="H146">
        <f>"INSERT INTO medical_supply_product_tag (product_code, tag_code) VALUES ('"&amp;A146&amp;"', '"&amp;C146&amp;"');"</f>
        <v/>
      </c>
    </row>
    <row r="147">
      <c r="A147" t="inlineStr">
        <is>
          <t>PRODUCT-00094</t>
        </is>
      </c>
      <c r="B147" t="inlineStr">
        <is>
          <t>[Mepro] Đế rời túi hậu môn nhân tạo 2 mảnh viền vải không dệt</t>
        </is>
      </c>
      <c r="C147" t="inlineStr">
        <is>
          <t>TAG-002</t>
        </is>
      </c>
      <c r="D147">
        <f>IFERROR(INDEX(Tag!$B:$B,MATCH(C147,Tag!$A:$A,0)),"NOT FOUND")</f>
        <v/>
      </c>
      <c r="E147">
        <f>IFERROR(INDEX(Tag!$C:$C,MATCH(C147,Tag!$A:$A,0)),"NOT FOUND")</f>
        <v/>
      </c>
      <c r="F147" t="inlineStr">
        <is>
          <t>Chắc chắn</t>
        </is>
      </c>
      <c r="G147" t="inlineStr">
        <is>
          <t>Danh mục: Đế HMNT 2 mảnh</t>
        </is>
      </c>
      <c r="H147">
        <f>"INSERT INTO medical_supply_product_tag (product_code, tag_code) VALUES ('"&amp;A147&amp;"', '"&amp;C147&amp;"');"</f>
        <v/>
      </c>
    </row>
    <row r="148">
      <c r="A148" t="inlineStr">
        <is>
          <t>PRODUCT-00094</t>
        </is>
      </c>
      <c r="B148" t="inlineStr">
        <is>
          <t>[Mepro] Đế rời túi hậu môn nhân tạo 2 mảnh viền vải không dệt</t>
        </is>
      </c>
      <c r="C148" t="inlineStr">
        <is>
          <t>TAG-006</t>
        </is>
      </c>
      <c r="D148">
        <f>IFERROR(INDEX(Tag!$B:$B,MATCH(C148,Tag!$A:$A,0)),"NOT FOUND")</f>
        <v/>
      </c>
      <c r="E148">
        <f>IFERROR(INDEX(Tag!$C:$C,MATCH(C148,Tag!$A:$A,0)),"NOT FOUND")</f>
        <v/>
      </c>
      <c r="F148" t="inlineStr">
        <is>
          <t>Chắc chắn</t>
        </is>
      </c>
      <c r="G148" t="inlineStr">
        <is>
          <t>Danh mục: Đế HMNT 2 mảnh</t>
        </is>
      </c>
      <c r="H148">
        <f>"INSERT INTO medical_supply_product_tag (product_code, tag_code) VALUES ('"&amp;A148&amp;"', '"&amp;C148&amp;"');"</f>
        <v/>
      </c>
    </row>
    <row r="149">
      <c r="A149" s="2" t="inlineStr">
        <is>
          <t>PRODUCT-00094</t>
        </is>
      </c>
      <c r="B149" s="2" t="inlineStr">
        <is>
          <t>[Mepro] Đế rời túi hậu môn nhân tạo 2 mảnh viền vải không dệt</t>
        </is>
      </c>
      <c r="C149" s="2" t="inlineStr">
        <is>
          <t>TAG-009</t>
        </is>
      </c>
      <c r="D149" s="2">
        <f>IFERROR(INDEX(Tag!$B:$B,MATCH(C149,Tag!$A:$A,0)),"NOT FOUND")</f>
        <v/>
      </c>
      <c r="E149" s="2">
        <f>IFERROR(INDEX(Tag!$C:$C,MATCH(C149,Tag!$A:$A,0)),"NOT FOUND")</f>
        <v/>
      </c>
      <c r="F149" s="2" t="inlineStr">
        <is>
          <t>Suy đoán</t>
        </is>
      </c>
      <c r="G149" s="2" t="inlineStr">
        <is>
          <t>Mô tả không ghi đối tượng; mặc định người lớn</t>
        </is>
      </c>
      <c r="H149" s="2">
        <f>"INSERT INTO medical_supply_product_tag (product_code, tag_code) VALUES ('"&amp;A149&amp;"', '"&amp;C149&amp;"');"</f>
        <v/>
      </c>
    </row>
    <row r="150">
      <c r="A150" s="2" t="inlineStr">
        <is>
          <t>PRODUCT-00094</t>
        </is>
      </c>
      <c r="B150" s="2" t="inlineStr">
        <is>
          <t>[Mepro] Đế rời túi hậu môn nhân tạo 2 mảnh viền vải không dệt</t>
        </is>
      </c>
      <c r="C150" s="2" t="inlineStr">
        <is>
          <t>TAG-016</t>
        </is>
      </c>
      <c r="D150" s="2">
        <f>IFERROR(INDEX(Tag!$B:$B,MATCH(C150,Tag!$A:$A,0)),"NOT FOUND")</f>
        <v/>
      </c>
      <c r="E150" s="2">
        <f>IFERROR(INDEX(Tag!$C:$C,MATCH(C150,Tag!$A:$A,0)),"NOT FOUND")</f>
        <v/>
      </c>
      <c r="F150" s="2" t="inlineStr">
        <is>
          <t>Suy đoán</t>
        </is>
      </c>
      <c r="G150" s="2" t="inlineStr">
        <is>
          <t>Mô tả không ghi; đế hydrocolloid thường là đế phẳng</t>
        </is>
      </c>
      <c r="H150" s="2">
        <f>"INSERT INTO medical_supply_product_tag (product_code, tag_code) VALUES ('"&amp;A150&amp;"', '"&amp;C150&amp;"');"</f>
        <v/>
      </c>
    </row>
    <row r="151">
      <c r="A151" t="inlineStr">
        <is>
          <t>PRODUCT-00100</t>
        </is>
      </c>
      <c r="B151" t="inlineStr">
        <is>
          <t>[Ostomy Care] Đế rời túi hậu môn nhân tạo 2 mảnh viền vải không dệt</t>
        </is>
      </c>
      <c r="C151" t="inlineStr">
        <is>
          <t>TAG-002</t>
        </is>
      </c>
      <c r="D151">
        <f>IFERROR(INDEX(Tag!$B:$B,MATCH(C151,Tag!$A:$A,0)),"NOT FOUND")</f>
        <v/>
      </c>
      <c r="E151">
        <f>IFERROR(INDEX(Tag!$C:$C,MATCH(C151,Tag!$A:$A,0)),"NOT FOUND")</f>
        <v/>
      </c>
      <c r="F151" t="inlineStr">
        <is>
          <t>Chắc chắn</t>
        </is>
      </c>
      <c r="G151" t="inlineStr">
        <is>
          <t>Danh mục: Đế HMNT 2 mảnh</t>
        </is>
      </c>
      <c r="H151">
        <f>"INSERT INTO medical_supply_product_tag (product_code, tag_code) VALUES ('"&amp;A151&amp;"', '"&amp;C151&amp;"');"</f>
        <v/>
      </c>
    </row>
    <row r="152">
      <c r="A152" t="inlineStr">
        <is>
          <t>PRODUCT-00100</t>
        </is>
      </c>
      <c r="B152" t="inlineStr">
        <is>
          <t>[Ostomy Care] Đế rời túi hậu môn nhân tạo 2 mảnh viền vải không dệt</t>
        </is>
      </c>
      <c r="C152" t="inlineStr">
        <is>
          <t>TAG-006</t>
        </is>
      </c>
      <c r="D152">
        <f>IFERROR(INDEX(Tag!$B:$B,MATCH(C152,Tag!$A:$A,0)),"NOT FOUND")</f>
        <v/>
      </c>
      <c r="E152">
        <f>IFERROR(INDEX(Tag!$C:$C,MATCH(C152,Tag!$A:$A,0)),"NOT FOUND")</f>
        <v/>
      </c>
      <c r="F152" t="inlineStr">
        <is>
          <t>Chắc chắn</t>
        </is>
      </c>
      <c r="G152" t="inlineStr">
        <is>
          <t>Danh mục: Đế HMNT 2 mảnh</t>
        </is>
      </c>
      <c r="H152">
        <f>"INSERT INTO medical_supply_product_tag (product_code, tag_code) VALUES ('"&amp;A152&amp;"', '"&amp;C152&amp;"');"</f>
        <v/>
      </c>
    </row>
    <row r="153">
      <c r="A153" s="2" t="inlineStr">
        <is>
          <t>PRODUCT-00100</t>
        </is>
      </c>
      <c r="B153" s="2" t="inlineStr">
        <is>
          <t>[Ostomy Care] Đế rời túi hậu môn nhân tạo 2 mảnh viền vải không dệt</t>
        </is>
      </c>
      <c r="C153" s="2" t="inlineStr">
        <is>
          <t>TAG-009</t>
        </is>
      </c>
      <c r="D153" s="2">
        <f>IFERROR(INDEX(Tag!$B:$B,MATCH(C153,Tag!$A:$A,0)),"NOT FOUND")</f>
        <v/>
      </c>
      <c r="E153" s="2">
        <f>IFERROR(INDEX(Tag!$C:$C,MATCH(C153,Tag!$A:$A,0)),"NOT FOUND")</f>
        <v/>
      </c>
      <c r="F153" s="2" t="inlineStr">
        <is>
          <t>Suy đoán</t>
        </is>
      </c>
      <c r="G153" s="2" t="inlineStr">
        <is>
          <t>Mô tả không ghi đối tượng; mặc định người lớn</t>
        </is>
      </c>
      <c r="H153" s="2">
        <f>"INSERT INTO medical_supply_product_tag (product_code, tag_code) VALUES ('"&amp;A153&amp;"', '"&amp;C153&amp;"');"</f>
        <v/>
      </c>
    </row>
    <row r="154">
      <c r="A154" s="2" t="inlineStr">
        <is>
          <t>PRODUCT-00100</t>
        </is>
      </c>
      <c r="B154" s="2" t="inlineStr">
        <is>
          <t>[Ostomy Care] Đế rời túi hậu môn nhân tạo 2 mảnh viền vải không dệt</t>
        </is>
      </c>
      <c r="C154" s="2" t="inlineStr">
        <is>
          <t>TAG-016</t>
        </is>
      </c>
      <c r="D154" s="2">
        <f>IFERROR(INDEX(Tag!$B:$B,MATCH(C154,Tag!$A:$A,0)),"NOT FOUND")</f>
        <v/>
      </c>
      <c r="E154" s="2">
        <f>IFERROR(INDEX(Tag!$C:$C,MATCH(C154,Tag!$A:$A,0)),"NOT FOUND")</f>
        <v/>
      </c>
      <c r="F154" s="2" t="inlineStr">
        <is>
          <t>Suy đoán</t>
        </is>
      </c>
      <c r="G154" s="2" t="inlineStr">
        <is>
          <t>Mô tả không ghi; đế hydrocolloid thường là đế phẳng</t>
        </is>
      </c>
      <c r="H154" s="2">
        <f>"INSERT INTO medical_supply_product_tag (product_code, tag_code) VALUES ('"&amp;A154&amp;"', '"&amp;C154&amp;"');"</f>
        <v/>
      </c>
    </row>
    <row r="155">
      <c r="A155" t="inlineStr">
        <is>
          <t>PRODUCT-00104</t>
        </is>
      </c>
      <c r="B155" t="inlineStr">
        <is>
          <t>[SeaSight] Đế rời túi hậu môn nhân tạo 2 mảnh không viền vải</t>
        </is>
      </c>
      <c r="C155" t="inlineStr">
        <is>
          <t>TAG-002</t>
        </is>
      </c>
      <c r="D155">
        <f>IFERROR(INDEX(Tag!$B:$B,MATCH(C155,Tag!$A:$A,0)),"NOT FOUND")</f>
        <v/>
      </c>
      <c r="E155">
        <f>IFERROR(INDEX(Tag!$C:$C,MATCH(C155,Tag!$A:$A,0)),"NOT FOUND")</f>
        <v/>
      </c>
      <c r="F155" t="inlineStr">
        <is>
          <t>Chắc chắn</t>
        </is>
      </c>
      <c r="G155" t="inlineStr">
        <is>
          <t>Danh mục: Đế HMNT 2 mảnh</t>
        </is>
      </c>
      <c r="H155">
        <f>"INSERT INTO medical_supply_product_tag (product_code, tag_code) VALUES ('"&amp;A155&amp;"', '"&amp;C155&amp;"');"</f>
        <v/>
      </c>
    </row>
    <row r="156">
      <c r="A156" t="inlineStr">
        <is>
          <t>PRODUCT-00104</t>
        </is>
      </c>
      <c r="B156" t="inlineStr">
        <is>
          <t>[SeaSight] Đế rời túi hậu môn nhân tạo 2 mảnh không viền vải</t>
        </is>
      </c>
      <c r="C156" t="inlineStr">
        <is>
          <t>TAG-006</t>
        </is>
      </c>
      <c r="D156">
        <f>IFERROR(INDEX(Tag!$B:$B,MATCH(C156,Tag!$A:$A,0)),"NOT FOUND")</f>
        <v/>
      </c>
      <c r="E156">
        <f>IFERROR(INDEX(Tag!$C:$C,MATCH(C156,Tag!$A:$A,0)),"NOT FOUND")</f>
        <v/>
      </c>
      <c r="F156" t="inlineStr">
        <is>
          <t>Chắc chắn</t>
        </is>
      </c>
      <c r="G156" t="inlineStr">
        <is>
          <t>Danh mục: Đế HMNT 2 mảnh</t>
        </is>
      </c>
      <c r="H156">
        <f>"INSERT INTO medical_supply_product_tag (product_code, tag_code) VALUES ('"&amp;A156&amp;"', '"&amp;C156&amp;"');"</f>
        <v/>
      </c>
    </row>
    <row r="157">
      <c r="A157" s="2" t="inlineStr">
        <is>
          <t>PRODUCT-00104</t>
        </is>
      </c>
      <c r="B157" s="2" t="inlineStr">
        <is>
          <t>[SeaSight] Đế rời túi hậu môn nhân tạo 2 mảnh không viền vải</t>
        </is>
      </c>
      <c r="C157" s="2" t="inlineStr">
        <is>
          <t>TAG-009</t>
        </is>
      </c>
      <c r="D157" s="2">
        <f>IFERROR(INDEX(Tag!$B:$B,MATCH(C157,Tag!$A:$A,0)),"NOT FOUND")</f>
        <v/>
      </c>
      <c r="E157" s="2">
        <f>IFERROR(INDEX(Tag!$C:$C,MATCH(C157,Tag!$A:$A,0)),"NOT FOUND")</f>
        <v/>
      </c>
      <c r="F157" s="2" t="inlineStr">
        <is>
          <t>Suy đoán</t>
        </is>
      </c>
      <c r="G157" s="2" t="inlineStr">
        <is>
          <t>Mô tả không ghi đối tượng; mặc định người lớn</t>
        </is>
      </c>
      <c r="H157" s="2">
        <f>"INSERT INTO medical_supply_product_tag (product_code, tag_code) VALUES ('"&amp;A157&amp;"', '"&amp;C157&amp;"');"</f>
        <v/>
      </c>
    </row>
    <row r="158">
      <c r="A158" s="2" t="inlineStr">
        <is>
          <t>PRODUCT-00104</t>
        </is>
      </c>
      <c r="B158" s="2" t="inlineStr">
        <is>
          <t>[SeaSight] Đế rời túi hậu môn nhân tạo 2 mảnh không viền vải</t>
        </is>
      </c>
      <c r="C158" s="2" t="inlineStr">
        <is>
          <t>TAG-016</t>
        </is>
      </c>
      <c r="D158" s="2">
        <f>IFERROR(INDEX(Tag!$B:$B,MATCH(C158,Tag!$A:$A,0)),"NOT FOUND")</f>
        <v/>
      </c>
      <c r="E158" s="2">
        <f>IFERROR(INDEX(Tag!$C:$C,MATCH(C158,Tag!$A:$A,0)),"NOT FOUND")</f>
        <v/>
      </c>
      <c r="F158" s="2" t="inlineStr">
        <is>
          <t>Suy đoán</t>
        </is>
      </c>
      <c r="G158" s="2" t="inlineStr">
        <is>
          <t>Mô tả không ghi; đế hydrocolloid thường là đế phẳng</t>
        </is>
      </c>
      <c r="H158" s="2">
        <f>"INSERT INTO medical_supply_product_tag (product_code, tag_code) VALUES ('"&amp;A158&amp;"', '"&amp;C158&amp;"');"</f>
        <v/>
      </c>
    </row>
    <row r="159">
      <c r="A159" t="inlineStr">
        <is>
          <t>PRODUCT-00072</t>
        </is>
      </c>
      <c r="B159" t="inlineStr">
        <is>
          <t>[ConvaTec] Bột hút ẩm chống loét hậu môn nhân tạo (28.3g)</t>
        </is>
      </c>
      <c r="C159" t="inlineStr">
        <is>
          <t>TAG-004</t>
        </is>
      </c>
      <c r="D159">
        <f>IFERROR(INDEX(Tag!$B:$B,MATCH(C159,Tag!$A:$A,0)),"NOT FOUND")</f>
        <v/>
      </c>
      <c r="E159">
        <f>IFERROR(INDEX(Tag!$C:$C,MATCH(C159,Tag!$A:$A,0)),"NOT FOUND")</f>
        <v/>
      </c>
      <c r="F159" t="inlineStr">
        <is>
          <t>Chắc chắn</t>
        </is>
      </c>
      <c r="G159" t="inlineStr">
        <is>
          <t>Danh mục: Phụ kiện chăm sóc HMNT</t>
        </is>
      </c>
      <c r="H159">
        <f>"INSERT INTO medical_supply_product_tag (product_code, tag_code) VALUES ('"&amp;A159&amp;"', '"&amp;C159&amp;"');"</f>
        <v/>
      </c>
    </row>
    <row r="160">
      <c r="A160" t="inlineStr">
        <is>
          <t>PRODUCT-00073</t>
        </is>
      </c>
      <c r="B160" t="inlineStr">
        <is>
          <t>[ConvaTec] Keo làm đầy chống rò rỉ hậu môn nhân tạo (56.7g)</t>
        </is>
      </c>
      <c r="C160" t="inlineStr">
        <is>
          <t>TAG-004</t>
        </is>
      </c>
      <c r="D160">
        <f>IFERROR(INDEX(Tag!$B:$B,MATCH(C160,Tag!$A:$A,0)),"NOT FOUND")</f>
        <v/>
      </c>
      <c r="E160">
        <f>IFERROR(INDEX(Tag!$C:$C,MATCH(C160,Tag!$A:$A,0)),"NOT FOUND")</f>
        <v/>
      </c>
      <c r="F160" t="inlineStr">
        <is>
          <t>Chắc chắn</t>
        </is>
      </c>
      <c r="G160" t="inlineStr">
        <is>
          <t>Danh mục: Phụ kiện chăm sóc HMNT</t>
        </is>
      </c>
      <c r="H160">
        <f>"INSERT INTO medical_supply_product_tag (product_code, tag_code) VALUES ('"&amp;A160&amp;"', '"&amp;C160&amp;"');"</f>
        <v/>
      </c>
    </row>
    <row r="161">
      <c r="A161" t="inlineStr">
        <is>
          <t>PRODUCT-00079</t>
        </is>
      </c>
      <c r="B161" t="inlineStr">
        <is>
          <t>[Hollister] Bột hút ẩm chống loét hậu môn nhân tạo - Adapt Stoma Powder 7906 (28.3g)</t>
        </is>
      </c>
      <c r="C161" t="inlineStr">
        <is>
          <t>TAG-004</t>
        </is>
      </c>
      <c r="D161">
        <f>IFERROR(INDEX(Tag!$B:$B,MATCH(C161,Tag!$A:$A,0)),"NOT FOUND")</f>
        <v/>
      </c>
      <c r="E161">
        <f>IFERROR(INDEX(Tag!$C:$C,MATCH(C161,Tag!$A:$A,0)),"NOT FOUND")</f>
        <v/>
      </c>
      <c r="F161" t="inlineStr">
        <is>
          <t>Chắc chắn</t>
        </is>
      </c>
      <c r="G161" t="inlineStr">
        <is>
          <t>Danh mục: Phụ kiện chăm sóc HMNT</t>
        </is>
      </c>
      <c r="H161">
        <f>"INSERT INTO medical_supply_product_tag (product_code, tag_code) VALUES ('"&amp;A161&amp;"', '"&amp;C161&amp;"');"</f>
        <v/>
      </c>
    </row>
    <row r="162">
      <c r="A162" t="inlineStr">
        <is>
          <t>PRODUCT-00080</t>
        </is>
      </c>
      <c r="B162" t="inlineStr">
        <is>
          <t>[Hollister] Chai xịt tẩy chất keo - 7737</t>
        </is>
      </c>
      <c r="C162" t="inlineStr">
        <is>
          <t>TAG-004</t>
        </is>
      </c>
      <c r="D162">
        <f>IFERROR(INDEX(Tag!$B:$B,MATCH(C162,Tag!$A:$A,0)),"NOT FOUND")</f>
        <v/>
      </c>
      <c r="E162">
        <f>IFERROR(INDEX(Tag!$C:$C,MATCH(C162,Tag!$A:$A,0)),"NOT FOUND")</f>
        <v/>
      </c>
      <c r="F162" t="inlineStr">
        <is>
          <t>Chắc chắn</t>
        </is>
      </c>
      <c r="G162" t="inlineStr">
        <is>
          <t>Danh mục: Phụ kiện chăm sóc HMNT</t>
        </is>
      </c>
      <c r="H162">
        <f>"INSERT INTO medical_supply_product_tag (product_code, tag_code) VALUES ('"&amp;A162&amp;"', '"&amp;C162&amp;"');"</f>
        <v/>
      </c>
    </row>
    <row r="163">
      <c r="A163" t="inlineStr">
        <is>
          <t>PRODUCT-00081</t>
        </is>
      </c>
      <c r="B163" t="inlineStr">
        <is>
          <t>[Hollister] Dây nịt đeo túi hậu môn nhân tạo - 7300</t>
        </is>
      </c>
      <c r="C163" t="inlineStr">
        <is>
          <t>TAG-004</t>
        </is>
      </c>
      <c r="D163">
        <f>IFERROR(INDEX(Tag!$B:$B,MATCH(C163,Tag!$A:$A,0)),"NOT FOUND")</f>
        <v/>
      </c>
      <c r="E163">
        <f>IFERROR(INDEX(Tag!$C:$C,MATCH(C163,Tag!$A:$A,0)),"NOT FOUND")</f>
        <v/>
      </c>
      <c r="F163" t="inlineStr">
        <is>
          <t>Chắc chắn</t>
        </is>
      </c>
      <c r="G163" t="inlineStr">
        <is>
          <t>Danh mục: Phụ kiện chăm sóc HMNT</t>
        </is>
      </c>
      <c r="H163">
        <f>"INSERT INTO medical_supply_product_tag (product_code, tag_code) VALUES ('"&amp;A163&amp;"', '"&amp;C163&amp;"');"</f>
        <v/>
      </c>
    </row>
    <row r="164">
      <c r="A164" t="inlineStr">
        <is>
          <t>PRODUCT-00084</t>
        </is>
      </c>
      <c r="B164" t="inlineStr">
        <is>
          <t>[Hollister] Kem chống xì hậu môn nhân tạo - Adapt Paste 79300 (60g)</t>
        </is>
      </c>
      <c r="C164" t="inlineStr">
        <is>
          <t>TAG-004</t>
        </is>
      </c>
      <c r="D164">
        <f>IFERROR(INDEX(Tag!$B:$B,MATCH(C164,Tag!$A:$A,0)),"NOT FOUND")</f>
        <v/>
      </c>
      <c r="E164">
        <f>IFERROR(INDEX(Tag!$C:$C,MATCH(C164,Tag!$A:$A,0)),"NOT FOUND")</f>
        <v/>
      </c>
      <c r="F164" t="inlineStr">
        <is>
          <t>Chắc chắn</t>
        </is>
      </c>
      <c r="G164" t="inlineStr">
        <is>
          <t>Danh mục: Phụ kiện chăm sóc HMNT</t>
        </is>
      </c>
      <c r="H164">
        <f>"INSERT INTO medical_supply_product_tag (product_code, tag_code) VALUES ('"&amp;A164&amp;"', '"&amp;C164&amp;"');"</f>
        <v/>
      </c>
    </row>
    <row r="165">
      <c r="A165" t="inlineStr">
        <is>
          <t>PRODUCT-00085</t>
        </is>
      </c>
      <c r="B165" t="inlineStr">
        <is>
          <t>[Hollister] Khóa kẹp túi hậu môn nhân tạo - 8770</t>
        </is>
      </c>
      <c r="C165" t="inlineStr">
        <is>
          <t>TAG-004</t>
        </is>
      </c>
      <c r="D165">
        <f>IFERROR(INDEX(Tag!$B:$B,MATCH(C165,Tag!$A:$A,0)),"NOT FOUND")</f>
        <v/>
      </c>
      <c r="E165">
        <f>IFERROR(INDEX(Tag!$C:$C,MATCH(C165,Tag!$A:$A,0)),"NOT FOUND")</f>
        <v/>
      </c>
      <c r="F165" t="inlineStr">
        <is>
          <t>Chắc chắn</t>
        </is>
      </c>
      <c r="G165" t="inlineStr">
        <is>
          <t>Danh mục: Phụ kiện chăm sóc HMNT</t>
        </is>
      </c>
      <c r="H165">
        <f>"INSERT INTO medical_supply_product_tag (product_code, tag_code) VALUES ('"&amp;A165&amp;"', '"&amp;C165&amp;"');"</f>
        <v/>
      </c>
    </row>
    <row r="166">
      <c r="A166" t="inlineStr">
        <is>
          <t>PRODUCT-00091</t>
        </is>
      </c>
      <c r="B166" t="inlineStr">
        <is>
          <t>[Hollister] Vòng bảo vệ da chống loét hậu môn nhân tạo (Mẫu 7805)</t>
        </is>
      </c>
      <c r="C166" t="inlineStr">
        <is>
          <t>TAG-004</t>
        </is>
      </c>
      <c r="D166">
        <f>IFERROR(INDEX(Tag!$B:$B,MATCH(C166,Tag!$A:$A,0)),"NOT FOUND")</f>
        <v/>
      </c>
      <c r="E166">
        <f>IFERROR(INDEX(Tag!$C:$C,MATCH(C166,Tag!$A:$A,0)),"NOT FOUND")</f>
        <v/>
      </c>
      <c r="F166" t="inlineStr">
        <is>
          <t>Chắc chắn</t>
        </is>
      </c>
      <c r="G166" t="inlineStr">
        <is>
          <t>Danh mục: Phụ kiện chăm sóc HMNT</t>
        </is>
      </c>
      <c r="H166">
        <f>"INSERT INTO medical_supply_product_tag (product_code, tag_code) VALUES ('"&amp;A166&amp;"', '"&amp;C166&amp;"');"</f>
        <v/>
      </c>
    </row>
    <row r="167">
      <c r="A167" t="inlineStr">
        <is>
          <t>PRODUCT-00106</t>
        </is>
      </c>
      <c r="B167" t="inlineStr">
        <is>
          <t>Keo cong cắt đế hậu môn nhân tạo</t>
        </is>
      </c>
      <c r="C167" t="inlineStr">
        <is>
          <t>TAG-004</t>
        </is>
      </c>
      <c r="D167">
        <f>IFERROR(INDEX(Tag!$B:$B,MATCH(C167,Tag!$A:$A,0)),"NOT FOUND")</f>
        <v/>
      </c>
      <c r="E167">
        <f>IFERROR(INDEX(Tag!$C:$C,MATCH(C167,Tag!$A:$A,0)),"NOT FOUND")</f>
        <v/>
      </c>
      <c r="F167" t="inlineStr">
        <is>
          <t>Chắc chắn</t>
        </is>
      </c>
      <c r="G167" t="inlineStr">
        <is>
          <t>Danh mục: Phụ kiện chăm sóc HMNT</t>
        </is>
      </c>
      <c r="H167">
        <f>"INSERT INTO medical_supply_product_tag (product_code, tag_code) VALUES ('"&amp;A167&amp;"', '"&amp;C167&amp;"');"</f>
        <v/>
      </c>
    </row>
    <row r="168">
      <c r="A168" t="inlineStr">
        <is>
          <t>PRODUCT-00300</t>
        </is>
      </c>
      <c r="B168" t="inlineStr">
        <is>
          <t>[Hollister] Vòng bảo vệ da chống loét hậu môn nhân tạo (Mẫu 7806)</t>
        </is>
      </c>
      <c r="C168" t="inlineStr">
        <is>
          <t>TAG-004</t>
        </is>
      </c>
      <c r="D168">
        <f>IFERROR(INDEX(Tag!$B:$B,MATCH(C168,Tag!$A:$A,0)),"NOT FOUND")</f>
        <v/>
      </c>
      <c r="E168">
        <f>IFERROR(INDEX(Tag!$C:$C,MATCH(C168,Tag!$A:$A,0)),"NOT FOUND")</f>
        <v/>
      </c>
      <c r="F168" t="inlineStr">
        <is>
          <t>Chắc chắn</t>
        </is>
      </c>
      <c r="G168" t="inlineStr">
        <is>
          <t>Danh mục: Phụ kiện chăm sóc HMNT</t>
        </is>
      </c>
      <c r="H168">
        <f>"INSERT INTO medical_supply_product_tag (product_code, tag_code) VALUES ('"&amp;A168&amp;"', '"&amp;C168&amp;"');"</f>
        <v/>
      </c>
    </row>
  </sheetData>
  <autoFilter ref="A1:H168"/>
  <dataValidations count="1">
    <dataValidation sqref="F2:F168" showDropDown="0" showInputMessage="0" showErrorMessage="0" allowBlank="1" type="list">
      <formula1>"Chắc chắn,Suy đoán"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2026-09-30T18:17:46Z</dcterms:created>
  <dcterms:modified xsi:type="dcterms:W3CDTF">2026-09-30T18:17:46Z</dcterms:modified>
</cp:coreProperties>
</file>